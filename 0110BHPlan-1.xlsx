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EL_担当者\大槻\uchida引継ぎ資料\OSS DB集計フォルダー\20260110\"/>
    </mc:Choice>
  </mc:AlternateContent>
  <bookViews>
    <workbookView xWindow="0" yWindow="0" windowWidth="28800" windowHeight="12480"/>
  </bookViews>
  <sheets>
    <sheet name="Sheet1" sheetId="2" r:id="rId1"/>
    <sheet name="Sheet2" sheetId="8" r:id="rId2"/>
    <sheet name="日程表" sheetId="1" r:id="rId3"/>
    <sheet name="V8集計" sheetId="4" r:id="rId4"/>
    <sheet name="V8" sheetId="3" r:id="rId5"/>
    <sheet name="V9集計" sheetId="7" r:id="rId6"/>
    <sheet name="V9" sheetId="6" r:id="rId7"/>
  </sheets>
  <externalReferences>
    <externalReference r:id="rId8"/>
    <externalReference r:id="rId9"/>
    <externalReference r:id="rId10"/>
  </externalReferences>
  <definedNames>
    <definedName name="_xlnm._FilterDatabase" localSheetId="3" hidden="1">V8集計!$A$3:$Y$3</definedName>
    <definedName name="_xlnm._FilterDatabase" localSheetId="2" hidden="1">日程表!$A$4:$XDJ$410</definedName>
    <definedName name="_xlnm.Print_Titles" localSheetId="2">日程表!$4:$4</definedName>
  </definedNames>
  <calcPr calcId="152511"/>
  <pivotCaches>
    <pivotCache cacheId="1" r:id="rId11"/>
  </pivotCaches>
</workbook>
</file>

<file path=xl/calcChain.xml><?xml version="1.0" encoding="utf-8"?>
<calcChain xmlns="http://schemas.openxmlformats.org/spreadsheetml/2006/main">
  <c r="AG153" i="6" l="1"/>
  <c r="AF153" i="6"/>
  <c r="AG152" i="6"/>
  <c r="AF152" i="6"/>
  <c r="AG151" i="6"/>
  <c r="AF151" i="6"/>
  <c r="AG150" i="6"/>
  <c r="AF150" i="6"/>
  <c r="AG149" i="6"/>
  <c r="AF149" i="6"/>
  <c r="AG148" i="6"/>
  <c r="AF148" i="6"/>
  <c r="AG147" i="6"/>
  <c r="AF147" i="6"/>
  <c r="AG146" i="6"/>
  <c r="AF146" i="6"/>
  <c r="AG145" i="6"/>
  <c r="AF145" i="6"/>
  <c r="AG144" i="6"/>
  <c r="AF144" i="6"/>
  <c r="AG143" i="6"/>
  <c r="AF143" i="6"/>
  <c r="AG142" i="6"/>
  <c r="AF142" i="6"/>
  <c r="AG141" i="6"/>
  <c r="AF141" i="6"/>
  <c r="AG140" i="6"/>
  <c r="AF140" i="6"/>
  <c r="AG139" i="6"/>
  <c r="AF139" i="6"/>
  <c r="AG138" i="6"/>
  <c r="AF138" i="6"/>
  <c r="AG137" i="6"/>
  <c r="AF137" i="6"/>
  <c r="AG136" i="6"/>
  <c r="AF136" i="6"/>
  <c r="AG135" i="6"/>
  <c r="AF135" i="6"/>
  <c r="AG134" i="6"/>
  <c r="AF134" i="6"/>
  <c r="AG133" i="6"/>
  <c r="AF133" i="6"/>
  <c r="AG132" i="6"/>
  <c r="AF132" i="6"/>
  <c r="AG131" i="6"/>
  <c r="AF131" i="6"/>
  <c r="AG130" i="6"/>
  <c r="AF130" i="6"/>
  <c r="AG129" i="6"/>
  <c r="AF129" i="6"/>
  <c r="AG128" i="6"/>
  <c r="AF128" i="6"/>
  <c r="AG127" i="6"/>
  <c r="AF127" i="6"/>
  <c r="AG126" i="6"/>
  <c r="AF126" i="6"/>
  <c r="AG125" i="6"/>
  <c r="AF125" i="6"/>
  <c r="AG124" i="6"/>
  <c r="AF124" i="6"/>
  <c r="AG123" i="6"/>
  <c r="AF123" i="6"/>
  <c r="AG122" i="6"/>
  <c r="AF122" i="6"/>
  <c r="AG121" i="6"/>
  <c r="AF121" i="6"/>
  <c r="AG120" i="6"/>
  <c r="AF120" i="6"/>
  <c r="AG119" i="6"/>
  <c r="AF119" i="6"/>
  <c r="AG118" i="6"/>
  <c r="AF118" i="6"/>
  <c r="AG117" i="6"/>
  <c r="AF117" i="6"/>
  <c r="AG116" i="6"/>
  <c r="AF116" i="6"/>
  <c r="AG115" i="6"/>
  <c r="AF115" i="6"/>
  <c r="AG114" i="6"/>
  <c r="AF114" i="6"/>
  <c r="AG113" i="6"/>
  <c r="AF113" i="6"/>
  <c r="AG112" i="6"/>
  <c r="AF112" i="6"/>
  <c r="AG111" i="6"/>
  <c r="AF111" i="6"/>
  <c r="AG110" i="6"/>
  <c r="AF110" i="6"/>
  <c r="AG109" i="6"/>
  <c r="AF109" i="6"/>
  <c r="AG108" i="6"/>
  <c r="AF108" i="6"/>
  <c r="AG107" i="6"/>
  <c r="AF107" i="6"/>
  <c r="AG106" i="6"/>
  <c r="AF106" i="6"/>
  <c r="AG105" i="6"/>
  <c r="AF105" i="6"/>
  <c r="AG104" i="6"/>
  <c r="AF104" i="6"/>
  <c r="AG103" i="6"/>
  <c r="AF103" i="6"/>
  <c r="AG102" i="6"/>
  <c r="AF102" i="6"/>
  <c r="AG101" i="6"/>
  <c r="AF101" i="6"/>
  <c r="AG100" i="6"/>
  <c r="AF100" i="6"/>
  <c r="AG99" i="6"/>
  <c r="AF99" i="6"/>
  <c r="AG98" i="6"/>
  <c r="AF98" i="6"/>
  <c r="AG97" i="6"/>
  <c r="AF97" i="6"/>
  <c r="AG96" i="6"/>
  <c r="AF96" i="6"/>
  <c r="AG95" i="6"/>
  <c r="AF95" i="6"/>
  <c r="AG94" i="6"/>
  <c r="AF94" i="6"/>
  <c r="AG93" i="6"/>
  <c r="AF93" i="6"/>
  <c r="AG92" i="6"/>
  <c r="AF92" i="6"/>
  <c r="AG91" i="6"/>
  <c r="AF91" i="6"/>
  <c r="AG90" i="6"/>
  <c r="AF90" i="6"/>
  <c r="AG89" i="6"/>
  <c r="AF89" i="6"/>
  <c r="AG88" i="6"/>
  <c r="AF88" i="6"/>
  <c r="AG87" i="6"/>
  <c r="AF87" i="6"/>
  <c r="AG86" i="6"/>
  <c r="AF86" i="6"/>
  <c r="AG85" i="6"/>
  <c r="AF85" i="6"/>
  <c r="AG84" i="6"/>
  <c r="AF84" i="6"/>
  <c r="AG83" i="6"/>
  <c r="AF83" i="6"/>
  <c r="AG82" i="6"/>
  <c r="AF82" i="6"/>
  <c r="AG81" i="6"/>
  <c r="AF81" i="6"/>
  <c r="AG80" i="6"/>
  <c r="AF80" i="6"/>
  <c r="AG79" i="6"/>
  <c r="AF79" i="6"/>
  <c r="AG78" i="6"/>
  <c r="AF78" i="6"/>
  <c r="AG77" i="6"/>
  <c r="AF77" i="6"/>
  <c r="AG76" i="6"/>
  <c r="AF76" i="6"/>
  <c r="AG75" i="6"/>
  <c r="AF75" i="6"/>
  <c r="AG74" i="6"/>
  <c r="AF74" i="6"/>
  <c r="AG73" i="6"/>
  <c r="AF73" i="6"/>
  <c r="AG72" i="6"/>
  <c r="AF72" i="6"/>
  <c r="AG71" i="6"/>
  <c r="AF71" i="6"/>
  <c r="AG70" i="6"/>
  <c r="AF70" i="6"/>
  <c r="AG69" i="6"/>
  <c r="AF69" i="6"/>
  <c r="AE69" i="6"/>
  <c r="AG68" i="6"/>
  <c r="AF68" i="6"/>
  <c r="AG67" i="6"/>
  <c r="AF67" i="6"/>
  <c r="AG66" i="6"/>
  <c r="AF66" i="6"/>
  <c r="AE66" i="6"/>
  <c r="AG65" i="6"/>
  <c r="AF65" i="6"/>
  <c r="AE65" i="6"/>
  <c r="AG64" i="6"/>
  <c r="AF64" i="6"/>
  <c r="AE64" i="6"/>
  <c r="AG63" i="6"/>
  <c r="AF63" i="6"/>
  <c r="AE63" i="6"/>
  <c r="AG62" i="6"/>
  <c r="AF62" i="6"/>
  <c r="AE62" i="6"/>
  <c r="AG61" i="6"/>
  <c r="AF61" i="6"/>
  <c r="AE61" i="6"/>
  <c r="AG60" i="6"/>
  <c r="AF60" i="6"/>
  <c r="AE60" i="6"/>
  <c r="AG59" i="6"/>
  <c r="AF59" i="6"/>
  <c r="AE59" i="6"/>
  <c r="AG58" i="6"/>
  <c r="AF58" i="6"/>
  <c r="AE58" i="6"/>
  <c r="AG57" i="6"/>
  <c r="AF57" i="6"/>
  <c r="AE57" i="6"/>
  <c r="AG56" i="6"/>
  <c r="AF56" i="6"/>
  <c r="AE56" i="6"/>
  <c r="AG55" i="6"/>
  <c r="AF55" i="6"/>
  <c r="AE55" i="6"/>
  <c r="AG54" i="6"/>
  <c r="AF54" i="6"/>
  <c r="AE54" i="6"/>
  <c r="AG53" i="6"/>
  <c r="AF53" i="6"/>
  <c r="AE53" i="6"/>
  <c r="AG52" i="6"/>
  <c r="AF52" i="6"/>
  <c r="AE52" i="6"/>
  <c r="AG51" i="6"/>
  <c r="AF51" i="6"/>
  <c r="AE51" i="6"/>
  <c r="AG50" i="6"/>
  <c r="AF50" i="6"/>
  <c r="AE50" i="6"/>
  <c r="AG49" i="6"/>
  <c r="AF49" i="6"/>
  <c r="AE49" i="6"/>
  <c r="AG48" i="6"/>
  <c r="AF48" i="6"/>
  <c r="AE48" i="6"/>
  <c r="AG47" i="6"/>
  <c r="AF47" i="6"/>
  <c r="AE47" i="6"/>
  <c r="AG46" i="6"/>
  <c r="AF46" i="6"/>
  <c r="AE46" i="6"/>
  <c r="AG45" i="6"/>
  <c r="AF45" i="6"/>
  <c r="AE45" i="6"/>
  <c r="AG44" i="6"/>
  <c r="AF44" i="6"/>
  <c r="AE44" i="6"/>
  <c r="AG43" i="6"/>
  <c r="AF43" i="6"/>
  <c r="AG42" i="6"/>
  <c r="AF42" i="6"/>
  <c r="AG41" i="6"/>
  <c r="AF41" i="6"/>
  <c r="AG40" i="6"/>
  <c r="AF40" i="6"/>
  <c r="AG39" i="6"/>
  <c r="AF39" i="6"/>
  <c r="AG38" i="6"/>
  <c r="AF38" i="6"/>
  <c r="AG37" i="6"/>
  <c r="AF37" i="6"/>
  <c r="AG36" i="6"/>
  <c r="AF36" i="6"/>
  <c r="AG35" i="6"/>
  <c r="AF35" i="6"/>
  <c r="AG34" i="6"/>
  <c r="AF34" i="6"/>
  <c r="AG33" i="6"/>
  <c r="AF33" i="6"/>
  <c r="AG32" i="6"/>
  <c r="AF32" i="6"/>
  <c r="AG31" i="6"/>
  <c r="AF31" i="6"/>
  <c r="AG30" i="6"/>
  <c r="AF30" i="6"/>
  <c r="AG29" i="6"/>
  <c r="AF29" i="6"/>
  <c r="AG28" i="6"/>
  <c r="AF28" i="6"/>
  <c r="AG27" i="6"/>
  <c r="AF27" i="6"/>
  <c r="AG26" i="6"/>
  <c r="AF26" i="6"/>
  <c r="AG25" i="6"/>
  <c r="AF25" i="6"/>
  <c r="AG24" i="6"/>
  <c r="AF24" i="6"/>
  <c r="AG23" i="6"/>
  <c r="AF23" i="6"/>
  <c r="AG22" i="6"/>
  <c r="AF22" i="6"/>
  <c r="AG21" i="6"/>
  <c r="AF21" i="6"/>
  <c r="AG20" i="6"/>
  <c r="AF20" i="6"/>
  <c r="AG19" i="6"/>
  <c r="AF19" i="6"/>
  <c r="AG18" i="6"/>
  <c r="AF18" i="6"/>
  <c r="AG17" i="6"/>
  <c r="AF17" i="6"/>
  <c r="AG16" i="6"/>
  <c r="AF16" i="6"/>
  <c r="AG15" i="6"/>
  <c r="AF15" i="6"/>
  <c r="AG14" i="6"/>
  <c r="AF14" i="6"/>
  <c r="AG13" i="6"/>
  <c r="AF13" i="6"/>
  <c r="AG12" i="6"/>
  <c r="AF12" i="6"/>
  <c r="AG11" i="6"/>
  <c r="AF11" i="6"/>
  <c r="AG10" i="6"/>
  <c r="AF10" i="6"/>
  <c r="AG9" i="6"/>
  <c r="AF9" i="6"/>
  <c r="AG8" i="6"/>
  <c r="AF8" i="6"/>
  <c r="AG7" i="6"/>
  <c r="AF7" i="6"/>
  <c r="AG6" i="6"/>
  <c r="AF6" i="6"/>
  <c r="AG5" i="6"/>
  <c r="AF5" i="6"/>
  <c r="AG4" i="6"/>
  <c r="AF4" i="6"/>
  <c r="AE4" i="6"/>
  <c r="AG3" i="6"/>
  <c r="AF3" i="6"/>
  <c r="AE3" i="6"/>
  <c r="AG2" i="6"/>
  <c r="AF2" i="6"/>
  <c r="AE2" i="6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C2" i="4"/>
  <c r="BI87" i="3"/>
  <c r="BH87" i="3"/>
  <c r="BG87" i="3"/>
  <c r="BF87" i="3"/>
  <c r="BE87" i="3"/>
  <c r="BD87" i="3"/>
  <c r="O87" i="3"/>
  <c r="BI86" i="3"/>
  <c r="BH86" i="3"/>
  <c r="BG86" i="3"/>
  <c r="BF86" i="3"/>
  <c r="BE86" i="3"/>
  <c r="BD86" i="3"/>
  <c r="O86" i="3"/>
  <c r="BI85" i="3"/>
  <c r="BH85" i="3"/>
  <c r="BG85" i="3"/>
  <c r="BF85" i="3"/>
  <c r="BE85" i="3"/>
  <c r="BD85" i="3"/>
  <c r="O85" i="3"/>
  <c r="BI84" i="3"/>
  <c r="BH84" i="3"/>
  <c r="BG84" i="3"/>
  <c r="BF84" i="3"/>
  <c r="BE84" i="3"/>
  <c r="BD84" i="3"/>
  <c r="O84" i="3"/>
  <c r="BI83" i="3"/>
  <c r="BH83" i="3"/>
  <c r="BG83" i="3"/>
  <c r="BF83" i="3"/>
  <c r="BE83" i="3"/>
  <c r="BD83" i="3"/>
  <c r="O83" i="3"/>
  <c r="BI82" i="3"/>
  <c r="BH82" i="3"/>
  <c r="BG82" i="3"/>
  <c r="BF82" i="3"/>
  <c r="BE82" i="3"/>
  <c r="AA82" i="3"/>
  <c r="BD82" i="3" s="1"/>
  <c r="BI81" i="3"/>
  <c r="BH81" i="3"/>
  <c r="BG81" i="3"/>
  <c r="BF81" i="3"/>
  <c r="BE81" i="3"/>
  <c r="BD81" i="3"/>
  <c r="O81" i="3"/>
  <c r="BI80" i="3"/>
  <c r="BH80" i="3"/>
  <c r="BG80" i="3"/>
  <c r="BF80" i="3"/>
  <c r="BE80" i="3"/>
  <c r="BD80" i="3"/>
  <c r="O80" i="3"/>
  <c r="BI79" i="3"/>
  <c r="BH79" i="3"/>
  <c r="BG79" i="3"/>
  <c r="BF79" i="3"/>
  <c r="BE79" i="3"/>
  <c r="BD79" i="3"/>
  <c r="O79" i="3"/>
  <c r="BI78" i="3"/>
  <c r="BH78" i="3"/>
  <c r="BG78" i="3"/>
  <c r="BF78" i="3"/>
  <c r="BE78" i="3"/>
  <c r="BD78" i="3"/>
  <c r="O78" i="3"/>
  <c r="BI77" i="3"/>
  <c r="BH77" i="3"/>
  <c r="BG77" i="3"/>
  <c r="BF77" i="3"/>
  <c r="BE77" i="3"/>
  <c r="BD77" i="3"/>
  <c r="O77" i="3"/>
  <c r="BI76" i="3"/>
  <c r="BH76" i="3"/>
  <c r="BG76" i="3"/>
  <c r="BF76" i="3"/>
  <c r="BE76" i="3"/>
  <c r="BD76" i="3"/>
  <c r="O76" i="3"/>
  <c r="BI75" i="3"/>
  <c r="BH75" i="3"/>
  <c r="BG75" i="3"/>
  <c r="BF75" i="3"/>
  <c r="BE75" i="3"/>
  <c r="BD75" i="3"/>
  <c r="O75" i="3"/>
  <c r="BI74" i="3"/>
  <c r="BH74" i="3"/>
  <c r="BG74" i="3"/>
  <c r="BF74" i="3"/>
  <c r="BE74" i="3"/>
  <c r="BD74" i="3"/>
  <c r="O74" i="3"/>
  <c r="BI73" i="3"/>
  <c r="BH73" i="3"/>
  <c r="BG73" i="3"/>
  <c r="BF73" i="3"/>
  <c r="BE73" i="3"/>
  <c r="BD73" i="3"/>
  <c r="O73" i="3"/>
  <c r="BI72" i="3"/>
  <c r="BH72" i="3"/>
  <c r="BG72" i="3"/>
  <c r="BF72" i="3"/>
  <c r="BE72" i="3"/>
  <c r="AA72" i="3"/>
  <c r="BD72" i="3" s="1"/>
  <c r="BI71" i="3"/>
  <c r="BH71" i="3"/>
  <c r="BG71" i="3"/>
  <c r="BF71" i="3"/>
  <c r="BE71" i="3"/>
  <c r="AA71" i="3"/>
  <c r="BD71" i="3" s="1"/>
  <c r="BI70" i="3"/>
  <c r="BH70" i="3"/>
  <c r="BG70" i="3"/>
  <c r="BF70" i="3"/>
  <c r="BE70" i="3"/>
  <c r="AA70" i="3"/>
  <c r="BD70" i="3" s="1"/>
  <c r="BI69" i="3"/>
  <c r="BH69" i="3"/>
  <c r="BG69" i="3"/>
  <c r="BF69" i="3"/>
  <c r="BE69" i="3"/>
  <c r="AA69" i="3"/>
  <c r="BD69" i="3" s="1"/>
  <c r="BI68" i="3"/>
  <c r="BH68" i="3"/>
  <c r="BG68" i="3"/>
  <c r="BF68" i="3"/>
  <c r="BE68" i="3"/>
  <c r="BD68" i="3"/>
  <c r="O68" i="3"/>
  <c r="BI67" i="3"/>
  <c r="BH67" i="3"/>
  <c r="BG67" i="3"/>
  <c r="BF67" i="3"/>
  <c r="BE67" i="3"/>
  <c r="BD67" i="3"/>
  <c r="O67" i="3"/>
  <c r="BI66" i="3"/>
  <c r="BH66" i="3"/>
  <c r="BG66" i="3"/>
  <c r="BF66" i="3"/>
  <c r="BE66" i="3"/>
  <c r="BD66" i="3"/>
  <c r="O66" i="3"/>
  <c r="BI65" i="3"/>
  <c r="BH65" i="3"/>
  <c r="BG65" i="3"/>
  <c r="BF65" i="3"/>
  <c r="BE65" i="3"/>
  <c r="BD65" i="3"/>
  <c r="O65" i="3"/>
  <c r="BI64" i="3"/>
  <c r="BH64" i="3"/>
  <c r="BG64" i="3"/>
  <c r="BF64" i="3"/>
  <c r="BE64" i="3"/>
  <c r="BD64" i="3"/>
  <c r="O64" i="3"/>
  <c r="BI63" i="3"/>
  <c r="BH63" i="3"/>
  <c r="BG63" i="3"/>
  <c r="BF63" i="3"/>
  <c r="BE63" i="3"/>
  <c r="BD63" i="3"/>
  <c r="O63" i="3"/>
  <c r="BI62" i="3"/>
  <c r="BH62" i="3"/>
  <c r="BG62" i="3"/>
  <c r="BF62" i="3"/>
  <c r="BE62" i="3"/>
  <c r="BD62" i="3"/>
  <c r="O62" i="3"/>
  <c r="BI61" i="3"/>
  <c r="BH61" i="3"/>
  <c r="BG61" i="3"/>
  <c r="BF61" i="3"/>
  <c r="BE61" i="3"/>
  <c r="BD61" i="3"/>
  <c r="O61" i="3"/>
  <c r="BI60" i="3"/>
  <c r="BH60" i="3"/>
  <c r="BG60" i="3"/>
  <c r="BF60" i="3"/>
  <c r="BE60" i="3"/>
  <c r="BD60" i="3"/>
  <c r="O60" i="3"/>
  <c r="BI59" i="3"/>
  <c r="BH59" i="3"/>
  <c r="BG59" i="3"/>
  <c r="BF59" i="3"/>
  <c r="BE59" i="3"/>
  <c r="BD59" i="3"/>
  <c r="O59" i="3"/>
  <c r="BI58" i="3"/>
  <c r="BH58" i="3"/>
  <c r="BG58" i="3"/>
  <c r="BF58" i="3"/>
  <c r="BE58" i="3"/>
  <c r="BD58" i="3"/>
  <c r="O58" i="3"/>
  <c r="BI57" i="3"/>
  <c r="BH57" i="3"/>
  <c r="BG57" i="3"/>
  <c r="BF57" i="3"/>
  <c r="BE57" i="3"/>
  <c r="BD57" i="3"/>
  <c r="O57" i="3"/>
  <c r="BI56" i="3"/>
  <c r="BH56" i="3"/>
  <c r="BG56" i="3"/>
  <c r="BF56" i="3"/>
  <c r="BE56" i="3"/>
  <c r="BD56" i="3"/>
  <c r="O56" i="3"/>
  <c r="BI55" i="3"/>
  <c r="BH55" i="3"/>
  <c r="BG55" i="3"/>
  <c r="BF55" i="3"/>
  <c r="BE55" i="3"/>
  <c r="BI54" i="3"/>
  <c r="BH54" i="3"/>
  <c r="BG54" i="3"/>
  <c r="BF54" i="3"/>
  <c r="BE54" i="3"/>
  <c r="AA54" i="3"/>
  <c r="BD54" i="3" s="1"/>
  <c r="BI53" i="3"/>
  <c r="BH53" i="3"/>
  <c r="BG53" i="3"/>
  <c r="BF53" i="3"/>
  <c r="BE53" i="3"/>
  <c r="AA53" i="3"/>
  <c r="BD53" i="3" s="1"/>
  <c r="BI52" i="3"/>
  <c r="BH52" i="3"/>
  <c r="BG52" i="3"/>
  <c r="BF52" i="3"/>
  <c r="BE52" i="3"/>
  <c r="AA52" i="3"/>
  <c r="BD52" i="3" s="1"/>
  <c r="BI51" i="3"/>
  <c r="BH51" i="3"/>
  <c r="BG51" i="3"/>
  <c r="BF51" i="3"/>
  <c r="BE51" i="3"/>
  <c r="BD51" i="3"/>
  <c r="AA51" i="3"/>
  <c r="BI50" i="3"/>
  <c r="BH50" i="3"/>
  <c r="BG50" i="3"/>
  <c r="BF50" i="3"/>
  <c r="BE50" i="3"/>
  <c r="BD50" i="3"/>
  <c r="O50" i="3"/>
  <c r="BI49" i="3"/>
  <c r="BH49" i="3"/>
  <c r="BG49" i="3"/>
  <c r="BF49" i="3"/>
  <c r="BE49" i="3"/>
  <c r="BD49" i="3"/>
  <c r="O49" i="3"/>
  <c r="BI48" i="3"/>
  <c r="BH48" i="3"/>
  <c r="BG48" i="3"/>
  <c r="BF48" i="3"/>
  <c r="BE48" i="3"/>
  <c r="BD48" i="3"/>
  <c r="O48" i="3"/>
  <c r="BI47" i="3"/>
  <c r="BH47" i="3"/>
  <c r="BG47" i="3"/>
  <c r="BF47" i="3"/>
  <c r="BE47" i="3"/>
  <c r="BD47" i="3"/>
  <c r="O47" i="3"/>
  <c r="BI46" i="3"/>
  <c r="BH46" i="3"/>
  <c r="BG46" i="3"/>
  <c r="BF46" i="3"/>
  <c r="BE46" i="3"/>
  <c r="BD46" i="3"/>
  <c r="O46" i="3"/>
  <c r="BI45" i="3"/>
  <c r="BH45" i="3"/>
  <c r="BG45" i="3"/>
  <c r="BF45" i="3"/>
  <c r="BE45" i="3"/>
  <c r="BD45" i="3"/>
  <c r="O45" i="3"/>
  <c r="BI44" i="3"/>
  <c r="BH44" i="3"/>
  <c r="BG44" i="3"/>
  <c r="BF44" i="3"/>
  <c r="BE44" i="3"/>
  <c r="BD44" i="3"/>
  <c r="O44" i="3"/>
  <c r="BI43" i="3"/>
  <c r="BH43" i="3"/>
  <c r="BG43" i="3"/>
  <c r="BF43" i="3"/>
  <c r="BE43" i="3"/>
  <c r="BD43" i="3"/>
  <c r="O43" i="3"/>
  <c r="BI42" i="3"/>
  <c r="BH42" i="3"/>
  <c r="BG42" i="3"/>
  <c r="BF42" i="3"/>
  <c r="BE42" i="3"/>
  <c r="BD42" i="3"/>
  <c r="O42" i="3"/>
  <c r="BI41" i="3"/>
  <c r="BH41" i="3"/>
  <c r="BG41" i="3"/>
  <c r="BF41" i="3"/>
  <c r="BE41" i="3"/>
  <c r="BD41" i="3"/>
  <c r="O41" i="3"/>
  <c r="BI40" i="3"/>
  <c r="BH40" i="3"/>
  <c r="BG40" i="3"/>
  <c r="BF40" i="3"/>
  <c r="BE40" i="3"/>
  <c r="BD40" i="3"/>
  <c r="O40" i="3"/>
  <c r="BI39" i="3"/>
  <c r="BH39" i="3"/>
  <c r="BG39" i="3"/>
  <c r="BF39" i="3"/>
  <c r="BE39" i="3"/>
  <c r="BD39" i="3"/>
  <c r="O39" i="3"/>
  <c r="BI38" i="3"/>
  <c r="BH38" i="3"/>
  <c r="BG38" i="3"/>
  <c r="BF38" i="3"/>
  <c r="BE38" i="3"/>
  <c r="BI37" i="3"/>
  <c r="BH37" i="3"/>
  <c r="BG37" i="3"/>
  <c r="BF37" i="3"/>
  <c r="BE37" i="3"/>
  <c r="BD37" i="3"/>
  <c r="AA37" i="3"/>
  <c r="BI36" i="3"/>
  <c r="BH36" i="3"/>
  <c r="BG36" i="3"/>
  <c r="BF36" i="3"/>
  <c r="BE36" i="3"/>
  <c r="AA36" i="3"/>
  <c r="BD36" i="3" s="1"/>
  <c r="BI35" i="3"/>
  <c r="BH35" i="3"/>
  <c r="BG35" i="3"/>
  <c r="BF35" i="3"/>
  <c r="BE35" i="3"/>
  <c r="AA35" i="3"/>
  <c r="BD35" i="3" s="1"/>
  <c r="BI34" i="3"/>
  <c r="BH34" i="3"/>
  <c r="BG34" i="3"/>
  <c r="BF34" i="3"/>
  <c r="BE34" i="3"/>
  <c r="AA34" i="3"/>
  <c r="BD34" i="3" s="1"/>
  <c r="BI33" i="3"/>
  <c r="BH33" i="3"/>
  <c r="BG33" i="3"/>
  <c r="BF33" i="3"/>
  <c r="BE33" i="3"/>
  <c r="AA33" i="3"/>
  <c r="BD33" i="3" s="1"/>
  <c r="BI32" i="3"/>
  <c r="BH32" i="3"/>
  <c r="BG32" i="3"/>
  <c r="BF32" i="3"/>
  <c r="BE32" i="3"/>
  <c r="AA32" i="3"/>
  <c r="BD32" i="3" s="1"/>
  <c r="BI31" i="3"/>
  <c r="BH31" i="3"/>
  <c r="BG31" i="3"/>
  <c r="BF31" i="3"/>
  <c r="BE31" i="3"/>
  <c r="AA31" i="3"/>
  <c r="BD31" i="3" s="1"/>
  <c r="BI30" i="3"/>
  <c r="BH30" i="3"/>
  <c r="BG30" i="3"/>
  <c r="BF30" i="3"/>
  <c r="BE30" i="3"/>
  <c r="BD30" i="3"/>
  <c r="AA30" i="3"/>
  <c r="BI29" i="3"/>
  <c r="BH29" i="3"/>
  <c r="BG29" i="3"/>
  <c r="BF29" i="3"/>
  <c r="BE29" i="3"/>
  <c r="BD29" i="3"/>
  <c r="AA29" i="3"/>
  <c r="BI28" i="3"/>
  <c r="BH28" i="3"/>
  <c r="BG28" i="3"/>
  <c r="BF28" i="3"/>
  <c r="BE28" i="3"/>
  <c r="AA28" i="3"/>
  <c r="BD28" i="3" s="1"/>
  <c r="BI27" i="3"/>
  <c r="BH27" i="3"/>
  <c r="BG27" i="3"/>
  <c r="BF27" i="3"/>
  <c r="BE27" i="3"/>
  <c r="AA27" i="3"/>
  <c r="BD27" i="3" s="1"/>
  <c r="BI26" i="3"/>
  <c r="BH26" i="3"/>
  <c r="BG26" i="3"/>
  <c r="BF26" i="3"/>
  <c r="BE26" i="3"/>
  <c r="AA26" i="3"/>
  <c r="BD26" i="3" s="1"/>
  <c r="BI25" i="3"/>
  <c r="BH25" i="3"/>
  <c r="BG25" i="3"/>
  <c r="BF25" i="3"/>
  <c r="BE25" i="3"/>
  <c r="BD25" i="3"/>
  <c r="O25" i="3"/>
  <c r="BI24" i="3"/>
  <c r="BH24" i="3"/>
  <c r="BG24" i="3"/>
  <c r="BF24" i="3"/>
  <c r="BE24" i="3"/>
  <c r="BD24" i="3"/>
  <c r="O24" i="3"/>
  <c r="BI23" i="3"/>
  <c r="BH23" i="3"/>
  <c r="BG23" i="3"/>
  <c r="BF23" i="3"/>
  <c r="BE23" i="3"/>
  <c r="BD23" i="3"/>
  <c r="O23" i="3"/>
  <c r="BI22" i="3"/>
  <c r="BH22" i="3"/>
  <c r="BG22" i="3"/>
  <c r="BF22" i="3"/>
  <c r="BE22" i="3"/>
  <c r="BD22" i="3"/>
  <c r="O22" i="3"/>
  <c r="BI21" i="3"/>
  <c r="BH21" i="3"/>
  <c r="BG21" i="3"/>
  <c r="BF21" i="3"/>
  <c r="BE21" i="3"/>
  <c r="BD21" i="3"/>
  <c r="O21" i="3"/>
  <c r="BI20" i="3"/>
  <c r="BH20" i="3"/>
  <c r="BG20" i="3"/>
  <c r="BF20" i="3"/>
  <c r="BE20" i="3"/>
  <c r="BD20" i="3"/>
  <c r="O20" i="3"/>
  <c r="BI19" i="3"/>
  <c r="BH19" i="3"/>
  <c r="BG19" i="3"/>
  <c r="BF19" i="3"/>
  <c r="BE19" i="3"/>
  <c r="BD19" i="3"/>
  <c r="O19" i="3"/>
  <c r="BI18" i="3"/>
  <c r="BH18" i="3"/>
  <c r="BG18" i="3"/>
  <c r="BF18" i="3"/>
  <c r="BE18" i="3"/>
  <c r="BD18" i="3"/>
  <c r="O18" i="3"/>
  <c r="BI17" i="3"/>
  <c r="BH17" i="3"/>
  <c r="BG17" i="3"/>
  <c r="BF17" i="3"/>
  <c r="BE17" i="3"/>
  <c r="BD17" i="3"/>
  <c r="O17" i="3"/>
  <c r="BI16" i="3"/>
  <c r="BH16" i="3"/>
  <c r="BG16" i="3"/>
  <c r="BF16" i="3"/>
  <c r="BE16" i="3"/>
  <c r="BD16" i="3"/>
  <c r="O16" i="3"/>
  <c r="BI15" i="3"/>
  <c r="BH15" i="3"/>
  <c r="BG15" i="3"/>
  <c r="BF15" i="3"/>
  <c r="BE15" i="3"/>
  <c r="BD15" i="3"/>
  <c r="O15" i="3"/>
  <c r="BI14" i="3"/>
  <c r="BH14" i="3"/>
  <c r="BG14" i="3"/>
  <c r="BF14" i="3"/>
  <c r="BE14" i="3"/>
  <c r="BD14" i="3"/>
  <c r="O14" i="3"/>
  <c r="BI13" i="3"/>
  <c r="BH13" i="3"/>
  <c r="BG13" i="3"/>
  <c r="BF13" i="3"/>
  <c r="BE13" i="3"/>
  <c r="BD13" i="3"/>
  <c r="O13" i="3"/>
  <c r="BI12" i="3"/>
  <c r="BH12" i="3"/>
  <c r="BG12" i="3"/>
  <c r="BF12" i="3"/>
  <c r="BE12" i="3"/>
  <c r="BI11" i="3"/>
  <c r="BH11" i="3"/>
  <c r="BG11" i="3"/>
  <c r="BF11" i="3"/>
  <c r="BE11" i="3"/>
  <c r="BI10" i="3"/>
  <c r="BH10" i="3"/>
  <c r="BG10" i="3"/>
  <c r="BF10" i="3"/>
  <c r="BE10" i="3"/>
  <c r="BI9" i="3"/>
  <c r="BH9" i="3"/>
  <c r="BG9" i="3"/>
  <c r="BF9" i="3"/>
  <c r="BE9" i="3"/>
  <c r="BI8" i="3"/>
  <c r="BH8" i="3"/>
  <c r="BG8" i="3"/>
  <c r="BF8" i="3"/>
  <c r="BE8" i="3"/>
  <c r="BI7" i="3"/>
  <c r="BH7" i="3"/>
  <c r="BG7" i="3"/>
  <c r="BF7" i="3"/>
  <c r="BE7" i="3"/>
  <c r="BI6" i="3"/>
  <c r="BH6" i="3"/>
  <c r="BG6" i="3"/>
  <c r="BF6" i="3"/>
  <c r="BE6" i="3"/>
  <c r="BI5" i="3"/>
  <c r="BH5" i="3"/>
  <c r="BG5" i="3"/>
  <c r="BF5" i="3"/>
  <c r="BE5" i="3"/>
  <c r="BI4" i="3"/>
  <c r="BH4" i="3"/>
  <c r="BG4" i="3"/>
  <c r="BF4" i="3"/>
  <c r="BE4" i="3"/>
  <c r="BI3" i="3"/>
  <c r="BH3" i="3"/>
  <c r="BG3" i="3"/>
  <c r="BF3" i="3"/>
  <c r="BE3" i="3"/>
  <c r="BI2" i="3"/>
  <c r="BH2" i="3"/>
  <c r="BG2" i="3"/>
  <c r="BF2" i="3"/>
  <c r="BE2" i="3"/>
  <c r="L111" i="2" l="1"/>
  <c r="L110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192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192" i="2"/>
  <c r="P212" i="2"/>
  <c r="L190" i="2"/>
  <c r="L191" i="2"/>
  <c r="A212" i="2" l="1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D326" i="2"/>
  <c r="C326" i="2"/>
  <c r="P213" i="2"/>
  <c r="P214" i="2"/>
  <c r="P326" i="2" s="1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190" i="2"/>
  <c r="L189" i="2"/>
  <c r="R189" i="2" s="1"/>
  <c r="L188" i="2"/>
  <c r="R188" i="2" s="1"/>
  <c r="L187" i="2"/>
  <c r="R187" i="2" s="1"/>
  <c r="L186" i="2"/>
  <c r="R186" i="2" s="1"/>
  <c r="L185" i="2"/>
  <c r="L184" i="2"/>
  <c r="R184" i="2" s="1"/>
  <c r="R183" i="2"/>
  <c r="L182" i="2"/>
  <c r="R182" i="2" s="1"/>
  <c r="L181" i="2"/>
  <c r="R181" i="2" s="1"/>
  <c r="L180" i="2"/>
  <c r="R180" i="2" s="1"/>
  <c r="R179" i="2"/>
  <c r="A179" i="2"/>
  <c r="A181" i="2" s="1"/>
  <c r="L178" i="2"/>
  <c r="R178" i="2" s="1"/>
  <c r="L177" i="2"/>
  <c r="L176" i="2"/>
  <c r="R176" i="2" s="1"/>
  <c r="L175" i="2"/>
  <c r="R175" i="2" s="1"/>
  <c r="L174" i="2"/>
  <c r="R174" i="2" s="1"/>
  <c r="L173" i="2"/>
  <c r="R173" i="2" s="1"/>
  <c r="L172" i="2"/>
  <c r="R172" i="2" s="1"/>
  <c r="L171" i="2"/>
  <c r="R171" i="2" s="1"/>
  <c r="L170" i="2"/>
  <c r="R170" i="2" s="1"/>
  <c r="L169" i="2"/>
  <c r="R169" i="2" s="1"/>
  <c r="L168" i="2"/>
  <c r="R168" i="2" s="1"/>
  <c r="L167" i="2"/>
  <c r="R167" i="2" s="1"/>
  <c r="A167" i="2"/>
  <c r="A169" i="2" s="1"/>
  <c r="L166" i="2"/>
  <c r="R166" i="2" s="1"/>
  <c r="L165" i="2"/>
  <c r="R165" i="2" s="1"/>
  <c r="L164" i="2"/>
  <c r="R164" i="2" s="1"/>
  <c r="L163" i="2"/>
  <c r="R163" i="2" s="1"/>
  <c r="L162" i="2"/>
  <c r="R162" i="2" s="1"/>
  <c r="L161" i="2"/>
  <c r="R161" i="2" s="1"/>
  <c r="L160" i="2"/>
  <c r="R160" i="2" s="1"/>
  <c r="L159" i="2"/>
  <c r="R159" i="2" s="1"/>
  <c r="L158" i="2"/>
  <c r="R158" i="2" s="1"/>
  <c r="O157" i="2"/>
  <c r="N157" i="2"/>
  <c r="L157" i="2"/>
  <c r="R157" i="2" s="1"/>
  <c r="O156" i="2"/>
  <c r="N156" i="2"/>
  <c r="L156" i="2"/>
  <c r="R156" i="2" s="1"/>
  <c r="O155" i="2"/>
  <c r="N155" i="2"/>
  <c r="L155" i="2"/>
  <c r="R155" i="2" s="1"/>
  <c r="A155" i="2"/>
  <c r="A157" i="2" s="1"/>
  <c r="O154" i="2"/>
  <c r="N154" i="2"/>
  <c r="L154" i="2"/>
  <c r="R154" i="2" s="1"/>
  <c r="O153" i="2"/>
  <c r="N153" i="2"/>
  <c r="L153" i="2"/>
  <c r="R153" i="2" s="1"/>
  <c r="O152" i="2"/>
  <c r="N152" i="2"/>
  <c r="L152" i="2"/>
  <c r="R152" i="2" s="1"/>
  <c r="O151" i="2"/>
  <c r="N151" i="2"/>
  <c r="L151" i="2"/>
  <c r="O150" i="2"/>
  <c r="N150" i="2"/>
  <c r="L150" i="2"/>
  <c r="R150" i="2" s="1"/>
  <c r="O149" i="2"/>
  <c r="N149" i="2"/>
  <c r="L149" i="2"/>
  <c r="R149" i="2" s="1"/>
  <c r="Q148" i="2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O148" i="2"/>
  <c r="N148" i="2"/>
  <c r="L148" i="2"/>
  <c r="R148" i="2" s="1"/>
  <c r="O147" i="2"/>
  <c r="N147" i="2"/>
  <c r="L147" i="2"/>
  <c r="R147" i="2" s="1"/>
  <c r="O146" i="2"/>
  <c r="N146" i="2"/>
  <c r="L146" i="2"/>
  <c r="R146" i="2" s="1"/>
  <c r="O145" i="2"/>
  <c r="N145" i="2"/>
  <c r="L145" i="2"/>
  <c r="R145" i="2" s="1"/>
  <c r="O144" i="2"/>
  <c r="N144" i="2"/>
  <c r="L144" i="2"/>
  <c r="R144" i="2" s="1"/>
  <c r="O143" i="2"/>
  <c r="N143" i="2"/>
  <c r="L143" i="2"/>
  <c r="R143" i="2" s="1"/>
  <c r="O142" i="2"/>
  <c r="N142" i="2"/>
  <c r="L142" i="2"/>
  <c r="R142" i="2" s="1"/>
  <c r="O141" i="2"/>
  <c r="N141" i="2"/>
  <c r="L141" i="2"/>
  <c r="R141" i="2" s="1"/>
  <c r="O140" i="2"/>
  <c r="N140" i="2"/>
  <c r="L140" i="2"/>
  <c r="R140" i="2" s="1"/>
  <c r="O139" i="2"/>
  <c r="N139" i="2"/>
  <c r="L139" i="2"/>
  <c r="R139" i="2" s="1"/>
  <c r="O138" i="2"/>
  <c r="N138" i="2"/>
  <c r="L138" i="2"/>
  <c r="R138" i="2" s="1"/>
  <c r="O137" i="2"/>
  <c r="N137" i="2"/>
  <c r="L137" i="2"/>
  <c r="R137" i="2" s="1"/>
  <c r="O136" i="2"/>
  <c r="N136" i="2"/>
  <c r="L136" i="2"/>
  <c r="O135" i="2"/>
  <c r="N135" i="2"/>
  <c r="L135" i="2"/>
  <c r="R135" i="2" s="1"/>
  <c r="O134" i="2"/>
  <c r="N134" i="2"/>
  <c r="L134" i="2"/>
  <c r="R134" i="2" s="1"/>
  <c r="O133" i="2"/>
  <c r="N133" i="2"/>
  <c r="L133" i="2"/>
  <c r="R133" i="2" s="1"/>
  <c r="O132" i="2"/>
  <c r="N132" i="2"/>
  <c r="L132" i="2"/>
  <c r="R132" i="2" s="1"/>
  <c r="O131" i="2"/>
  <c r="N131" i="2"/>
  <c r="L131" i="2"/>
  <c r="R131" i="2" s="1"/>
  <c r="O130" i="2"/>
  <c r="N130" i="2"/>
  <c r="L130" i="2"/>
  <c r="R130" i="2" s="1"/>
  <c r="O129" i="2"/>
  <c r="N129" i="2"/>
  <c r="L129" i="2"/>
  <c r="R129" i="2" s="1"/>
  <c r="O128" i="2"/>
  <c r="N128" i="2"/>
  <c r="L128" i="2"/>
  <c r="R128" i="2" s="1"/>
  <c r="O127" i="2"/>
  <c r="N127" i="2"/>
  <c r="L127" i="2"/>
  <c r="R127" i="2" s="1"/>
  <c r="O126" i="2"/>
  <c r="N126" i="2"/>
  <c r="L126" i="2"/>
  <c r="R126" i="2" s="1"/>
  <c r="O125" i="2"/>
  <c r="N125" i="2"/>
  <c r="L125" i="2"/>
  <c r="R125" i="2" s="1"/>
  <c r="O124" i="2"/>
  <c r="N124" i="2"/>
  <c r="L124" i="2"/>
  <c r="R124" i="2" s="1"/>
  <c r="O123" i="2"/>
  <c r="N123" i="2"/>
  <c r="L123" i="2"/>
  <c r="R123" i="2" s="1"/>
  <c r="O122" i="2"/>
  <c r="N122" i="2"/>
  <c r="L122" i="2"/>
  <c r="R122" i="2" s="1"/>
  <c r="O121" i="2"/>
  <c r="N121" i="2"/>
  <c r="L121" i="2"/>
  <c r="R121" i="2" s="1"/>
  <c r="O120" i="2"/>
  <c r="N120" i="2"/>
  <c r="L120" i="2"/>
  <c r="R120" i="2" s="1"/>
  <c r="O119" i="2"/>
  <c r="N119" i="2"/>
  <c r="L119" i="2"/>
  <c r="R119" i="2" s="1"/>
  <c r="O118" i="2"/>
  <c r="N118" i="2"/>
  <c r="L118" i="2"/>
  <c r="R118" i="2" s="1"/>
  <c r="O117" i="2"/>
  <c r="N117" i="2"/>
  <c r="L117" i="2"/>
  <c r="R117" i="2" s="1"/>
  <c r="O116" i="2"/>
  <c r="N116" i="2"/>
  <c r="L116" i="2"/>
  <c r="R116" i="2" s="1"/>
  <c r="O115" i="2"/>
  <c r="N115" i="2"/>
  <c r="L115" i="2"/>
  <c r="R115" i="2" s="1"/>
  <c r="O114" i="2"/>
  <c r="N114" i="2"/>
  <c r="L114" i="2"/>
  <c r="R114" i="2" s="1"/>
  <c r="O113" i="2"/>
  <c r="N113" i="2"/>
  <c r="L113" i="2"/>
  <c r="R113" i="2" s="1"/>
  <c r="O112" i="2"/>
  <c r="N112" i="2"/>
  <c r="L112" i="2"/>
  <c r="R112" i="2" s="1"/>
  <c r="O111" i="2"/>
  <c r="N111" i="2"/>
  <c r="R111" i="2"/>
  <c r="O110" i="2"/>
  <c r="N110" i="2"/>
  <c r="R110" i="2"/>
  <c r="O109" i="2"/>
  <c r="N109" i="2"/>
  <c r="L109" i="2"/>
  <c r="R109" i="2" s="1"/>
  <c r="O108" i="2"/>
  <c r="N108" i="2"/>
  <c r="L108" i="2"/>
  <c r="R108" i="2" s="1"/>
  <c r="O107" i="2"/>
  <c r="N107" i="2"/>
  <c r="L107" i="2"/>
  <c r="R107" i="2" s="1"/>
  <c r="O106" i="2"/>
  <c r="N106" i="2"/>
  <c r="L106" i="2"/>
  <c r="R106" i="2" s="1"/>
  <c r="O105" i="2"/>
  <c r="N105" i="2"/>
  <c r="L105" i="2"/>
  <c r="R105" i="2" s="1"/>
  <c r="O104" i="2"/>
  <c r="N104" i="2"/>
  <c r="L104" i="2"/>
  <c r="R104" i="2" s="1"/>
  <c r="O103" i="2"/>
  <c r="N103" i="2"/>
  <c r="L103" i="2"/>
  <c r="R103" i="2" s="1"/>
  <c r="O102" i="2"/>
  <c r="N102" i="2"/>
  <c r="L102" i="2"/>
  <c r="R102" i="2" s="1"/>
  <c r="O101" i="2"/>
  <c r="N101" i="2"/>
  <c r="L101" i="2"/>
  <c r="R101" i="2" s="1"/>
  <c r="O100" i="2"/>
  <c r="N100" i="2"/>
  <c r="L100" i="2"/>
  <c r="R100" i="2" s="1"/>
  <c r="O99" i="2"/>
  <c r="N99" i="2"/>
  <c r="L99" i="2"/>
  <c r="R99" i="2" s="1"/>
  <c r="O98" i="2"/>
  <c r="N98" i="2"/>
  <c r="L98" i="2"/>
  <c r="R98" i="2" s="1"/>
  <c r="O97" i="2"/>
  <c r="N97" i="2"/>
  <c r="L97" i="2"/>
  <c r="R97" i="2" s="1"/>
  <c r="O96" i="2"/>
  <c r="N96" i="2"/>
  <c r="L96" i="2"/>
  <c r="R96" i="2" s="1"/>
  <c r="O95" i="2"/>
  <c r="N95" i="2"/>
  <c r="L95" i="2"/>
  <c r="R95" i="2" s="1"/>
  <c r="O94" i="2"/>
  <c r="N94" i="2"/>
  <c r="L94" i="2"/>
  <c r="R94" i="2" s="1"/>
  <c r="O93" i="2"/>
  <c r="N93" i="2"/>
  <c r="L93" i="2"/>
  <c r="R93" i="2" s="1"/>
  <c r="O92" i="2"/>
  <c r="N92" i="2"/>
  <c r="L92" i="2"/>
  <c r="R92" i="2" s="1"/>
  <c r="O91" i="2"/>
  <c r="N91" i="2"/>
  <c r="L91" i="2"/>
  <c r="R91" i="2" s="1"/>
  <c r="O90" i="2"/>
  <c r="N90" i="2"/>
  <c r="L90" i="2"/>
  <c r="R90" i="2" s="1"/>
  <c r="O89" i="2"/>
  <c r="N89" i="2"/>
  <c r="L89" i="2"/>
  <c r="R89" i="2" s="1"/>
  <c r="O88" i="2"/>
  <c r="N88" i="2"/>
  <c r="L88" i="2"/>
  <c r="R88" i="2" s="1"/>
  <c r="O87" i="2"/>
  <c r="N87" i="2"/>
  <c r="L87" i="2"/>
  <c r="R87" i="2" s="1"/>
  <c r="O86" i="2"/>
  <c r="N86" i="2"/>
  <c r="L86" i="2"/>
  <c r="R86" i="2" s="1"/>
  <c r="O85" i="2"/>
  <c r="N85" i="2"/>
  <c r="L85" i="2"/>
  <c r="R85" i="2" s="1"/>
  <c r="R84" i="2"/>
  <c r="O84" i="2"/>
  <c r="N84" i="2"/>
  <c r="O83" i="2"/>
  <c r="N83" i="2"/>
  <c r="L83" i="2"/>
  <c r="R83" i="2" s="1"/>
  <c r="L82" i="2"/>
  <c r="R82" i="2" s="1"/>
  <c r="L81" i="2"/>
  <c r="R81" i="2" s="1"/>
  <c r="L80" i="2"/>
  <c r="R80" i="2" s="1"/>
  <c r="L79" i="2"/>
  <c r="R79" i="2" s="1"/>
  <c r="L78" i="2"/>
  <c r="R78" i="2" s="1"/>
  <c r="L77" i="2"/>
  <c r="R77" i="2" s="1"/>
  <c r="L76" i="2"/>
  <c r="R75" i="2"/>
  <c r="L74" i="2"/>
  <c r="R74" i="2" s="1"/>
  <c r="L73" i="2"/>
  <c r="R73" i="2" s="1"/>
  <c r="L72" i="2"/>
  <c r="R72" i="2" s="1"/>
  <c r="L71" i="2"/>
  <c r="R71" i="2" s="1"/>
  <c r="L70" i="2"/>
  <c r="R70" i="2" s="1"/>
  <c r="L69" i="2"/>
  <c r="R69" i="2" s="1"/>
  <c r="L68" i="2"/>
  <c r="R68" i="2" s="1"/>
  <c r="L67" i="2"/>
  <c r="R67" i="2" s="1"/>
  <c r="L66" i="2"/>
  <c r="R66" i="2" s="1"/>
  <c r="L65" i="2"/>
  <c r="R65" i="2" s="1"/>
  <c r="L64" i="2"/>
  <c r="R64" i="2" s="1"/>
  <c r="L63" i="2"/>
  <c r="R63" i="2" s="1"/>
  <c r="L62" i="2"/>
  <c r="R62" i="2" s="1"/>
  <c r="L61" i="2"/>
  <c r="R61" i="2" s="1"/>
  <c r="L60" i="2"/>
  <c r="R60" i="2" s="1"/>
  <c r="L59" i="2"/>
  <c r="R59" i="2" s="1"/>
  <c r="L58" i="2"/>
  <c r="R58" i="2" s="1"/>
  <c r="L57" i="2"/>
  <c r="R57" i="2" s="1"/>
  <c r="L56" i="2"/>
  <c r="R56" i="2" s="1"/>
  <c r="L55" i="2"/>
  <c r="R55" i="2" s="1"/>
  <c r="L54" i="2"/>
  <c r="R54" i="2" s="1"/>
  <c r="L53" i="2"/>
  <c r="R53" i="2" s="1"/>
  <c r="L52" i="2"/>
  <c r="R51" i="2"/>
  <c r="R50" i="2"/>
  <c r="R49" i="2"/>
  <c r="R48" i="2"/>
  <c r="R47" i="2"/>
  <c r="R46" i="2"/>
  <c r="R45" i="2"/>
  <c r="A45" i="2"/>
  <c r="A48" i="2" s="1"/>
  <c r="R44" i="2"/>
  <c r="R43" i="2"/>
  <c r="R42" i="2"/>
  <c r="R41" i="2"/>
  <c r="R40" i="2"/>
  <c r="R39" i="2"/>
  <c r="R38" i="2"/>
  <c r="R37" i="2"/>
  <c r="R36" i="2"/>
  <c r="R35" i="2"/>
  <c r="R34" i="2"/>
  <c r="R33" i="2"/>
  <c r="A33" i="2"/>
  <c r="A36" i="2" s="1"/>
  <c r="R32" i="2"/>
  <c r="R31" i="2"/>
  <c r="R30" i="2"/>
  <c r="R29" i="2"/>
  <c r="R28" i="2"/>
  <c r="R27" i="2"/>
  <c r="R26" i="2"/>
  <c r="R25" i="2"/>
  <c r="R24" i="2"/>
  <c r="R23" i="2"/>
  <c r="R22" i="2"/>
  <c r="R21" i="2"/>
  <c r="A21" i="2"/>
  <c r="A24" i="2" s="1"/>
  <c r="R20" i="2"/>
  <c r="R19" i="2"/>
  <c r="R18" i="2"/>
  <c r="R17" i="2"/>
  <c r="R16" i="2"/>
  <c r="R15" i="2"/>
  <c r="R14" i="2"/>
  <c r="R13" i="2"/>
  <c r="R12" i="2"/>
  <c r="R11" i="2"/>
  <c r="R10" i="2"/>
  <c r="R9" i="2"/>
  <c r="A9" i="2"/>
  <c r="A12" i="2" s="1"/>
  <c r="R8" i="2"/>
  <c r="R7" i="2"/>
  <c r="R6" i="2"/>
  <c r="R5" i="2"/>
  <c r="R4" i="2"/>
  <c r="A57" i="2" l="1"/>
  <c r="A60" i="2" s="1"/>
  <c r="G323" i="2"/>
  <c r="G324" i="2"/>
  <c r="G206" i="2" s="1"/>
  <c r="G212" i="2"/>
  <c r="G213" i="2"/>
  <c r="F214" i="2"/>
  <c r="E215" i="2"/>
  <c r="E216" i="2"/>
  <c r="E217" i="2"/>
  <c r="E218" i="2"/>
  <c r="E219" i="2"/>
  <c r="K222" i="2"/>
  <c r="J223" i="2"/>
  <c r="I224" i="2"/>
  <c r="I225" i="2"/>
  <c r="I226" i="2"/>
  <c r="H227" i="2"/>
  <c r="H212" i="2"/>
  <c r="H213" i="2"/>
  <c r="G214" i="2"/>
  <c r="F215" i="2"/>
  <c r="F216" i="2"/>
  <c r="F217" i="2"/>
  <c r="F218" i="2"/>
  <c r="F219" i="2"/>
  <c r="E220" i="2"/>
  <c r="E221" i="2"/>
  <c r="K223" i="2"/>
  <c r="J224" i="2"/>
  <c r="J225" i="2"/>
  <c r="J226" i="2"/>
  <c r="I227" i="2"/>
  <c r="H228" i="2"/>
  <c r="H229" i="2"/>
  <c r="H230" i="2"/>
  <c r="G231" i="2"/>
  <c r="G232" i="2"/>
  <c r="G233" i="2"/>
  <c r="F234" i="2"/>
  <c r="E235" i="2"/>
  <c r="E236" i="2"/>
  <c r="E237" i="2"/>
  <c r="K238" i="2"/>
  <c r="J239" i="2"/>
  <c r="J240" i="2"/>
  <c r="J241" i="2"/>
  <c r="H242" i="2"/>
  <c r="G243" i="2"/>
  <c r="G244" i="2"/>
  <c r="G245" i="2"/>
  <c r="F246" i="2"/>
  <c r="E247" i="2"/>
  <c r="E248" i="2"/>
  <c r="E249" i="2"/>
  <c r="K250" i="2"/>
  <c r="J251" i="2"/>
  <c r="J252" i="2"/>
  <c r="J253" i="2"/>
  <c r="H254" i="2"/>
  <c r="F255" i="2"/>
  <c r="F256" i="2"/>
  <c r="F257" i="2"/>
  <c r="F258" i="2"/>
  <c r="I263" i="2"/>
  <c r="I264" i="2"/>
  <c r="I265" i="2"/>
  <c r="H266" i="2"/>
  <c r="F267" i="2"/>
  <c r="F268" i="2"/>
  <c r="F269" i="2"/>
  <c r="E270" i="2"/>
  <c r="K274" i="2"/>
  <c r="J275" i="2"/>
  <c r="J276" i="2"/>
  <c r="J277" i="2"/>
  <c r="J278" i="2"/>
  <c r="G279" i="2"/>
  <c r="G280" i="2"/>
  <c r="G281" i="2"/>
  <c r="E282" i="2"/>
  <c r="I212" i="2"/>
  <c r="I213" i="2"/>
  <c r="H214" i="2"/>
  <c r="G215" i="2"/>
  <c r="G216" i="2"/>
  <c r="G217" i="2"/>
  <c r="G218" i="2"/>
  <c r="G219" i="2"/>
  <c r="F220" i="2"/>
  <c r="F221" i="2"/>
  <c r="E222" i="2"/>
  <c r="K224" i="2"/>
  <c r="J212" i="2"/>
  <c r="J213" i="2"/>
  <c r="I214" i="2"/>
  <c r="H215" i="2"/>
  <c r="H216" i="2"/>
  <c r="H217" i="2"/>
  <c r="H218" i="2"/>
  <c r="H219" i="2"/>
  <c r="G220" i="2"/>
  <c r="G221" i="2"/>
  <c r="F222" i="2"/>
  <c r="E223" i="2"/>
  <c r="K227" i="2"/>
  <c r="J228" i="2"/>
  <c r="J229" i="2"/>
  <c r="J230" i="2"/>
  <c r="I231" i="2"/>
  <c r="I232" i="2"/>
  <c r="I233" i="2"/>
  <c r="H234" i="2"/>
  <c r="G235" i="2"/>
  <c r="G236" i="2"/>
  <c r="G237" i="2"/>
  <c r="E238" i="2"/>
  <c r="J242" i="2"/>
  <c r="I243" i="2"/>
  <c r="I244" i="2"/>
  <c r="I245" i="2"/>
  <c r="H246" i="2"/>
  <c r="G247" i="2"/>
  <c r="G248" i="2"/>
  <c r="G249" i="2"/>
  <c r="E250" i="2"/>
  <c r="J254" i="2"/>
  <c r="H255" i="2"/>
  <c r="H256" i="2"/>
  <c r="H257" i="2"/>
  <c r="H258" i="2"/>
  <c r="F259" i="2"/>
  <c r="F260" i="2"/>
  <c r="F261" i="2"/>
  <c r="F262" i="2"/>
  <c r="K263" i="2"/>
  <c r="K264" i="2"/>
  <c r="K265" i="2"/>
  <c r="J266" i="2"/>
  <c r="H267" i="2"/>
  <c r="H268" i="2"/>
  <c r="H269" i="2"/>
  <c r="G270" i="2"/>
  <c r="F271" i="2"/>
  <c r="F272" i="2"/>
  <c r="F273" i="2"/>
  <c r="E274" i="2"/>
  <c r="I279" i="2"/>
  <c r="I280" i="2"/>
  <c r="I281" i="2"/>
  <c r="G282" i="2"/>
  <c r="E283" i="2"/>
  <c r="E284" i="2"/>
  <c r="E285" i="2"/>
  <c r="K287" i="2"/>
  <c r="K288" i="2"/>
  <c r="K212" i="2"/>
  <c r="K213" i="2"/>
  <c r="J214" i="2"/>
  <c r="I215" i="2"/>
  <c r="I216" i="2"/>
  <c r="I217" i="2"/>
  <c r="I218" i="2"/>
  <c r="I219" i="2"/>
  <c r="H220" i="2"/>
  <c r="H221" i="2"/>
  <c r="G222" i="2"/>
  <c r="F223" i="2"/>
  <c r="E224" i="2"/>
  <c r="E225" i="2"/>
  <c r="E226" i="2"/>
  <c r="K228" i="2"/>
  <c r="K229" i="2"/>
  <c r="K230" i="2"/>
  <c r="J231" i="2"/>
  <c r="J232" i="2"/>
  <c r="J233" i="2"/>
  <c r="I234" i="2"/>
  <c r="H235" i="2"/>
  <c r="H236" i="2"/>
  <c r="H237" i="2"/>
  <c r="F238" i="2"/>
  <c r="E239" i="2"/>
  <c r="E240" i="2"/>
  <c r="E241" i="2"/>
  <c r="K242" i="2"/>
  <c r="J243" i="2"/>
  <c r="J244" i="2"/>
  <c r="J245" i="2"/>
  <c r="I246" i="2"/>
  <c r="H247" i="2"/>
  <c r="H248" i="2"/>
  <c r="H249" i="2"/>
  <c r="F250" i="2"/>
  <c r="E251" i="2"/>
  <c r="E252" i="2"/>
  <c r="E253" i="2"/>
  <c r="K254" i="2"/>
  <c r="I255" i="2"/>
  <c r="I256" i="2"/>
  <c r="I257" i="2"/>
  <c r="I258" i="2"/>
  <c r="G259" i="2"/>
  <c r="G260" i="2"/>
  <c r="G261" i="2"/>
  <c r="G262" i="2"/>
  <c r="K266" i="2"/>
  <c r="I267" i="2"/>
  <c r="I268" i="2"/>
  <c r="I269" i="2"/>
  <c r="H270" i="2"/>
  <c r="G271" i="2"/>
  <c r="G272" i="2"/>
  <c r="K214" i="2"/>
  <c r="J215" i="2"/>
  <c r="J216" i="2"/>
  <c r="J217" i="2"/>
  <c r="J218" i="2"/>
  <c r="J219" i="2"/>
  <c r="I220" i="2"/>
  <c r="I221" i="2"/>
  <c r="H222" i="2"/>
  <c r="G223" i="2"/>
  <c r="F224" i="2"/>
  <c r="F225" i="2"/>
  <c r="F226" i="2"/>
  <c r="E227" i="2"/>
  <c r="K231" i="2"/>
  <c r="K232" i="2"/>
  <c r="K233" i="2"/>
  <c r="J234" i="2"/>
  <c r="I235" i="2"/>
  <c r="I236" i="2"/>
  <c r="I237" i="2"/>
  <c r="G238" i="2"/>
  <c r="F239" i="2"/>
  <c r="F240" i="2"/>
  <c r="F241" i="2"/>
  <c r="K243" i="2"/>
  <c r="K244" i="2"/>
  <c r="K245" i="2"/>
  <c r="J246" i="2"/>
  <c r="I247" i="2"/>
  <c r="I248" i="2"/>
  <c r="I249" i="2"/>
  <c r="G250" i="2"/>
  <c r="F251" i="2"/>
  <c r="F252" i="2"/>
  <c r="F253" i="2"/>
  <c r="J255" i="2"/>
  <c r="J256" i="2"/>
  <c r="J257" i="2"/>
  <c r="J258" i="2"/>
  <c r="H259" i="2"/>
  <c r="H260" i="2"/>
  <c r="H261" i="2"/>
  <c r="H262" i="2"/>
  <c r="E263" i="2"/>
  <c r="E264" i="2"/>
  <c r="E265" i="2"/>
  <c r="J267" i="2"/>
  <c r="J268" i="2"/>
  <c r="J269" i="2"/>
  <c r="I270" i="2"/>
  <c r="H271" i="2"/>
  <c r="H272" i="2"/>
  <c r="H273" i="2"/>
  <c r="G274" i="2"/>
  <c r="F275" i="2"/>
  <c r="F276" i="2"/>
  <c r="F277" i="2"/>
  <c r="F278" i="2"/>
  <c r="K279" i="2"/>
  <c r="K280" i="2"/>
  <c r="K281" i="2"/>
  <c r="I282" i="2"/>
  <c r="G283" i="2"/>
  <c r="G284" i="2"/>
  <c r="G285" i="2"/>
  <c r="F286" i="2"/>
  <c r="E287" i="2"/>
  <c r="E288" i="2"/>
  <c r="E289" i="2"/>
  <c r="K291" i="2"/>
  <c r="K292" i="2"/>
  <c r="J293" i="2"/>
  <c r="J294" i="2"/>
  <c r="E212" i="2"/>
  <c r="E213" i="2"/>
  <c r="K215" i="2"/>
  <c r="K216" i="2"/>
  <c r="K217" i="2"/>
  <c r="K218" i="2"/>
  <c r="K219" i="2"/>
  <c r="J220" i="2"/>
  <c r="J221" i="2"/>
  <c r="I222" i="2"/>
  <c r="H223" i="2"/>
  <c r="G224" i="2"/>
  <c r="G225" i="2"/>
  <c r="G226" i="2"/>
  <c r="F227" i="2"/>
  <c r="E228" i="2"/>
  <c r="E229" i="2"/>
  <c r="E230" i="2"/>
  <c r="K234" i="2"/>
  <c r="J235" i="2"/>
  <c r="J236" i="2"/>
  <c r="J237" i="2"/>
  <c r="H238" i="2"/>
  <c r="G239" i="2"/>
  <c r="G240" i="2"/>
  <c r="G241" i="2"/>
  <c r="E242" i="2"/>
  <c r="K246" i="2"/>
  <c r="J247" i="2"/>
  <c r="J248" i="2"/>
  <c r="J249" i="2"/>
  <c r="H250" i="2"/>
  <c r="G251" i="2"/>
  <c r="G252" i="2"/>
  <c r="F212" i="2"/>
  <c r="F213" i="2"/>
  <c r="E214" i="2"/>
  <c r="O214" i="2" s="1"/>
  <c r="K220" i="2"/>
  <c r="K221" i="2"/>
  <c r="J222" i="2"/>
  <c r="I223" i="2"/>
  <c r="H224" i="2"/>
  <c r="H225" i="2"/>
  <c r="H226" i="2"/>
  <c r="G227" i="2"/>
  <c r="F228" i="2"/>
  <c r="F229" i="2"/>
  <c r="F230" i="2"/>
  <c r="E231" i="2"/>
  <c r="E232" i="2"/>
  <c r="E233" i="2"/>
  <c r="K235" i="2"/>
  <c r="K236" i="2"/>
  <c r="K237" i="2"/>
  <c r="I238" i="2"/>
  <c r="H239" i="2"/>
  <c r="H240" i="2"/>
  <c r="H241" i="2"/>
  <c r="F242" i="2"/>
  <c r="E243" i="2"/>
  <c r="E244" i="2"/>
  <c r="O244" i="2" s="1"/>
  <c r="E245" i="2"/>
  <c r="K247" i="2"/>
  <c r="K248" i="2"/>
  <c r="K249" i="2"/>
  <c r="I250" i="2"/>
  <c r="H251" i="2"/>
  <c r="H252" i="2"/>
  <c r="H253" i="2"/>
  <c r="F254" i="2"/>
  <c r="J259" i="2"/>
  <c r="J260" i="2"/>
  <c r="J261" i="2"/>
  <c r="J262" i="2"/>
  <c r="G263" i="2"/>
  <c r="G264" i="2"/>
  <c r="G265" i="2"/>
  <c r="F266" i="2"/>
  <c r="K270" i="2"/>
  <c r="J271" i="2"/>
  <c r="J272" i="2"/>
  <c r="J273" i="2"/>
  <c r="I274" i="2"/>
  <c r="F325" i="2"/>
  <c r="F207" i="2" s="1"/>
  <c r="F324" i="2"/>
  <c r="F206" i="2" s="1"/>
  <c r="F323" i="2"/>
  <c r="G322" i="2"/>
  <c r="G205" i="2" s="1"/>
  <c r="H321" i="2"/>
  <c r="H320" i="2"/>
  <c r="I319" i="2"/>
  <c r="I318" i="2"/>
  <c r="K317" i="2"/>
  <c r="K316" i="2"/>
  <c r="K203" i="2" s="1"/>
  <c r="E314" i="2"/>
  <c r="F313" i="2"/>
  <c r="G312" i="2"/>
  <c r="H311" i="2"/>
  <c r="H310" i="2"/>
  <c r="H201" i="2" s="1"/>
  <c r="H309" i="2"/>
  <c r="H308" i="2"/>
  <c r="H200" i="2" s="1"/>
  <c r="I307" i="2"/>
  <c r="I306" i="2"/>
  <c r="I305" i="2"/>
  <c r="J304" i="2"/>
  <c r="K303" i="2"/>
  <c r="K302" i="2"/>
  <c r="E301" i="2"/>
  <c r="E300" i="2"/>
  <c r="F299" i="2"/>
  <c r="G298" i="2"/>
  <c r="H297" i="2"/>
  <c r="I296" i="2"/>
  <c r="J295" i="2"/>
  <c r="K293" i="2"/>
  <c r="J292" i="2"/>
  <c r="I291" i="2"/>
  <c r="I290" i="2"/>
  <c r="J289" i="2"/>
  <c r="H288" i="2"/>
  <c r="F287" i="2"/>
  <c r="K284" i="2"/>
  <c r="I283" i="2"/>
  <c r="H282" i="2"/>
  <c r="E281" i="2"/>
  <c r="H279" i="2"/>
  <c r="G278" i="2"/>
  <c r="I275" i="2"/>
  <c r="F274" i="2"/>
  <c r="I272" i="2"/>
  <c r="J270" i="2"/>
  <c r="G268" i="2"/>
  <c r="I266" i="2"/>
  <c r="J264" i="2"/>
  <c r="E257" i="2"/>
  <c r="E255" i="2"/>
  <c r="I253" i="2"/>
  <c r="G242" i="2"/>
  <c r="K239" i="2"/>
  <c r="H233" i="2"/>
  <c r="G228" i="2"/>
  <c r="E325" i="2"/>
  <c r="E207" i="2" s="1"/>
  <c r="E324" i="2"/>
  <c r="E206" i="2" s="1"/>
  <c r="E323" i="2"/>
  <c r="F322" i="2"/>
  <c r="F205" i="2" s="1"/>
  <c r="G321" i="2"/>
  <c r="G320" i="2"/>
  <c r="H319" i="2"/>
  <c r="H318" i="2"/>
  <c r="H204" i="2" s="1"/>
  <c r="J317" i="2"/>
  <c r="J316" i="2"/>
  <c r="K315" i="2"/>
  <c r="E313" i="2"/>
  <c r="F312" i="2"/>
  <c r="G311" i="2"/>
  <c r="G310" i="2"/>
  <c r="G309" i="2"/>
  <c r="G308" i="2"/>
  <c r="H307" i="2"/>
  <c r="H306" i="2"/>
  <c r="H305" i="2"/>
  <c r="I304" i="2"/>
  <c r="J303" i="2"/>
  <c r="J302" i="2"/>
  <c r="E299" i="2"/>
  <c r="F298" i="2"/>
  <c r="G297" i="2"/>
  <c r="H296" i="2"/>
  <c r="I295" i="2"/>
  <c r="K294" i="2"/>
  <c r="I293" i="2"/>
  <c r="I292" i="2"/>
  <c r="H291" i="2"/>
  <c r="H290" i="2"/>
  <c r="I289" i="2"/>
  <c r="G288" i="2"/>
  <c r="J284" i="2"/>
  <c r="H283" i="2"/>
  <c r="F282" i="2"/>
  <c r="F279" i="2"/>
  <c r="E278" i="2"/>
  <c r="K276" i="2"/>
  <c r="H275" i="2"/>
  <c r="E272" i="2"/>
  <c r="F270" i="2"/>
  <c r="E268" i="2"/>
  <c r="G266" i="2"/>
  <c r="H264" i="2"/>
  <c r="K262" i="2"/>
  <c r="K260" i="2"/>
  <c r="G253" i="2"/>
  <c r="F247" i="2"/>
  <c r="H244" i="2"/>
  <c r="I239" i="2"/>
  <c r="F236" i="2"/>
  <c r="F233" i="2"/>
  <c r="I230" i="2"/>
  <c r="E322" i="2"/>
  <c r="E205" i="2" s="1"/>
  <c r="F321" i="2"/>
  <c r="F320" i="2"/>
  <c r="G319" i="2"/>
  <c r="G318" i="2"/>
  <c r="I317" i="2"/>
  <c r="I316" i="2"/>
  <c r="J315" i="2"/>
  <c r="K314" i="2"/>
  <c r="E312" i="2"/>
  <c r="F311" i="2"/>
  <c r="F310" i="2"/>
  <c r="F201" i="2" s="1"/>
  <c r="F309" i="2"/>
  <c r="F308" i="2"/>
  <c r="G307" i="2"/>
  <c r="G306" i="2"/>
  <c r="G305" i="2"/>
  <c r="H304" i="2"/>
  <c r="H199" i="2" s="1"/>
  <c r="I303" i="2"/>
  <c r="I302" i="2"/>
  <c r="K301" i="2"/>
  <c r="K300" i="2"/>
  <c r="E298" i="2"/>
  <c r="F297" i="2"/>
  <c r="G296" i="2"/>
  <c r="L296" i="2" s="1"/>
  <c r="R296" i="2" s="1"/>
  <c r="H295" i="2"/>
  <c r="I294" i="2"/>
  <c r="H293" i="2"/>
  <c r="H292" i="2"/>
  <c r="G291" i="2"/>
  <c r="G290" i="2"/>
  <c r="H289" i="2"/>
  <c r="F288" i="2"/>
  <c r="K286" i="2"/>
  <c r="K285" i="2"/>
  <c r="I284" i="2"/>
  <c r="F283" i="2"/>
  <c r="J280" i="2"/>
  <c r="E279" i="2"/>
  <c r="I276" i="2"/>
  <c r="G275" i="2"/>
  <c r="K273" i="2"/>
  <c r="E266" i="2"/>
  <c r="F264" i="2"/>
  <c r="I262" i="2"/>
  <c r="I260" i="2"/>
  <c r="K258" i="2"/>
  <c r="K256" i="2"/>
  <c r="J250" i="2"/>
  <c r="N250" i="2" s="1"/>
  <c r="F244" i="2"/>
  <c r="K241" i="2"/>
  <c r="G230" i="2"/>
  <c r="J227" i="2"/>
  <c r="K325" i="2"/>
  <c r="K207" i="2" s="1"/>
  <c r="K324" i="2"/>
  <c r="K206" i="2" s="1"/>
  <c r="K323" i="2"/>
  <c r="E321" i="2"/>
  <c r="E320" i="2"/>
  <c r="F319" i="2"/>
  <c r="F318" i="2"/>
  <c r="F204" i="2" s="1"/>
  <c r="H317" i="2"/>
  <c r="H316" i="2"/>
  <c r="H203" i="2" s="1"/>
  <c r="I315" i="2"/>
  <c r="J314" i="2"/>
  <c r="K313" i="2"/>
  <c r="E311" i="2"/>
  <c r="O311" i="2" s="1"/>
  <c r="E310" i="2"/>
  <c r="E309" i="2"/>
  <c r="E308" i="2"/>
  <c r="F307" i="2"/>
  <c r="F306" i="2"/>
  <c r="F305" i="2"/>
  <c r="G304" i="2"/>
  <c r="G199" i="2" s="1"/>
  <c r="H303" i="2"/>
  <c r="H302" i="2"/>
  <c r="J301" i="2"/>
  <c r="J300" i="2"/>
  <c r="K299" i="2"/>
  <c r="K198" i="2" s="1"/>
  <c r="E297" i="2"/>
  <c r="F296" i="2"/>
  <c r="G295" i="2"/>
  <c r="H294" i="2"/>
  <c r="G293" i="2"/>
  <c r="G292" i="2"/>
  <c r="F291" i="2"/>
  <c r="F290" i="2"/>
  <c r="G289" i="2"/>
  <c r="J286" i="2"/>
  <c r="J285" i="2"/>
  <c r="H284" i="2"/>
  <c r="H280" i="2"/>
  <c r="K277" i="2"/>
  <c r="H276" i="2"/>
  <c r="E275" i="2"/>
  <c r="O275" i="2" s="1"/>
  <c r="I273" i="2"/>
  <c r="K271" i="2"/>
  <c r="K269" i="2"/>
  <c r="N269" i="2" s="1"/>
  <c r="K267" i="2"/>
  <c r="E262" i="2"/>
  <c r="E260" i="2"/>
  <c r="O260" i="2" s="1"/>
  <c r="G258" i="2"/>
  <c r="G256" i="2"/>
  <c r="I254" i="2"/>
  <c r="K252" i="2"/>
  <c r="G246" i="2"/>
  <c r="L246" i="2" s="1"/>
  <c r="R246" i="2" s="1"/>
  <c r="I241" i="2"/>
  <c r="F235" i="2"/>
  <c r="N235" i="2" s="1"/>
  <c r="H232" i="2"/>
  <c r="J325" i="2"/>
  <c r="J207" i="2" s="1"/>
  <c r="J324" i="2"/>
  <c r="J206" i="2" s="1"/>
  <c r="J323" i="2"/>
  <c r="K322" i="2"/>
  <c r="K205" i="2" s="1"/>
  <c r="E319" i="2"/>
  <c r="O319" i="2" s="1"/>
  <c r="E318" i="2"/>
  <c r="G317" i="2"/>
  <c r="G316" i="2"/>
  <c r="G203" i="2" s="1"/>
  <c r="H315" i="2"/>
  <c r="I314" i="2"/>
  <c r="J313" i="2"/>
  <c r="K312" i="2"/>
  <c r="E307" i="2"/>
  <c r="E306" i="2"/>
  <c r="E305" i="2"/>
  <c r="F304" i="2"/>
  <c r="G303" i="2"/>
  <c r="G302" i="2"/>
  <c r="I301" i="2"/>
  <c r="I300" i="2"/>
  <c r="J299" i="2"/>
  <c r="J198" i="2" s="1"/>
  <c r="K298" i="2"/>
  <c r="E296" i="2"/>
  <c r="F295" i="2"/>
  <c r="G294" i="2"/>
  <c r="F293" i="2"/>
  <c r="N293" i="2" s="1"/>
  <c r="F292" i="2"/>
  <c r="E291" i="2"/>
  <c r="E290" i="2"/>
  <c r="F289" i="2"/>
  <c r="J287" i="2"/>
  <c r="I286" i="2"/>
  <c r="I285" i="2"/>
  <c r="F284" i="2"/>
  <c r="L284" i="2" s="1"/>
  <c r="F280" i="2"/>
  <c r="I277" i="2"/>
  <c r="G276" i="2"/>
  <c r="O276" i="2" s="1"/>
  <c r="G273" i="2"/>
  <c r="I271" i="2"/>
  <c r="G269" i="2"/>
  <c r="G267" i="2"/>
  <c r="J265" i="2"/>
  <c r="J263" i="2"/>
  <c r="E258" i="2"/>
  <c r="E256" i="2"/>
  <c r="G254" i="2"/>
  <c r="I252" i="2"/>
  <c r="E246" i="2"/>
  <c r="H243" i="2"/>
  <c r="J238" i="2"/>
  <c r="N238" i="2" s="1"/>
  <c r="F232" i="2"/>
  <c r="I229" i="2"/>
  <c r="K226" i="2"/>
  <c r="I325" i="2"/>
  <c r="I207" i="2" s="1"/>
  <c r="I324" i="2"/>
  <c r="I206" i="2" s="1"/>
  <c r="I323" i="2"/>
  <c r="J322" i="2"/>
  <c r="K321" i="2"/>
  <c r="K320" i="2"/>
  <c r="F317" i="2"/>
  <c r="F316" i="2"/>
  <c r="F203" i="2" s="1"/>
  <c r="G315" i="2"/>
  <c r="H314" i="2"/>
  <c r="I313" i="2"/>
  <c r="J312" i="2"/>
  <c r="K311" i="2"/>
  <c r="K310" i="2"/>
  <c r="K309" i="2"/>
  <c r="K308" i="2"/>
  <c r="K200" i="2" s="1"/>
  <c r="E304" i="2"/>
  <c r="F303" i="2"/>
  <c r="F302" i="2"/>
  <c r="H301" i="2"/>
  <c r="H300" i="2"/>
  <c r="I299" i="2"/>
  <c r="J298" i="2"/>
  <c r="K297" i="2"/>
  <c r="E295" i="2"/>
  <c r="F294" i="2"/>
  <c r="E293" i="2"/>
  <c r="E292" i="2"/>
  <c r="I287" i="2"/>
  <c r="H286" i="2"/>
  <c r="H285" i="2"/>
  <c r="J281" i="2"/>
  <c r="E280" i="2"/>
  <c r="O280" i="2" s="1"/>
  <c r="K278" i="2"/>
  <c r="H277" i="2"/>
  <c r="N277" i="2" s="1"/>
  <c r="E276" i="2"/>
  <c r="E273" i="2"/>
  <c r="E271" i="2"/>
  <c r="O271" i="2" s="1"/>
  <c r="E269" i="2"/>
  <c r="E267" i="2"/>
  <c r="L267" i="2" s="1"/>
  <c r="R267" i="2" s="1"/>
  <c r="H265" i="2"/>
  <c r="H263" i="2"/>
  <c r="K261" i="2"/>
  <c r="K259" i="2"/>
  <c r="E254" i="2"/>
  <c r="F249" i="2"/>
  <c r="F243" i="2"/>
  <c r="K240" i="2"/>
  <c r="G234" i="2"/>
  <c r="G229" i="2"/>
  <c r="O229" i="2" s="1"/>
  <c r="H325" i="2"/>
  <c r="H207" i="2" s="1"/>
  <c r="H324" i="2"/>
  <c r="H206" i="2" s="1"/>
  <c r="H323" i="2"/>
  <c r="I322" i="2"/>
  <c r="J321" i="2"/>
  <c r="J320" i="2"/>
  <c r="K319" i="2"/>
  <c r="K318" i="2"/>
  <c r="E317" i="2"/>
  <c r="E316" i="2"/>
  <c r="F315" i="2"/>
  <c r="L315" i="2" s="1"/>
  <c r="R315" i="2" s="1"/>
  <c r="G314" i="2"/>
  <c r="H313" i="2"/>
  <c r="I312" i="2"/>
  <c r="I202" i="2" s="1"/>
  <c r="J311" i="2"/>
  <c r="J310" i="2"/>
  <c r="J309" i="2"/>
  <c r="J308" i="2"/>
  <c r="K307" i="2"/>
  <c r="K306" i="2"/>
  <c r="K305" i="2"/>
  <c r="E303" i="2"/>
  <c r="O303" i="2" s="1"/>
  <c r="E302" i="2"/>
  <c r="G301" i="2"/>
  <c r="G300" i="2"/>
  <c r="H299" i="2"/>
  <c r="I298" i="2"/>
  <c r="J297" i="2"/>
  <c r="K296" i="2"/>
  <c r="E294" i="2"/>
  <c r="K290" i="2"/>
  <c r="J288" i="2"/>
  <c r="H287" i="2"/>
  <c r="G286" i="2"/>
  <c r="F285" i="2"/>
  <c r="K283" i="2"/>
  <c r="K282" i="2"/>
  <c r="H281" i="2"/>
  <c r="I278" i="2"/>
  <c r="G277" i="2"/>
  <c r="J274" i="2"/>
  <c r="F265" i="2"/>
  <c r="F263" i="2"/>
  <c r="I261" i="2"/>
  <c r="I259" i="2"/>
  <c r="K257" i="2"/>
  <c r="K255" i="2"/>
  <c r="N255" i="2" s="1"/>
  <c r="K251" i="2"/>
  <c r="H245" i="2"/>
  <c r="I240" i="2"/>
  <c r="E234" i="2"/>
  <c r="L234" i="2" s="1"/>
  <c r="R234" i="2" s="1"/>
  <c r="H231" i="2"/>
  <c r="K225" i="2"/>
  <c r="G325" i="2"/>
  <c r="G207" i="2" s="1"/>
  <c r="H322" i="2"/>
  <c r="I321" i="2"/>
  <c r="I320" i="2"/>
  <c r="J319" i="2"/>
  <c r="J318" i="2"/>
  <c r="E315" i="2"/>
  <c r="F314" i="2"/>
  <c r="G313" i="2"/>
  <c r="H312" i="2"/>
  <c r="I311" i="2"/>
  <c r="I310" i="2"/>
  <c r="I201" i="2" s="1"/>
  <c r="I309" i="2"/>
  <c r="I308" i="2"/>
  <c r="I200" i="2" s="1"/>
  <c r="J307" i="2"/>
  <c r="J306" i="2"/>
  <c r="J305" i="2"/>
  <c r="N305" i="2" s="1"/>
  <c r="K304" i="2"/>
  <c r="F301" i="2"/>
  <c r="F300" i="2"/>
  <c r="G299" i="2"/>
  <c r="H298" i="2"/>
  <c r="L298" i="2" s="1"/>
  <c r="R298" i="2" s="1"/>
  <c r="I297" i="2"/>
  <c r="J296" i="2"/>
  <c r="K295" i="2"/>
  <c r="J291" i="2"/>
  <c r="J290" i="2"/>
  <c r="K289" i="2"/>
  <c r="N289" i="2" s="1"/>
  <c r="I288" i="2"/>
  <c r="G287" i="2"/>
  <c r="O287" i="2" s="1"/>
  <c r="E286" i="2"/>
  <c r="J283" i="2"/>
  <c r="J282" i="2"/>
  <c r="F281" i="2"/>
  <c r="J279" i="2"/>
  <c r="H278" i="2"/>
  <c r="E277" i="2"/>
  <c r="O277" i="2" s="1"/>
  <c r="K275" i="2"/>
  <c r="H274" i="2"/>
  <c r="K272" i="2"/>
  <c r="L272" i="2" s="1"/>
  <c r="R272" i="2" s="1"/>
  <c r="K268" i="2"/>
  <c r="L268" i="2" s="1"/>
  <c r="R268" i="2" s="1"/>
  <c r="E261" i="2"/>
  <c r="O261" i="2" s="1"/>
  <c r="E259" i="2"/>
  <c r="O259" i="2" s="1"/>
  <c r="G257" i="2"/>
  <c r="O257" i="2" s="1"/>
  <c r="G255" i="2"/>
  <c r="O255" i="2" s="1"/>
  <c r="K253" i="2"/>
  <c r="I251" i="2"/>
  <c r="F248" i="2"/>
  <c r="N248" i="2" s="1"/>
  <c r="F245" i="2"/>
  <c r="I242" i="2"/>
  <c r="F237" i="2"/>
  <c r="F231" i="2"/>
  <c r="N231" i="2" s="1"/>
  <c r="I228" i="2"/>
  <c r="L228" i="2" s="1"/>
  <c r="R228" i="2" s="1"/>
  <c r="A203" i="2"/>
  <c r="A205" i="2" s="1"/>
  <c r="L224" i="2"/>
  <c r="R224" i="2" s="1"/>
  <c r="O224" i="2"/>
  <c r="O220" i="2"/>
  <c r="L214" i="2"/>
  <c r="R214" i="2" s="1"/>
  <c r="O306" i="2"/>
  <c r="L232" i="2"/>
  <c r="R232" i="2" s="1"/>
  <c r="O232" i="2"/>
  <c r="L227" i="2"/>
  <c r="R227" i="2" s="1"/>
  <c r="L223" i="2"/>
  <c r="R223" i="2" s="1"/>
  <c r="L219" i="2"/>
  <c r="R219" i="2" s="1"/>
  <c r="O323" i="2"/>
  <c r="O320" i="2"/>
  <c r="L236" i="2"/>
  <c r="R236" i="2" s="1"/>
  <c r="O236" i="2"/>
  <c r="L235" i="2"/>
  <c r="R235" i="2" s="1"/>
  <c r="O240" i="2"/>
  <c r="O212" i="2"/>
  <c r="O284" i="2"/>
  <c r="N273" i="2"/>
  <c r="O268" i="2"/>
  <c r="L244" i="2"/>
  <c r="R244" i="2" s="1"/>
  <c r="N218" i="2"/>
  <c r="N216" i="2"/>
  <c r="N215" i="2"/>
  <c r="N260" i="2"/>
  <c r="O248" i="2"/>
  <c r="N230" i="2"/>
  <c r="N224" i="2"/>
  <c r="N222" i="2"/>
  <c r="N220" i="2"/>
  <c r="O217" i="2"/>
  <c r="N317" i="2"/>
  <c r="L264" i="2"/>
  <c r="R264" i="2" s="1"/>
  <c r="O264" i="2"/>
  <c r="L252" i="2"/>
  <c r="R252" i="2" s="1"/>
  <c r="O252" i="2"/>
  <c r="L242" i="2"/>
  <c r="R242" i="2" s="1"/>
  <c r="N234" i="2"/>
  <c r="N227" i="2"/>
  <c r="O225" i="2"/>
  <c r="N223" i="2"/>
  <c r="N219" i="2"/>
  <c r="N288" i="2"/>
  <c r="N236" i="2"/>
  <c r="L216" i="2"/>
  <c r="R216" i="2" s="1"/>
  <c r="O216" i="2"/>
  <c r="L215" i="2"/>
  <c r="R215" i="2" s="1"/>
  <c r="O283" i="2"/>
  <c r="O279" i="2"/>
  <c r="O263" i="2"/>
  <c r="O251" i="2"/>
  <c r="O247" i="2"/>
  <c r="O243" i="2"/>
  <c r="O235" i="2"/>
  <c r="O231" i="2"/>
  <c r="O215" i="2"/>
  <c r="Q191" i="2"/>
  <c r="A117" i="2"/>
  <c r="A121" i="2" s="1"/>
  <c r="A82" i="2"/>
  <c r="A85" i="2" s="1"/>
  <c r="R177" i="2"/>
  <c r="A174" i="2"/>
  <c r="A176" i="2" s="1"/>
  <c r="A105" i="2"/>
  <c r="A109" i="2" s="1"/>
  <c r="R136" i="2"/>
  <c r="A138" i="2"/>
  <c r="A70" i="2"/>
  <c r="A74" i="2" s="1"/>
  <c r="A126" i="2"/>
  <c r="R151" i="2"/>
  <c r="A150" i="2"/>
  <c r="A152" i="2" s="1"/>
  <c r="A162" i="2"/>
  <c r="A164" i="2" s="1"/>
  <c r="R185" i="2"/>
  <c r="A191" i="2"/>
  <c r="A193" i="2" s="1"/>
  <c r="R52" i="2"/>
  <c r="M52" i="2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A93" i="2"/>
  <c r="A97" i="2" s="1"/>
  <c r="M85" i="2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R76" i="2"/>
  <c r="G198" i="2" l="1"/>
  <c r="J200" i="2"/>
  <c r="L304" i="2"/>
  <c r="R304" i="2" s="1"/>
  <c r="L260" i="2"/>
  <c r="R260" i="2" s="1"/>
  <c r="L251" i="2"/>
  <c r="R251" i="2" s="1"/>
  <c r="E203" i="2"/>
  <c r="H198" i="2"/>
  <c r="L307" i="2"/>
  <c r="R307" i="2" s="1"/>
  <c r="H193" i="2"/>
  <c r="I205" i="2"/>
  <c r="L292" i="2"/>
  <c r="R292" i="2" s="1"/>
  <c r="L280" i="2"/>
  <c r="R280" i="2" s="1"/>
  <c r="L248" i="2"/>
  <c r="R248" i="2" s="1"/>
  <c r="K199" i="2"/>
  <c r="L288" i="2"/>
  <c r="R288" i="2" s="1"/>
  <c r="L314" i="2"/>
  <c r="R314" i="2" s="1"/>
  <c r="N296" i="2"/>
  <c r="L256" i="2"/>
  <c r="R256" i="2" s="1"/>
  <c r="I203" i="2"/>
  <c r="N285" i="2"/>
  <c r="J202" i="2"/>
  <c r="J205" i="2"/>
  <c r="O267" i="2"/>
  <c r="L275" i="2"/>
  <c r="R275" i="2" s="1"/>
  <c r="O256" i="2"/>
  <c r="F199" i="2"/>
  <c r="N272" i="2"/>
  <c r="N228" i="2"/>
  <c r="L279" i="2"/>
  <c r="R279" i="2" s="1"/>
  <c r="O266" i="2"/>
  <c r="H202" i="2"/>
  <c r="H205" i="2"/>
  <c r="L295" i="2"/>
  <c r="R295" i="2" s="1"/>
  <c r="G200" i="2"/>
  <c r="I198" i="2"/>
  <c r="G201" i="2"/>
  <c r="J204" i="2"/>
  <c r="F196" i="2"/>
  <c r="F197" i="2"/>
  <c r="F200" i="2"/>
  <c r="E196" i="2"/>
  <c r="K195" i="2"/>
  <c r="E200" i="2"/>
  <c r="G204" i="2"/>
  <c r="I199" i="2"/>
  <c r="F202" i="2"/>
  <c r="K196" i="2"/>
  <c r="E193" i="2"/>
  <c r="E192" i="2"/>
  <c r="F195" i="2"/>
  <c r="I196" i="2"/>
  <c r="J196" i="2"/>
  <c r="J199" i="2"/>
  <c r="G202" i="2"/>
  <c r="H194" i="2"/>
  <c r="J193" i="2"/>
  <c r="F193" i="2"/>
  <c r="N308" i="2"/>
  <c r="J197" i="2"/>
  <c r="N301" i="2"/>
  <c r="J201" i="2"/>
  <c r="K204" i="2"/>
  <c r="O310" i="2"/>
  <c r="O201" i="2" s="1"/>
  <c r="E201" i="2"/>
  <c r="F194" i="2"/>
  <c r="K194" i="2"/>
  <c r="G196" i="2"/>
  <c r="I193" i="2"/>
  <c r="J192" i="2"/>
  <c r="K197" i="2"/>
  <c r="E199" i="2"/>
  <c r="E204" i="2"/>
  <c r="H196" i="2"/>
  <c r="E202" i="2"/>
  <c r="L202" i="2" s="1"/>
  <c r="J203" i="2"/>
  <c r="K192" i="2"/>
  <c r="E194" i="2"/>
  <c r="G193" i="2"/>
  <c r="G192" i="2"/>
  <c r="E197" i="2"/>
  <c r="H197" i="2"/>
  <c r="J195" i="2"/>
  <c r="I197" i="2"/>
  <c r="F198" i="2"/>
  <c r="J194" i="2"/>
  <c r="K193" i="2"/>
  <c r="L193" i="2" s="1"/>
  <c r="L231" i="2"/>
  <c r="R231" i="2" s="1"/>
  <c r="L312" i="2"/>
  <c r="R312" i="2" s="1"/>
  <c r="K202" i="2"/>
  <c r="E198" i="2"/>
  <c r="L198" i="2" s="1"/>
  <c r="G195" i="2"/>
  <c r="E195" i="2"/>
  <c r="I194" i="2"/>
  <c r="G194" i="2"/>
  <c r="L194" i="2" s="1"/>
  <c r="H192" i="2"/>
  <c r="N312" i="2"/>
  <c r="K201" i="2"/>
  <c r="L201" i="2" s="1"/>
  <c r="R201" i="2" s="1"/>
  <c r="G197" i="2"/>
  <c r="L197" i="2" s="1"/>
  <c r="H195" i="2"/>
  <c r="I204" i="2"/>
  <c r="L204" i="2" s="1"/>
  <c r="F192" i="2"/>
  <c r="I192" i="2"/>
  <c r="I195" i="2"/>
  <c r="Q212" i="2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Q252" i="2" s="1"/>
  <c r="Q253" i="2" s="1"/>
  <c r="Q254" i="2" s="1"/>
  <c r="Q255" i="2" s="1"/>
  <c r="Q256" i="2" s="1"/>
  <c r="Q257" i="2" s="1"/>
  <c r="Q258" i="2" s="1"/>
  <c r="Q259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Q277" i="2" s="1"/>
  <c r="Q278" i="2" s="1"/>
  <c r="Q279" i="2" s="1"/>
  <c r="Q280" i="2" s="1"/>
  <c r="Q281" i="2" s="1"/>
  <c r="Q282" i="2" s="1"/>
  <c r="Q283" i="2" s="1"/>
  <c r="Q284" i="2" s="1"/>
  <c r="Q285" i="2" s="1"/>
  <c r="Q286" i="2" s="1"/>
  <c r="Q287" i="2" s="1"/>
  <c r="Q288" i="2" s="1"/>
  <c r="Q289" i="2" s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322" i="2" s="1"/>
  <c r="Q323" i="2" s="1"/>
  <c r="Q324" i="2" s="1"/>
  <c r="Q325" i="2" s="1"/>
  <c r="L207" i="2"/>
  <c r="R207" i="2" s="1"/>
  <c r="O291" i="2"/>
  <c r="L300" i="2"/>
  <c r="R300" i="2" s="1"/>
  <c r="L206" i="2"/>
  <c r="R206" i="2" s="1"/>
  <c r="L310" i="2"/>
  <c r="R310" i="2" s="1"/>
  <c r="L205" i="2"/>
  <c r="R205" i="2" s="1"/>
  <c r="L240" i="2"/>
  <c r="R240" i="2" s="1"/>
  <c r="L299" i="2"/>
  <c r="R299" i="2" s="1"/>
  <c r="L316" i="2"/>
  <c r="R316" i="2" s="1"/>
  <c r="L203" i="2"/>
  <c r="O293" i="2"/>
  <c r="L311" i="2"/>
  <c r="R311" i="2" s="1"/>
  <c r="O290" i="2"/>
  <c r="O307" i="2"/>
  <c r="O228" i="2"/>
  <c r="O288" i="2"/>
  <c r="O272" i="2"/>
  <c r="L200" i="2"/>
  <c r="L263" i="2"/>
  <c r="R263" i="2" s="1"/>
  <c r="L255" i="2"/>
  <c r="R255" i="2" s="1"/>
  <c r="N226" i="2"/>
  <c r="L276" i="2"/>
  <c r="R276" i="2" s="1"/>
  <c r="L220" i="2"/>
  <c r="R220" i="2" s="1"/>
  <c r="L212" i="2"/>
  <c r="R212" i="2" s="1"/>
  <c r="N292" i="2"/>
  <c r="L305" i="2"/>
  <c r="R305" i="2" s="1"/>
  <c r="O292" i="2"/>
  <c r="O302" i="2"/>
  <c r="N314" i="2"/>
  <c r="O297" i="2"/>
  <c r="L308" i="2"/>
  <c r="R308" i="2" s="1"/>
  <c r="N306" i="2"/>
  <c r="O239" i="2"/>
  <c r="N232" i="2"/>
  <c r="L291" i="2"/>
  <c r="R291" i="2" s="1"/>
  <c r="N242" i="2"/>
  <c r="O300" i="2"/>
  <c r="O312" i="2"/>
  <c r="L277" i="2"/>
  <c r="R277" i="2" s="1"/>
  <c r="L323" i="2"/>
  <c r="R323" i="2" s="1"/>
  <c r="L233" i="2"/>
  <c r="R233" i="2" s="1"/>
  <c r="L270" i="2"/>
  <c r="R270" i="2" s="1"/>
  <c r="O238" i="2"/>
  <c r="O282" i="2"/>
  <c r="O219" i="2"/>
  <c r="O286" i="2"/>
  <c r="L297" i="2"/>
  <c r="R297" i="2" s="1"/>
  <c r="L294" i="2"/>
  <c r="R294" i="2" s="1"/>
  <c r="L303" i="2"/>
  <c r="R303" i="2" s="1"/>
  <c r="L229" i="2"/>
  <c r="R229" i="2" s="1"/>
  <c r="N294" i="2"/>
  <c r="N303" i="2"/>
  <c r="O246" i="2"/>
  <c r="O269" i="2"/>
  <c r="N313" i="2"/>
  <c r="N265" i="2"/>
  <c r="O295" i="2"/>
  <c r="O304" i="2"/>
  <c r="O296" i="2"/>
  <c r="O305" i="2"/>
  <c r="N239" i="2"/>
  <c r="N221" i="2"/>
  <c r="N276" i="2"/>
  <c r="N264" i="2"/>
  <c r="O213" i="2"/>
  <c r="E326" i="2"/>
  <c r="L306" i="2"/>
  <c r="R306" i="2" s="1"/>
  <c r="L262" i="2"/>
  <c r="R262" i="2" s="1"/>
  <c r="O262" i="2"/>
  <c r="N280" i="2"/>
  <c r="N319" i="2"/>
  <c r="N283" i="2"/>
  <c r="O318" i="2"/>
  <c r="N290" i="2"/>
  <c r="N299" i="2"/>
  <c r="O230" i="2"/>
  <c r="O265" i="2"/>
  <c r="N247" i="2"/>
  <c r="L239" i="2"/>
  <c r="R239" i="2" s="1"/>
  <c r="N256" i="2"/>
  <c r="O223" i="2"/>
  <c r="N267" i="2"/>
  <c r="L247" i="2"/>
  <c r="N225" i="2"/>
  <c r="L196" i="2"/>
  <c r="L257" i="2"/>
  <c r="R257" i="2" s="1"/>
  <c r="O234" i="2"/>
  <c r="N298" i="2"/>
  <c r="N315" i="2"/>
  <c r="N323" i="2"/>
  <c r="L269" i="2"/>
  <c r="R269" i="2" s="1"/>
  <c r="L319" i="2"/>
  <c r="R319" i="2" s="1"/>
  <c r="N284" i="2"/>
  <c r="L320" i="2"/>
  <c r="R320" i="2" s="1"/>
  <c r="N302" i="2"/>
  <c r="L282" i="2"/>
  <c r="R282" i="2" s="1"/>
  <c r="N282" i="2"/>
  <c r="L281" i="2"/>
  <c r="R281" i="2" s="1"/>
  <c r="O281" i="2"/>
  <c r="N325" i="2"/>
  <c r="N207" i="2" s="1"/>
  <c r="L266" i="2"/>
  <c r="R266" i="2" s="1"/>
  <c r="N266" i="2"/>
  <c r="L254" i="2"/>
  <c r="R254" i="2" s="1"/>
  <c r="N254" i="2"/>
  <c r="L245" i="2"/>
  <c r="R245" i="2" s="1"/>
  <c r="O289" i="2"/>
  <c r="O227" i="2"/>
  <c r="N246" i="2"/>
  <c r="L238" i="2"/>
  <c r="R238" i="2" s="1"/>
  <c r="L283" i="2"/>
  <c r="R283" i="2" s="1"/>
  <c r="N263" i="2"/>
  <c r="L222" i="2"/>
  <c r="R222" i="2" s="1"/>
  <c r="N214" i="2"/>
  <c r="O221" i="2"/>
  <c r="L259" i="2"/>
  <c r="R259" i="2" s="1"/>
  <c r="L271" i="2"/>
  <c r="R271" i="2" s="1"/>
  <c r="N310" i="2"/>
  <c r="O258" i="2"/>
  <c r="L321" i="2"/>
  <c r="R321" i="2" s="1"/>
  <c r="O321" i="2"/>
  <c r="N311" i="2"/>
  <c r="N233" i="2"/>
  <c r="L301" i="2"/>
  <c r="R301" i="2" s="1"/>
  <c r="O301" i="2"/>
  <c r="N309" i="2"/>
  <c r="N318" i="2"/>
  <c r="H326" i="2"/>
  <c r="L265" i="2"/>
  <c r="R265" i="2" s="1"/>
  <c r="N253" i="2"/>
  <c r="L226" i="2"/>
  <c r="R226" i="2" s="1"/>
  <c r="L261" i="2"/>
  <c r="R261" i="2" s="1"/>
  <c r="L253" i="2"/>
  <c r="R253" i="2" s="1"/>
  <c r="O253" i="2"/>
  <c r="N237" i="2"/>
  <c r="N262" i="2"/>
  <c r="L221" i="2"/>
  <c r="R221" i="2" s="1"/>
  <c r="N213" i="2"/>
  <c r="O245" i="2"/>
  <c r="O237" i="2"/>
  <c r="L237" i="2"/>
  <c r="R237" i="2" s="1"/>
  <c r="N229" i="2"/>
  <c r="N212" i="2"/>
  <c r="L213" i="2"/>
  <c r="R213" i="2" s="1"/>
  <c r="N322" i="2"/>
  <c r="N245" i="2"/>
  <c r="N287" i="2"/>
  <c r="L317" i="2"/>
  <c r="R317" i="2" s="1"/>
  <c r="O317" i="2"/>
  <c r="O254" i="2"/>
  <c r="O273" i="2"/>
  <c r="N300" i="2"/>
  <c r="N321" i="2"/>
  <c r="N304" i="2"/>
  <c r="N199" i="2" s="1"/>
  <c r="N244" i="2"/>
  <c r="N270" i="2"/>
  <c r="L313" i="2"/>
  <c r="R313" i="2" s="1"/>
  <c r="O313" i="2"/>
  <c r="N252" i="2"/>
  <c r="L243" i="2"/>
  <c r="R243" i="2" s="1"/>
  <c r="L287" i="2"/>
  <c r="R287" i="2" s="1"/>
  <c r="N279" i="2"/>
  <c r="N271" i="2"/>
  <c r="N281" i="2"/>
  <c r="O250" i="2"/>
  <c r="L217" i="2"/>
  <c r="R217" i="2" s="1"/>
  <c r="R284" i="2"/>
  <c r="F326" i="2"/>
  <c r="O322" i="2"/>
  <c r="O205" i="2" s="1"/>
  <c r="L322" i="2"/>
  <c r="R322" i="2" s="1"/>
  <c r="N320" i="2"/>
  <c r="N274" i="2"/>
  <c r="N251" i="2"/>
  <c r="N286" i="2"/>
  <c r="N278" i="2"/>
  <c r="N261" i="2"/>
  <c r="O226" i="2"/>
  <c r="N268" i="2"/>
  <c r="L218" i="2"/>
  <c r="R218" i="2" s="1"/>
  <c r="G326" i="2"/>
  <c r="L302" i="2"/>
  <c r="R302" i="2" s="1"/>
  <c r="L293" i="2"/>
  <c r="R293" i="2" s="1"/>
  <c r="N243" i="2"/>
  <c r="O294" i="2"/>
  <c r="L290" i="2"/>
  <c r="N307" i="2"/>
  <c r="N316" i="2"/>
  <c r="N203" i="2" s="1"/>
  <c r="J326" i="2"/>
  <c r="L324" i="2"/>
  <c r="R324" i="2" s="1"/>
  <c r="L274" i="2"/>
  <c r="R274" i="2" s="1"/>
  <c r="L273" i="2"/>
  <c r="R273" i="2" s="1"/>
  <c r="N241" i="2"/>
  <c r="L225" i="2"/>
  <c r="R225" i="2" s="1"/>
  <c r="O285" i="2"/>
  <c r="L250" i="2"/>
  <c r="R250" i="2" s="1"/>
  <c r="N217" i="2"/>
  <c r="O270" i="2"/>
  <c r="L258" i="2"/>
  <c r="R258" i="2" s="1"/>
  <c r="N258" i="2"/>
  <c r="O218" i="2"/>
  <c r="O315" i="2"/>
  <c r="N324" i="2"/>
  <c r="N206" i="2" s="1"/>
  <c r="L286" i="2"/>
  <c r="R286" i="2" s="1"/>
  <c r="N295" i="2"/>
  <c r="L199" i="2"/>
  <c r="R199" i="2" s="1"/>
  <c r="O316" i="2"/>
  <c r="N291" i="2"/>
  <c r="K326" i="2"/>
  <c r="O298" i="2"/>
  <c r="O308" i="2"/>
  <c r="O200" i="2" s="1"/>
  <c r="O325" i="2"/>
  <c r="O207" i="2" s="1"/>
  <c r="N297" i="2"/>
  <c r="N240" i="2"/>
  <c r="N259" i="2"/>
  <c r="N257" i="2"/>
  <c r="N249" i="2"/>
  <c r="L241" i="2"/>
  <c r="R241" i="2" s="1"/>
  <c r="O241" i="2"/>
  <c r="O274" i="2"/>
  <c r="O222" i="2"/>
  <c r="O249" i="2"/>
  <c r="L249" i="2"/>
  <c r="R249" i="2" s="1"/>
  <c r="O233" i="2"/>
  <c r="L325" i="2"/>
  <c r="R325" i="2" s="1"/>
  <c r="L309" i="2"/>
  <c r="R309" i="2" s="1"/>
  <c r="L318" i="2"/>
  <c r="L278" i="2"/>
  <c r="R278" i="2" s="1"/>
  <c r="O278" i="2"/>
  <c r="O299" i="2"/>
  <c r="O309" i="2"/>
  <c r="I326" i="2"/>
  <c r="L289" i="2"/>
  <c r="R289" i="2" s="1"/>
  <c r="O314" i="2"/>
  <c r="L230" i="2"/>
  <c r="R230" i="2" s="1"/>
  <c r="O242" i="2"/>
  <c r="N275" i="2"/>
  <c r="L285" i="2"/>
  <c r="R285" i="2" s="1"/>
  <c r="O324" i="2"/>
  <c r="O206" i="2" s="1"/>
  <c r="Q192" i="2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N198" i="2" l="1"/>
  <c r="O196" i="2"/>
  <c r="O203" i="2"/>
  <c r="O198" i="2"/>
  <c r="O199" i="2"/>
  <c r="O193" i="2"/>
  <c r="L195" i="2"/>
  <c r="N204" i="2"/>
  <c r="O194" i="2"/>
  <c r="O195" i="2"/>
  <c r="N192" i="2"/>
  <c r="N201" i="2"/>
  <c r="O192" i="2"/>
  <c r="N193" i="2"/>
  <c r="O197" i="2"/>
  <c r="N194" i="2"/>
  <c r="O202" i="2"/>
  <c r="L192" i="2"/>
  <c r="R192" i="2" s="1"/>
  <c r="N196" i="2"/>
  <c r="N200" i="2"/>
  <c r="N197" i="2"/>
  <c r="N205" i="2"/>
  <c r="O204" i="2"/>
  <c r="N202" i="2"/>
  <c r="N195" i="2"/>
  <c r="R202" i="2"/>
  <c r="R195" i="2"/>
  <c r="R200" i="2"/>
  <c r="N326" i="2"/>
  <c r="L326" i="2"/>
  <c r="R326" i="2" s="1"/>
  <c r="O326" i="2"/>
  <c r="R318" i="2"/>
  <c r="R204" i="2"/>
  <c r="R290" i="2"/>
  <c r="R197" i="2"/>
  <c r="R193" i="2"/>
  <c r="R198" i="2"/>
  <c r="R247" i="2"/>
  <c r="R194" i="2"/>
  <c r="R203" i="2"/>
  <c r="R196" i="2" l="1"/>
  <c r="A198" i="2"/>
  <c r="A200" i="2" s="1"/>
  <c r="A186" i="2"/>
  <c r="A188" i="2" s="1"/>
  <c r="R191" i="2"/>
  <c r="M191" i="2"/>
  <c r="M212" i="2" s="1"/>
  <c r="M213" i="2" s="1"/>
  <c r="M192" i="2" l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14" i="2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CV327" i="1" l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V327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V326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V325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V324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V323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V322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V321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V320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V319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V318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V317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V316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V315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V314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V313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V312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V311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V310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V309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V308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V307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V306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V305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V304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V303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V302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V301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V299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V298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V297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V296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V295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V294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V293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V292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V291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V290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V289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V288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V287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V286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V285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V284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V283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V282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V281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V280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V279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V278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V277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V276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V275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V274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V273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V271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V270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V269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V268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V267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V266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V265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V264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V263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V262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V260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V259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V258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V257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V256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V255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V254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V253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V252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V251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V249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V248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V247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V246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V245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V244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V243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V242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V241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V240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V239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V237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V236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V235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V234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V233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V232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V231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V230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V229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V228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V227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V225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V224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V223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V222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V221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V204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V201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V200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V198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V194" i="1"/>
  <c r="T382" i="1" l="1"/>
  <c r="T381" i="1"/>
  <c r="Q352" i="1" l="1"/>
  <c r="Q353" i="1"/>
  <c r="Q354" i="1"/>
  <c r="Q355" i="1"/>
  <c r="Q356" i="1"/>
  <c r="Q357" i="1"/>
  <c r="Q358" i="1"/>
  <c r="Q362" i="1"/>
  <c r="Q363" i="1"/>
  <c r="Q366" i="1"/>
  <c r="Q370" i="1"/>
  <c r="Q371" i="1"/>
  <c r="Q372" i="1"/>
  <c r="Q373" i="1"/>
  <c r="Q376" i="1"/>
  <c r="Q377" i="1"/>
  <c r="Q379" i="1"/>
  <c r="Q380" i="1"/>
  <c r="Q383" i="1"/>
  <c r="Q384" i="1"/>
  <c r="Q385" i="1"/>
  <c r="Q386" i="1"/>
  <c r="Q387" i="1"/>
  <c r="Q388" i="1"/>
  <c r="Q389" i="1"/>
  <c r="Q390" i="1"/>
  <c r="Q391" i="1"/>
  <c r="Q351" i="1"/>
  <c r="S352" i="1"/>
  <c r="S353" i="1"/>
  <c r="S354" i="1"/>
  <c r="S355" i="1"/>
  <c r="S356" i="1"/>
  <c r="S357" i="1"/>
  <c r="S358" i="1"/>
  <c r="S359" i="1"/>
  <c r="Q359" i="1" s="1"/>
  <c r="S360" i="1"/>
  <c r="Q360" i="1" s="1"/>
  <c r="S361" i="1"/>
  <c r="Q361" i="1" s="1"/>
  <c r="S362" i="1"/>
  <c r="S363" i="1"/>
  <c r="S364" i="1"/>
  <c r="Q364" i="1" s="1"/>
  <c r="S365" i="1"/>
  <c r="Q365" i="1" s="1"/>
  <c r="S366" i="1"/>
  <c r="S367" i="1"/>
  <c r="Q367" i="1" s="1"/>
  <c r="S368" i="1"/>
  <c r="Q368" i="1" s="1"/>
  <c r="S369" i="1"/>
  <c r="Q369" i="1" s="1"/>
  <c r="S370" i="1"/>
  <c r="S371" i="1"/>
  <c r="S372" i="1"/>
  <c r="S373" i="1"/>
  <c r="S374" i="1"/>
  <c r="Q374" i="1" s="1"/>
  <c r="S375" i="1"/>
  <c r="Q375" i="1" s="1"/>
  <c r="S376" i="1"/>
  <c r="S377" i="1"/>
  <c r="S378" i="1"/>
  <c r="Q378" i="1" s="1"/>
  <c r="S379" i="1"/>
  <c r="S380" i="1"/>
  <c r="S383" i="1"/>
  <c r="S384" i="1"/>
  <c r="S385" i="1"/>
  <c r="S386" i="1"/>
  <c r="S381" i="1"/>
  <c r="Q381" i="1" s="1"/>
  <c r="S382" i="1"/>
  <c r="Q382" i="1" s="1"/>
  <c r="S387" i="1"/>
  <c r="S388" i="1"/>
  <c r="S389" i="1"/>
  <c r="S390" i="1"/>
  <c r="S391" i="1"/>
  <c r="S392" i="1"/>
  <c r="Q392" i="1" s="1"/>
  <c r="S393" i="1"/>
  <c r="Q393" i="1" s="1"/>
  <c r="S394" i="1"/>
  <c r="Q394" i="1" s="1"/>
  <c r="S395" i="1"/>
  <c r="Q395" i="1" s="1"/>
  <c r="S396" i="1"/>
  <c r="Q396" i="1" s="1"/>
  <c r="S397" i="1"/>
  <c r="Q397" i="1" s="1"/>
  <c r="S398" i="1"/>
  <c r="Q398" i="1" s="1"/>
  <c r="S399" i="1"/>
  <c r="Q399" i="1" s="1"/>
  <c r="S400" i="1"/>
  <c r="Q400" i="1" s="1"/>
  <c r="S401" i="1"/>
  <c r="Q401" i="1" s="1"/>
  <c r="S402" i="1"/>
  <c r="Q402" i="1" s="1"/>
  <c r="S403" i="1"/>
  <c r="Q403" i="1" s="1"/>
  <c r="S404" i="1"/>
  <c r="Q404" i="1" s="1"/>
  <c r="S405" i="1"/>
  <c r="Q405" i="1" s="1"/>
  <c r="S406" i="1"/>
  <c r="Q406" i="1" s="1"/>
  <c r="S407" i="1"/>
  <c r="Q407" i="1" s="1"/>
  <c r="S408" i="1"/>
  <c r="Q408" i="1" s="1"/>
  <c r="S409" i="1"/>
  <c r="Q409" i="1" s="1"/>
  <c r="S410" i="1"/>
  <c r="Q410" i="1" s="1"/>
  <c r="S351" i="1"/>
  <c r="CV410" i="1" l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V410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V409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V408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V407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V406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V405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V404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V403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V402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V401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V400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V399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V398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V397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V396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V395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V393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V394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V392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V391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V390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V389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V388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V387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V382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V381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V386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V385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V384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V383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V380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V379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V378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V377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V376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V375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V374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V373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V372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V371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V370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V369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V368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V367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V366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V364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V365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V363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V362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V361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V359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V360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V358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V357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V356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V355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V354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V353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V352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V351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V350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V348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V347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V346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V344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V343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V341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V340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V339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V338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V337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V336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V335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V334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V333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V332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V331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V330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V329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V328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V300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V272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V261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V250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V238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V226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V220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V219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V218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V217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V215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V216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V214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V213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V211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V212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V209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V210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V207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V208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V206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V205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V203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V202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V199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V196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V195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V197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V191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V190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V192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V193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V189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V188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V187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V186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V185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V184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V183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V181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V180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V182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V178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V179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V177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V176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V175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V174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V173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V172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V171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V170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V169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V168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V167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V166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V165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V164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V163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V162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V161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V160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V159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V158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V157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V156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V155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V154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V153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V152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V151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V150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V149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V148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V147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V146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V145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V144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V143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V142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V141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V140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V139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V138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V137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V136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V135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V133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V134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V132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V131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V129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V130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V128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V127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V126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V124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V125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V123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V121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V122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V120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V119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V117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V118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V113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V112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V111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V11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V104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V103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V102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V109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V108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V101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V100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V99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V98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V91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V93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V92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V90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V88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V87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V89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V86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V85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V83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V84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V82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V81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V79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V80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V78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V76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V77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V75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V74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V73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V72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V71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V70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V69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V68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V67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V66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V65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V63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V64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V62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V60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V61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V58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V59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V57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V56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V55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V54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V53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V52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V51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V50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V49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V47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V48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V46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V45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V44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V43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V42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V41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V40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V39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V38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V37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V36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V35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V34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V33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V32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V31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V30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V29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V28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V27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V26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V25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V24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V23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V22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V21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V20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V19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V18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V17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V16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V15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V14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V13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V12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V11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V10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V9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V8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V7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V6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V5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V349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V345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V342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V116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V115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V110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V105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V106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V10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V97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V96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V95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V94" i="1"/>
  <c r="BP1" i="1" l="1"/>
  <c r="CF1" i="1"/>
  <c r="CN1" i="1"/>
  <c r="CV1" i="1"/>
  <c r="CM1" i="1"/>
  <c r="CU1" i="1"/>
  <c r="CE1" i="1"/>
  <c r="BW1" i="1"/>
  <c r="BU1" i="1"/>
  <c r="CC1" i="1"/>
  <c r="CK1" i="1"/>
  <c r="CS1" i="1"/>
  <c r="BS1" i="1"/>
  <c r="CA1" i="1"/>
  <c r="CI1" i="1"/>
  <c r="CQ1" i="1"/>
  <c r="BQ1" i="1"/>
  <c r="BY1" i="1"/>
  <c r="CG1" i="1"/>
  <c r="CO1" i="1"/>
  <c r="BV1" i="1"/>
  <c r="CD1" i="1"/>
  <c r="CL1" i="1"/>
  <c r="CT1" i="1"/>
  <c r="BT1" i="1"/>
  <c r="CB1" i="1"/>
  <c r="CJ1" i="1"/>
  <c r="CR1" i="1"/>
  <c r="BR1" i="1"/>
  <c r="BZ1" i="1"/>
  <c r="CH1" i="1"/>
  <c r="CP1" i="1"/>
  <c r="BX1" i="1"/>
</calcChain>
</file>

<file path=xl/comments1.xml><?xml version="1.0" encoding="utf-8"?>
<comments xmlns="http://schemas.openxmlformats.org/spreadsheetml/2006/main">
  <authors>
    <author>uchida</author>
    <author>大槻 隆雄</author>
  </authors>
  <commentList>
    <comment ref="E33" authorId="0" shapeId="0">
      <text>
        <r>
          <rPr>
            <sz val="16"/>
            <color indexed="81"/>
            <rFont val="ＭＳ Ｐゴシック"/>
            <family val="3"/>
            <charset val="128"/>
          </rPr>
          <t>内２台は１１月分を前倒し出荷</t>
        </r>
      </text>
    </comment>
    <comment ref="D36" authorId="0" shapeId="0">
      <text>
        <r>
          <rPr>
            <sz val="9"/>
            <rFont val="ＭＳ Ｐゴシック"/>
            <family val="3"/>
            <charset val="128"/>
          </rPr>
          <t>開発手配　LAY001*2台含む</t>
        </r>
      </text>
    </comment>
    <comment ref="L111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大槻 隆雄:</t>
        </r>
        <r>
          <rPr>
            <sz val="9"/>
            <color indexed="81"/>
            <rFont val="ＭＳ Ｐゴシック"/>
            <family val="3"/>
            <charset val="128"/>
          </rPr>
          <t xml:space="preserve">
+破損13</t>
        </r>
      </text>
    </comment>
  </commentList>
</comments>
</file>

<file path=xl/comments2.xml><?xml version="1.0" encoding="utf-8"?>
<comments xmlns="http://schemas.openxmlformats.org/spreadsheetml/2006/main">
  <authors>
    <author>UCHIDA</author>
    <author>uchida</author>
  </authors>
  <commentList>
    <comment ref="O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3FﾕﾆｯﾄはLAZ：5/7完了および5/7単体出荷から4日前に必要として計画する(2/8)
</t>
        </r>
      </text>
    </comment>
    <comment ref="U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X1" authorId="1" shapeId="0">
      <text>
        <r>
          <rPr>
            <sz val="9"/>
            <rFont val="ＭＳ Ｐゴシック"/>
            <family val="3"/>
            <charset val="134"/>
          </rPr>
          <t xml:space="preserve">10/18新規型式追加
部品：
1298298-9   ｶﾞｲﾄﾞ,ｲﾝﾚﾂﾄ </t>
        </r>
      </text>
    </comment>
    <comment ref="Y1" authorId="0" shapeId="0">
      <text>
        <r>
          <rPr>
            <sz val="9"/>
            <rFont val="ＭＳ Ｐゴシック"/>
            <family val="3"/>
            <charset val="134"/>
          </rPr>
          <t>’’13/10新規登録
部品：
2275400-3 ｶﾞｲﾄﾞｲﾝﾚｯﾄ</t>
        </r>
      </text>
    </comment>
    <comment ref="Z1" authorId="0" shapeId="0">
      <text>
        <r>
          <rPr>
            <sz val="9"/>
            <rFont val="ＭＳ Ｐゴシック"/>
            <family val="3"/>
            <charset val="134"/>
          </rPr>
          <t>’’14/10新規登録
部品：
2275687-1 ｶﾞｲﾄﾞｲﾝﾚｯﾄ</t>
        </r>
      </text>
    </comment>
    <comment ref="AF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I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M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P1" authorId="1" shapeId="0">
      <text>
        <r>
          <rPr>
            <sz val="9"/>
            <rFont val="ＭＳ Ｐゴシック"/>
            <family val="3"/>
            <charset val="134"/>
          </rPr>
          <t>フレーム部
ＬＡＹ００２を使用
BH：LB002に使用</t>
        </r>
      </text>
    </comment>
    <comment ref="AQ1" authorId="1" shapeId="0">
      <text>
        <r>
          <rPr>
            <sz val="9"/>
            <rFont val="ＭＳ Ｐゴシック"/>
            <family val="3"/>
            <charset val="134"/>
          </rPr>
          <t>フレーム部
ＬＡＹ００１を使用
BH・・・LB001,003,004,005に
使用</t>
        </r>
      </text>
    </comment>
    <comment ref="AS1" authorId="1" shapeId="0">
      <text>
        <r>
          <rPr>
            <sz val="9"/>
            <rFont val="ＭＳ Ｐゴシック"/>
            <family val="3"/>
            <charset val="134"/>
          </rPr>
          <t>フレーム部
ＬＡＹ００１を使用
BH・・・LB001,003,004,005に
使用</t>
        </r>
      </text>
    </comment>
    <comment ref="AT1" authorId="0" shapeId="0">
      <text>
        <r>
          <rPr>
            <sz val="9"/>
            <rFont val="ＭＳ Ｐゴシック"/>
            <family val="3"/>
            <charset val="134"/>
          </rPr>
          <t xml:space="preserve">’13/10新規登録
</t>
        </r>
      </text>
    </comment>
    <comment ref="AU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V1" authorId="0" shapeId="0">
      <text>
        <r>
          <rPr>
            <sz val="9"/>
            <rFont val="ＭＳ Ｐゴシック"/>
            <family val="3"/>
            <charset val="134"/>
          </rPr>
          <t xml:space="preserve">’13/10新規登録
</t>
        </r>
      </text>
    </comment>
    <comment ref="AW1" authorId="1" shapeId="0">
      <text>
        <r>
          <rPr>
            <sz val="9"/>
            <rFont val="ＭＳ Ｐゴシック"/>
            <family val="3"/>
            <charset val="134"/>
          </rPr>
          <t>1859122-1
VUP-P01使用</t>
        </r>
      </text>
    </comment>
  </commentList>
</comments>
</file>

<file path=xl/sharedStrings.xml><?xml version="1.0" encoding="utf-8"?>
<sst xmlns="http://schemas.openxmlformats.org/spreadsheetml/2006/main" count="8853" uniqueCount="1416">
  <si>
    <t>合計数量→</t>
  </si>
  <si>
    <t>V8P/S2</t>
  </si>
  <si>
    <t>V8P/S3</t>
  </si>
  <si>
    <t>V8P/S4</t>
  </si>
  <si>
    <t>V8P/S5</t>
  </si>
  <si>
    <t>V8P/S6</t>
  </si>
  <si>
    <t>V8P/S7</t>
  </si>
  <si>
    <t>V8P/S8</t>
  </si>
  <si>
    <t>V8P/S9</t>
  </si>
  <si>
    <t>V8P/S10</t>
  </si>
  <si>
    <t>V8P/S11</t>
  </si>
  <si>
    <t>V8P/S12</t>
  </si>
  <si>
    <t>V8P/S13</t>
  </si>
  <si>
    <t>V8P/S14</t>
  </si>
  <si>
    <t>V8P/S15</t>
  </si>
  <si>
    <t>V8P/S16</t>
  </si>
  <si>
    <t>V8P/S17</t>
  </si>
  <si>
    <t>V8P/S18</t>
  </si>
  <si>
    <t>V8P/S19</t>
  </si>
  <si>
    <t>V8P/S20</t>
  </si>
  <si>
    <t>V8P/S21</t>
  </si>
  <si>
    <t>V8P/S22</t>
  </si>
  <si>
    <t>V8P/S23</t>
  </si>
  <si>
    <t>V8P/S24</t>
  </si>
  <si>
    <t>V8P/S34</t>
  </si>
  <si>
    <t>V9P/S2</t>
  </si>
  <si>
    <t>V9P/S3</t>
  </si>
  <si>
    <t>V9P/S4</t>
  </si>
  <si>
    <t>V9P/S5</t>
  </si>
  <si>
    <t>V9P/S6</t>
  </si>
  <si>
    <t>V9P/S7</t>
  </si>
  <si>
    <t>V9P/S8</t>
  </si>
  <si>
    <t>V9P/S9</t>
  </si>
  <si>
    <t>V9P/S10</t>
  </si>
  <si>
    <t>V8 QYT</t>
  </si>
  <si>
    <t>Ｖ９　QYT</t>
  </si>
  <si>
    <t>№</t>
  </si>
  <si>
    <t>生産計画№</t>
  </si>
  <si>
    <t>客先名</t>
  </si>
  <si>
    <t>駅名</t>
  </si>
  <si>
    <t>コーナー</t>
  </si>
  <si>
    <t>機種名</t>
  </si>
  <si>
    <t>型式</t>
  </si>
  <si>
    <t>機器品番</t>
  </si>
  <si>
    <t>属性</t>
  </si>
  <si>
    <t>正式
品番</t>
  </si>
  <si>
    <t>追加
仕様</t>
  </si>
  <si>
    <t>数量</t>
  </si>
  <si>
    <t>順序指示
発行日</t>
  </si>
  <si>
    <t>光真ss
出荷日</t>
  </si>
  <si>
    <t>M/C
着手日</t>
  </si>
  <si>
    <t>機器
ﾘﾘｰｽ日</t>
  </si>
  <si>
    <t>実出荷</t>
  </si>
  <si>
    <t>KP-No</t>
  </si>
  <si>
    <t>BH型式
TYPE</t>
  </si>
  <si>
    <t>V7ｶｾｯﾄ
品番</t>
  </si>
  <si>
    <t>MODEL</t>
  </si>
  <si>
    <t>shipment
month</t>
  </si>
  <si>
    <t>T-No</t>
  </si>
  <si>
    <t>V７号機</t>
  </si>
  <si>
    <t>V8-LAZ
型式</t>
  </si>
  <si>
    <t>V8-LAY
型式</t>
  </si>
  <si>
    <t>Z002
号機</t>
  </si>
  <si>
    <t>Z003
号機</t>
  </si>
  <si>
    <t>Z004
号機</t>
  </si>
  <si>
    <t>Z101
号機</t>
  </si>
  <si>
    <t>Z102
号機</t>
  </si>
  <si>
    <t>Z103
号機</t>
  </si>
  <si>
    <t>Z201
号機</t>
  </si>
  <si>
    <t>備考</t>
  </si>
  <si>
    <t>LAA101</t>
  </si>
  <si>
    <t>LAF001</t>
  </si>
  <si>
    <t>LAF002</t>
  </si>
  <si>
    <t>LAF003</t>
  </si>
  <si>
    <t>LAG001</t>
  </si>
  <si>
    <t>LAG002</t>
  </si>
  <si>
    <t>LAE101</t>
  </si>
  <si>
    <t>LAE102</t>
  </si>
  <si>
    <t>LAE201</t>
  </si>
  <si>
    <t>LBL001</t>
  </si>
  <si>
    <t>LBL002</t>
  </si>
  <si>
    <t>LAL001</t>
  </si>
  <si>
    <t>LAN001</t>
  </si>
  <si>
    <t>LAN002</t>
  </si>
  <si>
    <t>LCN001</t>
  </si>
  <si>
    <t>LAC001</t>
  </si>
  <si>
    <t>LAC002</t>
  </si>
  <si>
    <t>LCC001</t>
  </si>
  <si>
    <t>LCC002</t>
  </si>
  <si>
    <t>LAD001</t>
  </si>
  <si>
    <t>LAD002</t>
  </si>
  <si>
    <t>LCD001</t>
  </si>
  <si>
    <t>LCD002</t>
  </si>
  <si>
    <t>LAH001</t>
  </si>
  <si>
    <t>LAA001</t>
  </si>
  <si>
    <t>LAE001</t>
  </si>
  <si>
    <t>LAA101Q</t>
  </si>
  <si>
    <t>LAF001Q</t>
  </si>
  <si>
    <t>LAF002Q</t>
  </si>
  <si>
    <t>LAF003Q</t>
  </si>
  <si>
    <t>LAG001Q</t>
  </si>
  <si>
    <t>LAG002Q</t>
  </si>
  <si>
    <t>LAE101Q</t>
  </si>
  <si>
    <t>LAE102Q</t>
  </si>
  <si>
    <t>LAE201Q</t>
  </si>
  <si>
    <t>LBL001Q</t>
  </si>
  <si>
    <t>LBL002Q</t>
  </si>
  <si>
    <t>LAL001Q</t>
  </si>
  <si>
    <t>LAN001Q</t>
  </si>
  <si>
    <t>LAN002Q</t>
  </si>
  <si>
    <t>LCN001Q</t>
  </si>
  <si>
    <t>LAC001Q</t>
  </si>
  <si>
    <t>LAC002Q</t>
  </si>
  <si>
    <t>LCC001Q</t>
  </si>
  <si>
    <t>LCC002Q</t>
  </si>
  <si>
    <t>LAD001Q</t>
  </si>
  <si>
    <t>LAD002Q</t>
  </si>
  <si>
    <t>LCD001Q</t>
  </si>
  <si>
    <t>LCD002Q</t>
  </si>
  <si>
    <t>LAH001Q</t>
  </si>
  <si>
    <t>新LAA001Q</t>
  </si>
  <si>
    <t>新LAＦ001Q</t>
  </si>
  <si>
    <t>新LAＧ001Q</t>
  </si>
  <si>
    <t>新LAＥ001Q</t>
  </si>
  <si>
    <t>新LAL001Q</t>
  </si>
  <si>
    <t>新LAN001Q</t>
  </si>
  <si>
    <t>新LAC001Q</t>
  </si>
  <si>
    <t>新LAD001Q</t>
  </si>
  <si>
    <t>新LAH001Q</t>
  </si>
  <si>
    <t>000397078</t>
  </si>
  <si>
    <t>N社（Ｔ）</t>
  </si>
  <si>
    <t>日本信号　BH（VU-LA007）</t>
  </si>
  <si>
    <t>VU-LA007（新紙幣対応）</t>
  </si>
  <si>
    <t>V8-4BH</t>
  </si>
  <si>
    <t>VU-LA007</t>
  </si>
  <si>
    <t>3251848-0</t>
  </si>
  <si>
    <t>単体</t>
  </si>
  <si>
    <t>000397079</t>
  </si>
  <si>
    <t>日本信号　BH（VU-LB006）</t>
  </si>
  <si>
    <t>VU-LB006（新紙幣対応）</t>
  </si>
  <si>
    <t>VU-LB006</t>
  </si>
  <si>
    <t>2206106-7</t>
  </si>
  <si>
    <t>000397090</t>
  </si>
  <si>
    <t>000397091</t>
  </si>
  <si>
    <t>小田急</t>
  </si>
  <si>
    <t>西</t>
  </si>
  <si>
    <t>小田急V9</t>
  </si>
  <si>
    <t>機器</t>
  </si>
  <si>
    <t>南</t>
  </si>
  <si>
    <t>設計設備</t>
  </si>
  <si>
    <t>000397594</t>
  </si>
  <si>
    <t>JREM</t>
  </si>
  <si>
    <t>JR東EX20総（V）</t>
  </si>
  <si>
    <t>3S2EU-RBP-0001</t>
  </si>
  <si>
    <t>5647075-6</t>
  </si>
  <si>
    <t>000397593</t>
  </si>
  <si>
    <t>JR東EV20総(多機能)</t>
  </si>
  <si>
    <t>3S2VU-RBP-5003</t>
  </si>
  <si>
    <t>3140524-0</t>
  </si>
  <si>
    <t>000397591</t>
  </si>
  <si>
    <t>JR東EV20総(IC専用)</t>
  </si>
  <si>
    <t>3S2VU-RBS-0001</t>
  </si>
  <si>
    <t>5346501-8</t>
  </si>
  <si>
    <t>000397436</t>
  </si>
  <si>
    <t>南海</t>
  </si>
  <si>
    <t>南海V8(ﾏﾙﾁ)</t>
  </si>
  <si>
    <t>3S2VU-FBP-5002</t>
  </si>
  <si>
    <t>3690049-5</t>
  </si>
  <si>
    <t>3S2YB-FFP-5001</t>
  </si>
  <si>
    <t>5831921-4</t>
  </si>
  <si>
    <t>000397758</t>
  </si>
  <si>
    <t>小田急V8EXV</t>
  </si>
  <si>
    <t>3S2EU-FFP-0001</t>
  </si>
  <si>
    <t>2840946-4</t>
  </si>
  <si>
    <t>はめこみ</t>
  </si>
  <si>
    <t>000397759</t>
  </si>
  <si>
    <t>3S2EU-FFP-1001</t>
  </si>
  <si>
    <t>2841859-5</t>
  </si>
  <si>
    <t>ｽﾀﾝﾄﾞ</t>
  </si>
  <si>
    <t>000397592</t>
  </si>
  <si>
    <t>JRS</t>
  </si>
  <si>
    <t>V9-BH</t>
  </si>
  <si>
    <t>YB-LA002</t>
  </si>
  <si>
    <t>3655124-5</t>
  </si>
  <si>
    <t>000397610</t>
  </si>
  <si>
    <t>000397624</t>
  </si>
  <si>
    <t>南海V8EXV</t>
  </si>
  <si>
    <t>3S2EU-FBP-1001</t>
  </si>
  <si>
    <t>2800681-5</t>
  </si>
  <si>
    <t>回転台</t>
  </si>
  <si>
    <t>VU-LB106</t>
  </si>
  <si>
    <t>V8</t>
  </si>
  <si>
    <t>LAZ101</t>
  </si>
  <si>
    <t>LAY001</t>
  </si>
  <si>
    <t>南海V8</t>
  </si>
  <si>
    <t>3S2VU-FBP-0003</t>
  </si>
  <si>
    <t>3690047-9</t>
  </si>
  <si>
    <t>VU-LA012</t>
  </si>
  <si>
    <t>本屋</t>
  </si>
  <si>
    <t>VU-LD091</t>
  </si>
  <si>
    <t>LAZ201</t>
  </si>
  <si>
    <t>3S2EU-FBP-0001</t>
  </si>
  <si>
    <t>2800663-7</t>
  </si>
  <si>
    <t>新今宮</t>
  </si>
  <si>
    <t>４F</t>
  </si>
  <si>
    <t>000377924</t>
  </si>
  <si>
    <t>VV-26749</t>
  </si>
  <si>
    <t>000391729</t>
  </si>
  <si>
    <t>N社（Ｎ）</t>
  </si>
  <si>
    <t>3251849-9</t>
  </si>
  <si>
    <t>MC-51692</t>
  </si>
  <si>
    <t>LAZ002</t>
  </si>
  <si>
    <t>LAY002</t>
  </si>
  <si>
    <t>000378623</t>
  </si>
  <si>
    <t>本鵠沼</t>
  </si>
  <si>
    <t>西口</t>
  </si>
  <si>
    <t>VV-26755</t>
  </si>
  <si>
    <t>000377925</t>
  </si>
  <si>
    <t>天下茶屋</t>
  </si>
  <si>
    <t>VV-26760</t>
  </si>
  <si>
    <t>000381123</t>
  </si>
  <si>
    <t>萩ノ茶屋</t>
  </si>
  <si>
    <t>VV-26763</t>
  </si>
  <si>
    <t>000381124</t>
  </si>
  <si>
    <t>粉浜</t>
  </si>
  <si>
    <t>VV-26764</t>
  </si>
  <si>
    <t>000385490</t>
  </si>
  <si>
    <t>下諏訪(本屋)駅設定</t>
  </si>
  <si>
    <t>VV-26775</t>
  </si>
  <si>
    <t>000393963</t>
  </si>
  <si>
    <t>VV-26777</t>
  </si>
  <si>
    <t>000393965</t>
  </si>
  <si>
    <t>天王洲アイル</t>
  </si>
  <si>
    <t>東モノEX20総（V）</t>
  </si>
  <si>
    <t>3S2EU-KRP-0001</t>
  </si>
  <si>
    <t>5821604-0</t>
  </si>
  <si>
    <t>めこみ</t>
  </si>
  <si>
    <t>VV-26782</t>
  </si>
  <si>
    <t>000393967</t>
  </si>
  <si>
    <t>天空橋</t>
  </si>
  <si>
    <t>HiCity</t>
  </si>
  <si>
    <t>VV-26783</t>
  </si>
  <si>
    <t>000371187</t>
  </si>
  <si>
    <t>中央</t>
  </si>
  <si>
    <t>3S2EU-KRP-1001</t>
  </si>
  <si>
    <t>5833401-9</t>
  </si>
  <si>
    <t>VV-26786</t>
  </si>
  <si>
    <t>000393964</t>
  </si>
  <si>
    <t>VV-26787</t>
  </si>
  <si>
    <t>000375150</t>
  </si>
  <si>
    <t>JREM機械設備技術センター</t>
  </si>
  <si>
    <t>VV-26790</t>
  </si>
  <si>
    <t>000393966</t>
  </si>
  <si>
    <t>新整備場</t>
  </si>
  <si>
    <t>VV-26791</t>
  </si>
  <si>
    <t>000381125</t>
  </si>
  <si>
    <t>七道</t>
  </si>
  <si>
    <t>VV-26794</t>
  </si>
  <si>
    <t>000394016</t>
  </si>
  <si>
    <t>M社（Ｎ）</t>
  </si>
  <si>
    <t>VU-LA004</t>
  </si>
  <si>
    <t>1892581-2</t>
  </si>
  <si>
    <t>MC-51868</t>
  </si>
  <si>
    <t>000371238</t>
  </si>
  <si>
    <t>MC-51869</t>
  </si>
  <si>
    <t>000384916</t>
  </si>
  <si>
    <t>MC-51870</t>
  </si>
  <si>
    <t>000381128</t>
  </si>
  <si>
    <t>湊</t>
  </si>
  <si>
    <t>VV-26797</t>
  </si>
  <si>
    <t>000394022</t>
  </si>
  <si>
    <t>MC-51875</t>
  </si>
  <si>
    <t>000394020</t>
  </si>
  <si>
    <t>MC-51876</t>
  </si>
  <si>
    <t>000394024</t>
  </si>
  <si>
    <t>MC-51877</t>
  </si>
  <si>
    <t>000394018</t>
  </si>
  <si>
    <t>MC-51878</t>
  </si>
  <si>
    <t>000380740</t>
  </si>
  <si>
    <t>JR西</t>
  </si>
  <si>
    <t>摩耶</t>
  </si>
  <si>
    <t>JR西FA70(EXV)</t>
  </si>
  <si>
    <t>3S2EU-RDP-0001</t>
  </si>
  <si>
    <t>2874359-3</t>
  </si>
  <si>
    <t>VV-26801</t>
  </si>
  <si>
    <t>VU-LB112</t>
  </si>
  <si>
    <t>LAZ102</t>
  </si>
  <si>
    <t>000394015</t>
  </si>
  <si>
    <t>MC-51883</t>
  </si>
  <si>
    <t>000394025</t>
  </si>
  <si>
    <t>MC-51884</t>
  </si>
  <si>
    <t>000394013</t>
  </si>
  <si>
    <t>MC-51885</t>
  </si>
  <si>
    <t>000394026</t>
  </si>
  <si>
    <t>MC-51886</t>
  </si>
  <si>
    <t>000385410</t>
  </si>
  <si>
    <t>春木</t>
  </si>
  <si>
    <t>東</t>
  </si>
  <si>
    <t>DVR内蔵</t>
  </si>
  <si>
    <t>VV-26806</t>
  </si>
  <si>
    <t>000394023</t>
  </si>
  <si>
    <t>MC-51891</t>
  </si>
  <si>
    <t>000394017</t>
  </si>
  <si>
    <t>MC-51892</t>
  </si>
  <si>
    <t>000394027</t>
  </si>
  <si>
    <t>MC-51893</t>
  </si>
  <si>
    <t>000394014</t>
  </si>
  <si>
    <t>MC-51894</t>
  </si>
  <si>
    <t>000385411</t>
  </si>
  <si>
    <t>貝塚</t>
  </si>
  <si>
    <t>VV-26809</t>
  </si>
  <si>
    <t>000385416</t>
  </si>
  <si>
    <t>初芝</t>
  </si>
  <si>
    <t>VV-26810</t>
  </si>
  <si>
    <t>000394019</t>
  </si>
  <si>
    <t>MC-51900</t>
  </si>
  <si>
    <t>000394021</t>
  </si>
  <si>
    <t>MC-51901</t>
  </si>
  <si>
    <t>000385413</t>
  </si>
  <si>
    <t>沢ノ町</t>
  </si>
  <si>
    <t>VV-26813</t>
  </si>
  <si>
    <t>000385414</t>
  </si>
  <si>
    <t>百舌鳥八幡</t>
  </si>
  <si>
    <t>VV-26814</t>
  </si>
  <si>
    <t>000385412</t>
  </si>
  <si>
    <t>羽倉崎</t>
  </si>
  <si>
    <t>VV-26817</t>
  </si>
  <si>
    <t>000385415</t>
  </si>
  <si>
    <t>関西空港</t>
  </si>
  <si>
    <t>000380741</t>
  </si>
  <si>
    <t>鷹取</t>
  </si>
  <si>
    <t>000386911</t>
  </si>
  <si>
    <t>000384260</t>
  </si>
  <si>
    <t>000377934</t>
  </si>
  <si>
    <t>りんくうタウン</t>
  </si>
  <si>
    <t>000382606</t>
  </si>
  <si>
    <t>都留文科大学前駅</t>
  </si>
  <si>
    <t>JR東EV20総(標準)</t>
  </si>
  <si>
    <t>3S2VU-PDP-0004</t>
  </si>
  <si>
    <t>5819600-7</t>
  </si>
  <si>
    <t>000371350</t>
  </si>
  <si>
    <t>西明石</t>
  </si>
  <si>
    <t>VU-LB102</t>
  </si>
  <si>
    <t>9909170-8</t>
  </si>
  <si>
    <t>000385311</t>
  </si>
  <si>
    <t>あいの風とやま（西）</t>
  </si>
  <si>
    <t>トレセン</t>
  </si>
  <si>
    <t>000398704</t>
  </si>
  <si>
    <t>000398707</t>
  </si>
  <si>
    <t>000398709</t>
  </si>
  <si>
    <t>000398706</t>
  </si>
  <si>
    <t>000389162</t>
  </si>
  <si>
    <t>000397524</t>
  </si>
  <si>
    <t>昭和島駅</t>
  </si>
  <si>
    <t>待合室</t>
  </si>
  <si>
    <t>3S2EU-KRP-1002</t>
  </si>
  <si>
    <t>5833406-0</t>
  </si>
  <si>
    <t>スカート</t>
  </si>
  <si>
    <t>000398705</t>
  </si>
  <si>
    <t>000397525</t>
  </si>
  <si>
    <t>整備場</t>
  </si>
  <si>
    <t>000398708</t>
  </si>
  <si>
    <t>000397523</t>
  </si>
  <si>
    <t>大井競馬場前</t>
  </si>
  <si>
    <t>000389155</t>
  </si>
  <si>
    <t>流通センター</t>
  </si>
  <si>
    <t>000390898</t>
  </si>
  <si>
    <t>南田辺</t>
  </si>
  <si>
    <t>5613530-2</t>
  </si>
  <si>
    <t>M社クロス用BH</t>
  </si>
  <si>
    <t>000390886</t>
  </si>
  <si>
    <t>富木</t>
  </si>
  <si>
    <t>000390892</t>
  </si>
  <si>
    <t>東口</t>
  </si>
  <si>
    <t>000390904</t>
  </si>
  <si>
    <t>浅香</t>
  </si>
  <si>
    <t>000394157</t>
  </si>
  <si>
    <t>紀三井寺</t>
  </si>
  <si>
    <t>000385304</t>
  </si>
  <si>
    <t>浜寺公園</t>
  </si>
  <si>
    <t>未定</t>
  </si>
  <si>
    <t>000393688</t>
  </si>
  <si>
    <t>羽田空港第３ターミナル</t>
  </si>
  <si>
    <t>３Ｆ改札</t>
  </si>
  <si>
    <t>000397526</t>
  </si>
  <si>
    <t>羽田空港第1ターミナル</t>
  </si>
  <si>
    <t>000397527</t>
  </si>
  <si>
    <t>北</t>
  </si>
  <si>
    <t>000397529</t>
  </si>
  <si>
    <t>羽田空港第2ターミナル</t>
  </si>
  <si>
    <t>000394163</t>
  </si>
  <si>
    <t>新家</t>
  </si>
  <si>
    <t>000394169</t>
  </si>
  <si>
    <t>000394181</t>
  </si>
  <si>
    <t>大正</t>
  </si>
  <si>
    <t>000394175</t>
  </si>
  <si>
    <t>長居</t>
  </si>
  <si>
    <t>000397528</t>
  </si>
  <si>
    <t>000395227</t>
  </si>
  <si>
    <t>新大阪</t>
  </si>
  <si>
    <t>3S2EU-RDP-0003</t>
  </si>
  <si>
    <t>2899914-8</t>
  </si>
  <si>
    <t>000390814</t>
  </si>
  <si>
    <t>000391333</t>
  </si>
  <si>
    <t>美章園</t>
  </si>
  <si>
    <t>000397209</t>
  </si>
  <si>
    <t>我孫子</t>
  </si>
  <si>
    <t>000399243</t>
  </si>
  <si>
    <t>和泉砂川</t>
  </si>
  <si>
    <t>000399242</t>
  </si>
  <si>
    <t>和泉鳥取</t>
  </si>
  <si>
    <t>000394288</t>
  </si>
  <si>
    <t>000395158</t>
  </si>
  <si>
    <t>000395284</t>
  </si>
  <si>
    <t>2206082-6</t>
  </si>
  <si>
    <t>000395159</t>
  </si>
  <si>
    <t>000395161</t>
  </si>
  <si>
    <t>VU-LC002</t>
  </si>
  <si>
    <t>9709179-4</t>
  </si>
  <si>
    <t>000397210</t>
  </si>
  <si>
    <t>000397377</t>
  </si>
  <si>
    <t>000398792</t>
  </si>
  <si>
    <t>000397376</t>
  </si>
  <si>
    <t>000397069</t>
  </si>
  <si>
    <t>東淀川</t>
  </si>
  <si>
    <t>000397211</t>
  </si>
  <si>
    <t>000399411</t>
  </si>
  <si>
    <t>000397070</t>
  </si>
  <si>
    <t>中百舌鳥</t>
  </si>
  <si>
    <t>000399600</t>
  </si>
  <si>
    <t>000397071</t>
  </si>
  <si>
    <t>大和小泉</t>
  </si>
  <si>
    <t>000397212</t>
  </si>
  <si>
    <t>000397378</t>
  </si>
  <si>
    <t>000397312</t>
  </si>
  <si>
    <t>000397072</t>
  </si>
  <si>
    <t>000397213</t>
  </si>
  <si>
    <t>000397368</t>
  </si>
  <si>
    <t>000397379</t>
  </si>
  <si>
    <t>000397380</t>
  </si>
  <si>
    <t>000397369</t>
  </si>
  <si>
    <t>VU-LB002</t>
  </si>
  <si>
    <t>1889259-0</t>
  </si>
  <si>
    <t>000397384</t>
  </si>
  <si>
    <t>000397365</t>
  </si>
  <si>
    <t>000397381</t>
  </si>
  <si>
    <t>000397370</t>
  </si>
  <si>
    <t>000397216</t>
  </si>
  <si>
    <t>000397366</t>
  </si>
  <si>
    <t>000397363</t>
  </si>
  <si>
    <t>VU-LB101</t>
  </si>
  <si>
    <t>0184425-8</t>
  </si>
  <si>
    <t>000397371</t>
  </si>
  <si>
    <t>000397364</t>
  </si>
  <si>
    <t>000397367</t>
  </si>
  <si>
    <t>000397382</t>
  </si>
  <si>
    <t>000397372</t>
  </si>
  <si>
    <t>000397385</t>
  </si>
  <si>
    <t>000397076</t>
  </si>
  <si>
    <t>000397383</t>
  </si>
  <si>
    <t>000397373</t>
  </si>
  <si>
    <t>000397386</t>
  </si>
  <si>
    <t>000397374</t>
  </si>
  <si>
    <t>000397375</t>
  </si>
  <si>
    <t>V9</t>
  </si>
  <si>
    <t>YB-LA001</t>
  </si>
  <si>
    <t>近鉄</t>
  </si>
  <si>
    <t>近鉄V9EXV</t>
  </si>
  <si>
    <t>V9EXV　硬貨有回転台</t>
  </si>
  <si>
    <t>000391786</t>
  </si>
  <si>
    <t>MC-51813</t>
  </si>
  <si>
    <t>000391788</t>
  </si>
  <si>
    <t>MC-51814</t>
  </si>
  <si>
    <t>000391787</t>
  </si>
  <si>
    <t>MC-51815</t>
  </si>
  <si>
    <t>000382813</t>
  </si>
  <si>
    <t>つくば</t>
  </si>
  <si>
    <t>台東試験場</t>
  </si>
  <si>
    <t>秋葉原(本屋)</t>
  </si>
  <si>
    <t>つくばV9ﾏﾙﾁ</t>
  </si>
  <si>
    <t>3S2YB-LFP-5001</t>
  </si>
  <si>
    <t>5842833-1</t>
  </si>
  <si>
    <t>VV-26774</t>
  </si>
  <si>
    <t>000393970</t>
  </si>
  <si>
    <t>MC-51819</t>
  </si>
  <si>
    <t>000393978</t>
  </si>
  <si>
    <t>MC-51820</t>
  </si>
  <si>
    <t>000393968</t>
  </si>
  <si>
    <t>MC-51821</t>
  </si>
  <si>
    <t>000371222</t>
  </si>
  <si>
    <t>MC-51822</t>
  </si>
  <si>
    <t>000393973</t>
  </si>
  <si>
    <t>MC-51827</t>
  </si>
  <si>
    <t>000393969</t>
  </si>
  <si>
    <t>MC-51828</t>
  </si>
  <si>
    <t>000393977</t>
  </si>
  <si>
    <t>MC-51829</t>
  </si>
  <si>
    <t>000393975</t>
  </si>
  <si>
    <t>MC-51830</t>
  </si>
  <si>
    <t>000371421</t>
  </si>
  <si>
    <t>海老名</t>
  </si>
  <si>
    <t>VV-26778</t>
  </si>
  <si>
    <t>000386085</t>
  </si>
  <si>
    <t>喜多見研修センター</t>
  </si>
  <si>
    <t>VV-26779</t>
  </si>
  <si>
    <t>000393979</t>
  </si>
  <si>
    <t>MC-51835</t>
  </si>
  <si>
    <t>000393974</t>
  </si>
  <si>
    <t>MC-51836</t>
  </si>
  <si>
    <t>000393976</t>
  </si>
  <si>
    <t>MC-51837</t>
  </si>
  <si>
    <t>000393980</t>
  </si>
  <si>
    <t>MC-51838</t>
  </si>
  <si>
    <t>000393971</t>
  </si>
  <si>
    <t>MC-51843</t>
  </si>
  <si>
    <t>000393988</t>
  </si>
  <si>
    <t>MC-51844</t>
  </si>
  <si>
    <t>000393972</t>
  </si>
  <si>
    <t>MC-51845</t>
  </si>
  <si>
    <t>000393981</t>
  </si>
  <si>
    <t>MC-51846</t>
  </si>
  <si>
    <t>000393987</t>
  </si>
  <si>
    <t>MC-51851</t>
  </si>
  <si>
    <t>000393558</t>
  </si>
  <si>
    <t>MC-51852</t>
  </si>
  <si>
    <t>000393983</t>
  </si>
  <si>
    <t>MC-51853</t>
  </si>
  <si>
    <t>000393989</t>
  </si>
  <si>
    <t>MC-51854</t>
  </si>
  <si>
    <t>000393990</t>
  </si>
  <si>
    <t>MC-51859</t>
  </si>
  <si>
    <t>000393982</t>
  </si>
  <si>
    <t>MC-51860</t>
  </si>
  <si>
    <t>000393985</t>
  </si>
  <si>
    <t>MC-51861</t>
  </si>
  <si>
    <t>000393984</t>
  </si>
  <si>
    <t>MC-51862</t>
  </si>
  <si>
    <t>000380429</t>
  </si>
  <si>
    <t>その他T</t>
  </si>
  <si>
    <t>OFE向け</t>
  </si>
  <si>
    <t>VV-26800</t>
  </si>
  <si>
    <t>000393986</t>
  </si>
  <si>
    <t>MC-51867</t>
  </si>
  <si>
    <t>000371379</t>
  </si>
  <si>
    <t>吉田</t>
  </si>
  <si>
    <t>上り</t>
  </si>
  <si>
    <t>近鉄V9EXVCH無</t>
  </si>
  <si>
    <t>3S2EB-FJP-1003</t>
  </si>
  <si>
    <t>3647955-2</t>
  </si>
  <si>
    <t>CH無</t>
  </si>
  <si>
    <t>VV-26796</t>
  </si>
  <si>
    <t>000371378</t>
  </si>
  <si>
    <t>近鉄八尾</t>
  </si>
  <si>
    <t>3S2EB-FJP-1005</t>
  </si>
  <si>
    <t>5872639-1</t>
  </si>
  <si>
    <t>CH無　上出し</t>
  </si>
  <si>
    <t>VV-26802</t>
  </si>
  <si>
    <t>000389664</t>
  </si>
  <si>
    <t>富田林</t>
  </si>
  <si>
    <t>VV-26805</t>
  </si>
  <si>
    <t>000393999</t>
  </si>
  <si>
    <t>MC-51899</t>
  </si>
  <si>
    <t>000394000</t>
  </si>
  <si>
    <t>MC-51905</t>
  </si>
  <si>
    <t>000393994</t>
  </si>
  <si>
    <t>MC-51906</t>
  </si>
  <si>
    <t>000393998</t>
  </si>
  <si>
    <t>MC-51907</t>
  </si>
  <si>
    <t>000393559</t>
  </si>
  <si>
    <t>000394007</t>
  </si>
  <si>
    <t>000394002</t>
  </si>
  <si>
    <t>000394011</t>
  </si>
  <si>
    <t>000393992</t>
  </si>
  <si>
    <t>000393995</t>
  </si>
  <si>
    <t>000393991</t>
  </si>
  <si>
    <t>000393993</t>
  </si>
  <si>
    <t>000394005</t>
  </si>
  <si>
    <t>000394001</t>
  </si>
  <si>
    <t>000394006</t>
  </si>
  <si>
    <t>000394008</t>
  </si>
  <si>
    <t>先行生産</t>
  </si>
  <si>
    <t>V9-BH　計画生産</t>
  </si>
  <si>
    <t>5685000-1</t>
  </si>
  <si>
    <t>000385099</t>
  </si>
  <si>
    <t>東花園</t>
  </si>
  <si>
    <t>3S2EB-FJP-0002</t>
  </si>
  <si>
    <t>5708651-8</t>
  </si>
  <si>
    <t>000394009</t>
  </si>
  <si>
    <t>000394003</t>
  </si>
  <si>
    <t>000394004</t>
  </si>
  <si>
    <t>000394012</t>
  </si>
  <si>
    <t>000393997</t>
  </si>
  <si>
    <t>000394010</t>
  </si>
  <si>
    <t>000393996</t>
  </si>
  <si>
    <t>000385430</t>
  </si>
  <si>
    <t>HRT</t>
  </si>
  <si>
    <t>YB-LAX006</t>
  </si>
  <si>
    <t>3632775-2</t>
  </si>
  <si>
    <t>000396282</t>
  </si>
  <si>
    <t>000391789</t>
  </si>
  <si>
    <t>000396287</t>
  </si>
  <si>
    <t>000396288</t>
  </si>
  <si>
    <t>000396284</t>
  </si>
  <si>
    <t>000396293</t>
  </si>
  <si>
    <t>000396285</t>
  </si>
  <si>
    <t>000396291</t>
  </si>
  <si>
    <t>000396286</t>
  </si>
  <si>
    <t>000396289</t>
  </si>
  <si>
    <t>000396292</t>
  </si>
  <si>
    <t>000396283</t>
  </si>
  <si>
    <t>000396281</t>
  </si>
  <si>
    <t>000396290</t>
  </si>
  <si>
    <t>000396280</t>
  </si>
  <si>
    <t>000390849</t>
  </si>
  <si>
    <t>000391141</t>
  </si>
  <si>
    <t>000391142</t>
  </si>
  <si>
    <t>000389427</t>
  </si>
  <si>
    <t>000391143</t>
  </si>
  <si>
    <t>000391144</t>
  </si>
  <si>
    <t>000391145</t>
  </si>
  <si>
    <t>000389425</t>
  </si>
  <si>
    <t>000391147</t>
  </si>
  <si>
    <t>000391146</t>
  </si>
  <si>
    <t>000391148</t>
  </si>
  <si>
    <t>000389421</t>
  </si>
  <si>
    <t>000391149</t>
  </si>
  <si>
    <t>000391150</t>
  </si>
  <si>
    <t>000389424</t>
  </si>
  <si>
    <t>000389426</t>
  </si>
  <si>
    <t>000389422</t>
  </si>
  <si>
    <t>000389420</t>
  </si>
  <si>
    <t>000389429</t>
  </si>
  <si>
    <t>000389431</t>
  </si>
  <si>
    <t>000397487</t>
  </si>
  <si>
    <t>000395943</t>
  </si>
  <si>
    <t>OFET</t>
  </si>
  <si>
    <t>ﾊﾝｿｳﾌﾞ VUS-LAA101</t>
  </si>
  <si>
    <t>VUS-LAA101</t>
  </si>
  <si>
    <t>メンテ部材（検査有）</t>
  </si>
  <si>
    <t>0184429-0</t>
  </si>
  <si>
    <t>ﾒﾝﾃ</t>
  </si>
  <si>
    <t>MB-08151</t>
  </si>
  <si>
    <t>ﾒﾝﾃV8</t>
  </si>
  <si>
    <t>000394355</t>
  </si>
  <si>
    <t>JRMS</t>
  </si>
  <si>
    <t>ﾊﾝｿｳﾌﾞ</t>
  </si>
  <si>
    <t>MB-08182</t>
  </si>
  <si>
    <t>000396251</t>
  </si>
  <si>
    <t>MB-08156</t>
  </si>
  <si>
    <t>000396253</t>
  </si>
  <si>
    <t>MB-08160</t>
  </si>
  <si>
    <t>000396252</t>
  </si>
  <si>
    <t>MB-08164</t>
  </si>
  <si>
    <t>000395939</t>
  </si>
  <si>
    <t>MB-08167</t>
  </si>
  <si>
    <t>000395953</t>
  </si>
  <si>
    <t>MB-08168</t>
  </si>
  <si>
    <t>000395937</t>
  </si>
  <si>
    <t>MB-08169</t>
  </si>
  <si>
    <t>000395970</t>
  </si>
  <si>
    <t>000395957</t>
  </si>
  <si>
    <t>000398422</t>
  </si>
  <si>
    <t>ｿｳﾆｭｳｺｳﾌﾞ VUS-LAE101</t>
  </si>
  <si>
    <t>VUS-LAE101</t>
  </si>
  <si>
    <t>0184763-0</t>
  </si>
  <si>
    <t>000395962</t>
  </si>
  <si>
    <t>MB-08149</t>
  </si>
  <si>
    <t>000395963</t>
  </si>
  <si>
    <t>MB-08154</t>
  </si>
  <si>
    <t>000395974</t>
  </si>
  <si>
    <t>000395965</t>
  </si>
  <si>
    <t>000395949</t>
  </si>
  <si>
    <t>10000ｴﾝﾌﾞ VU-LB001</t>
  </si>
  <si>
    <t>VUS-LAC001</t>
  </si>
  <si>
    <t>1868741-5</t>
  </si>
  <si>
    <t>MB-08145</t>
  </si>
  <si>
    <t>000395972</t>
  </si>
  <si>
    <t>000395976</t>
  </si>
  <si>
    <t>000394042</t>
  </si>
  <si>
    <t>京市交</t>
  </si>
  <si>
    <t>10000ｴﾝﾌﾞ</t>
  </si>
  <si>
    <t>000395952</t>
  </si>
  <si>
    <t>1000ｴﾝ ｶｾﾂﾄﾌﾞ</t>
  </si>
  <si>
    <t>VUS-LAD001</t>
  </si>
  <si>
    <t>1868742-3</t>
  </si>
  <si>
    <t>MB-08146</t>
  </si>
  <si>
    <t>000396254</t>
  </si>
  <si>
    <t>MB-08153</t>
  </si>
  <si>
    <t>000395958</t>
  </si>
  <si>
    <t>1000ｴﾝ ｶｾﾂﾄﾌﾞ VUS-LAD001</t>
  </si>
  <si>
    <t>MB-08157</t>
  </si>
  <si>
    <t>000395948</t>
  </si>
  <si>
    <t>MB-08161</t>
  </si>
  <si>
    <t>000395969</t>
  </si>
  <si>
    <t>000395975</t>
  </si>
  <si>
    <t>000395959</t>
  </si>
  <si>
    <t>5000ｴﾝﾌﾞ VUS-LAF001</t>
  </si>
  <si>
    <t>VUS-LAF001</t>
  </si>
  <si>
    <t>1876212-3</t>
  </si>
  <si>
    <t>MB-08158</t>
  </si>
  <si>
    <t>000395947</t>
  </si>
  <si>
    <t>MB-08162</t>
  </si>
  <si>
    <t>000395971</t>
  </si>
  <si>
    <t>000395955</t>
  </si>
  <si>
    <t>ｶｲｼﾕｳﾌﾞ VU-LB001</t>
  </si>
  <si>
    <t>VUS-LAN001</t>
  </si>
  <si>
    <t>1876242-5</t>
  </si>
  <si>
    <t>MB-08147</t>
  </si>
  <si>
    <t>000395964</t>
  </si>
  <si>
    <t>ﾎｷﾕｳﾌﾞ，ｺｳﾎｳ VU-LC001</t>
  </si>
  <si>
    <t>VUS-LBL001</t>
  </si>
  <si>
    <t>1876267-0</t>
  </si>
  <si>
    <t>MB-08152</t>
  </si>
  <si>
    <t>000395944</t>
  </si>
  <si>
    <t>ﾂﾘｼﾍｲ ﾎﾘﾕｳﾌﾞ</t>
  </si>
  <si>
    <t>VUS-LAG001</t>
  </si>
  <si>
    <t>1876278-6</t>
  </si>
  <si>
    <t>MB-08150</t>
  </si>
  <si>
    <t>000396257</t>
  </si>
  <si>
    <t>MB-08155</t>
  </si>
  <si>
    <t>000396255</t>
  </si>
  <si>
    <t>MB-08159</t>
  </si>
  <si>
    <t>000396256</t>
  </si>
  <si>
    <t>MB-08163</t>
  </si>
  <si>
    <t>ﾂﾘｼﾍｲ ﾎﾘﾕｳﾌﾞ VUS-LAG001</t>
  </si>
  <si>
    <t>000396263</t>
  </si>
  <si>
    <t>MB-08144</t>
  </si>
  <si>
    <t>000396262</t>
  </si>
  <si>
    <t>MB-08170</t>
  </si>
  <si>
    <t>000396264</t>
  </si>
  <si>
    <t>MB-08171</t>
  </si>
  <si>
    <t>000396258</t>
  </si>
  <si>
    <t>MB-08172</t>
  </si>
  <si>
    <t>000396259</t>
  </si>
  <si>
    <t>MB-08173</t>
  </si>
  <si>
    <t>000396261</t>
  </si>
  <si>
    <t>MB-08174</t>
  </si>
  <si>
    <t>000395941</t>
  </si>
  <si>
    <t>MB-08175</t>
  </si>
  <si>
    <t>000395954</t>
  </si>
  <si>
    <t>000395950</t>
  </si>
  <si>
    <t>000395938</t>
  </si>
  <si>
    <t>000395956</t>
  </si>
  <si>
    <t>000395966</t>
  </si>
  <si>
    <t>000395973</t>
  </si>
  <si>
    <t>000395960</t>
  </si>
  <si>
    <t>000395961</t>
  </si>
  <si>
    <t>000394043</t>
  </si>
  <si>
    <t>000395968</t>
  </si>
  <si>
    <t>000397016</t>
  </si>
  <si>
    <t>000395967</t>
  </si>
  <si>
    <t>ﾎｷﾕｳﾌﾞ，ｺｳﾎｳ</t>
  </si>
  <si>
    <t>VUS-LBL002</t>
  </si>
  <si>
    <t>3729668-0</t>
  </si>
  <si>
    <t>000382666</t>
  </si>
  <si>
    <t>ｶｲｼﾕｳﾌﾞ</t>
  </si>
  <si>
    <t>YBS-LAN001</t>
  </si>
  <si>
    <t>5683345-0</t>
  </si>
  <si>
    <t>MB-08183</t>
  </si>
  <si>
    <t>ﾒﾝﾃV9</t>
  </si>
  <si>
    <t>000390798</t>
  </si>
  <si>
    <t>沖電気工業株式会社</t>
  </si>
  <si>
    <t>V9BHカセット（26年3月度）</t>
  </si>
  <si>
    <t>000395985</t>
  </si>
  <si>
    <t>000390667</t>
  </si>
  <si>
    <t>YBS-LAC001</t>
  </si>
  <si>
    <t>5685600-0</t>
  </si>
  <si>
    <t>000391501</t>
  </si>
  <si>
    <t>000390666</t>
  </si>
  <si>
    <t>YBS-LAD001</t>
  </si>
  <si>
    <t>5685601-8</t>
  </si>
  <si>
    <t>000390797</t>
  </si>
  <si>
    <t>YBS-LAF001</t>
  </si>
  <si>
    <t>5685602-6</t>
  </si>
  <si>
    <r>
      <t>000389430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</si>
  <si>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</si>
  <si>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</si>
  <si>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</si>
  <si>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</si>
  <si>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</si>
  <si>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</si>
  <si>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</si>
  <si>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</si>
  <si>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</si>
  <si>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</si>
  <si>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</si>
  <si>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</si>
  <si>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</si>
  <si>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</si>
  <si>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</si>
  <si>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</si>
  <si>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</si>
  <si>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</si>
  <si>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</si>
  <si>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</si>
  <si>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</si>
  <si>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</si>
  <si>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</si>
  <si>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</si>
  <si>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</si>
  <si>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</si>
  <si>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</si>
  <si>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</si>
  <si>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</si>
  <si>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</si>
  <si>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</si>
  <si>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</si>
  <si>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</si>
  <si>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</si>
  <si>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</si>
  <si>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</si>
  <si>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</si>
  <si>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</si>
  <si>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</si>
  <si>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</si>
  <si>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</si>
  <si>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</si>
  <si>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</si>
  <si>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</si>
  <si>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</si>
  <si>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</si>
  <si>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</si>
  <si>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t>行ラベル</t>
  </si>
  <si>
    <t>総計</t>
  </si>
  <si>
    <t>注：T-No＝V8累計台数+ 13台（破損機）</t>
    <rPh sb="0" eb="1">
      <t>チュウ</t>
    </rPh>
    <rPh sb="17" eb="18">
      <t>ダイ</t>
    </rPh>
    <rPh sb="19" eb="21">
      <t>ハソン</t>
    </rPh>
    <rPh sb="21" eb="22">
      <t>キ</t>
    </rPh>
    <phoneticPr fontId="6"/>
  </si>
  <si>
    <t>Ｖ８(VUS-)</t>
    <phoneticPr fontId="6"/>
  </si>
  <si>
    <t>V９（</t>
    <phoneticPr fontId="6"/>
  </si>
  <si>
    <t>YBS-）</t>
    <phoneticPr fontId="6"/>
  </si>
  <si>
    <t>光真ss
出荷月</t>
    <rPh sb="7" eb="8">
      <t>ツキ</t>
    </rPh>
    <phoneticPr fontId="6"/>
  </si>
  <si>
    <r>
      <t>LAZ901</t>
    </r>
    <r>
      <rPr>
        <sz val="8"/>
        <rFont val="ＭＳ Ｐゴシック"/>
        <family val="3"/>
        <charset val="128"/>
      </rPr>
      <t xml:space="preserve">
LA001～4
LC001</t>
    </r>
    <phoneticPr fontId="6"/>
  </si>
  <si>
    <r>
      <t>LAZ001</t>
    </r>
    <r>
      <rPr>
        <sz val="8"/>
        <rFont val="ＭＳ Ｐゴシック"/>
        <family val="3"/>
        <charset val="128"/>
      </rPr>
      <t xml:space="preserve">
LB001
LB003～5
LD001</t>
    </r>
    <phoneticPr fontId="6"/>
  </si>
  <si>
    <r>
      <t>LAZ002</t>
    </r>
    <r>
      <rPr>
        <sz val="8"/>
        <rFont val="ＭＳ Ｐゴシック"/>
        <family val="3"/>
        <charset val="128"/>
      </rPr>
      <t xml:space="preserve">
LA007,9,10
LB002,6
LB105
LC002
LD003</t>
    </r>
    <phoneticPr fontId="6"/>
  </si>
  <si>
    <r>
      <t>LAZ003</t>
    </r>
    <r>
      <rPr>
        <sz val="8"/>
        <rFont val="ＭＳ Ｐゴシック"/>
        <family val="3"/>
        <charset val="128"/>
      </rPr>
      <t xml:space="preserve">
LD002
LD002(H)</t>
    </r>
    <phoneticPr fontId="6"/>
  </si>
  <si>
    <r>
      <t xml:space="preserve">LAZ004
</t>
    </r>
    <r>
      <rPr>
        <sz val="8"/>
        <color theme="1"/>
        <rFont val="ＭＳ Ｐゴシック"/>
        <family val="3"/>
        <charset val="128"/>
      </rPr>
      <t>LD004</t>
    </r>
    <phoneticPr fontId="17"/>
  </si>
  <si>
    <r>
      <t>LAZ101</t>
    </r>
    <r>
      <rPr>
        <sz val="8"/>
        <rFont val="ＭＳ Ｐゴシック"/>
        <family val="3"/>
        <charset val="128"/>
      </rPr>
      <t xml:space="preserve">
LA001～6､8
LA011,012
LB001,3～5
LB101,3,4,6～9
LB112
LC001,LD001</t>
    </r>
    <phoneticPr fontId="6"/>
  </si>
  <si>
    <r>
      <t>LAZ102</t>
    </r>
    <r>
      <rPr>
        <sz val="8"/>
        <rFont val="ＭＳ Ｐゴシック"/>
        <family val="3"/>
        <charset val="128"/>
      </rPr>
      <t xml:space="preserve">
LB102
LB112</t>
    </r>
    <phoneticPr fontId="6"/>
  </si>
  <si>
    <t>LAZ103
ＬＢ110
ＬＢ111</t>
    <phoneticPr fontId="6"/>
  </si>
  <si>
    <r>
      <rPr>
        <sz val="8"/>
        <rFont val="ＭＳ Ｐゴシック"/>
        <family val="3"/>
        <charset val="128"/>
      </rPr>
      <t>LAZ201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LC091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LD091
LD092</t>
    </r>
    <phoneticPr fontId="6"/>
  </si>
  <si>
    <t>Ｖ８
合計</t>
    <phoneticPr fontId="6"/>
  </si>
  <si>
    <t>Ｖ８
累計</t>
    <phoneticPr fontId="6"/>
  </si>
  <si>
    <t>LAY
001</t>
    <phoneticPr fontId="6"/>
  </si>
  <si>
    <t>LAY
002</t>
    <phoneticPr fontId="6"/>
  </si>
  <si>
    <t>LAZ001
LAZ002</t>
    <phoneticPr fontId="6"/>
  </si>
  <si>
    <t>Ｖ９
累計</t>
    <rPh sb="3" eb="5">
      <t>ルイケイ</t>
    </rPh>
    <phoneticPr fontId="6"/>
  </si>
  <si>
    <t>ＢＨ合計</t>
    <rPh sb="2" eb="4">
      <t>ゴウケイ</t>
    </rPh>
    <phoneticPr fontId="6"/>
  </si>
  <si>
    <t>10年度</t>
  </si>
  <si>
    <t>５月</t>
  </si>
  <si>
    <t>６月</t>
  </si>
  <si>
    <t>７月</t>
  </si>
  <si>
    <t>８月</t>
  </si>
  <si>
    <t>【Ｖ８】</t>
  </si>
  <si>
    <t>９月</t>
  </si>
  <si>
    <t>１０月</t>
  </si>
  <si>
    <t>１１月</t>
  </si>
  <si>
    <t>【合計】</t>
  </si>
  <si>
    <t>１２月</t>
  </si>
  <si>
    <t>11/１月</t>
  </si>
  <si>
    <t>２月</t>
  </si>
  <si>
    <t>３月</t>
  </si>
  <si>
    <t>４月</t>
  </si>
  <si>
    <t>11年度</t>
  </si>
  <si>
    <t>12/１月</t>
  </si>
  <si>
    <t>１２年度</t>
  </si>
  <si>
    <t>13/1月</t>
  </si>
  <si>
    <t>１３年度</t>
  </si>
  <si>
    <t>14/１月</t>
  </si>
  <si>
    <t>１4年度</t>
    <phoneticPr fontId="6"/>
  </si>
  <si>
    <t>15/１月</t>
  </si>
  <si>
    <t>15年度</t>
    <phoneticPr fontId="6"/>
  </si>
  <si>
    <t>16/１月</t>
  </si>
  <si>
    <t>16年度</t>
    <phoneticPr fontId="6"/>
  </si>
  <si>
    <t>17/１月</t>
  </si>
  <si>
    <t>17年度</t>
    <phoneticPr fontId="6"/>
  </si>
  <si>
    <t>18/１月</t>
  </si>
  <si>
    <t>18年度</t>
    <phoneticPr fontId="6"/>
  </si>
  <si>
    <t>【合計】</t>
    <phoneticPr fontId="6"/>
  </si>
  <si>
    <t>19/１月</t>
    <phoneticPr fontId="6"/>
  </si>
  <si>
    <t>19年度</t>
    <phoneticPr fontId="6"/>
  </si>
  <si>
    <t>９月</t>
    <phoneticPr fontId="6"/>
  </si>
  <si>
    <t>20/１月</t>
    <phoneticPr fontId="6"/>
  </si>
  <si>
    <t>20年度</t>
    <phoneticPr fontId="6"/>
  </si>
  <si>
    <t>【Ｖ８】</t>
    <phoneticPr fontId="6"/>
  </si>
  <si>
    <t>21/１月</t>
    <phoneticPr fontId="6"/>
  </si>
  <si>
    <t>21年度</t>
    <phoneticPr fontId="6"/>
  </si>
  <si>
    <t>22/１月</t>
    <phoneticPr fontId="6"/>
  </si>
  <si>
    <t>４月</t>
    <phoneticPr fontId="6"/>
  </si>
  <si>
    <t>22年度</t>
    <phoneticPr fontId="6"/>
  </si>
  <si>
    <t>【Ｖ８】</t>
    <phoneticPr fontId="6"/>
  </si>
  <si>
    <t>９月</t>
    <phoneticPr fontId="6"/>
  </si>
  <si>
    <t>【Ｖ９】</t>
    <phoneticPr fontId="6"/>
  </si>
  <si>
    <t>23/１月</t>
    <phoneticPr fontId="6"/>
  </si>
  <si>
    <t>４月</t>
    <phoneticPr fontId="6"/>
  </si>
  <si>
    <t>23年度</t>
    <phoneticPr fontId="6"/>
  </si>
  <si>
    <t>【Ｖ９】</t>
    <phoneticPr fontId="6"/>
  </si>
  <si>
    <t>24/１月</t>
    <phoneticPr fontId="6"/>
  </si>
  <si>
    <t>４月</t>
    <phoneticPr fontId="6"/>
  </si>
  <si>
    <t>24年度</t>
    <phoneticPr fontId="6"/>
  </si>
  <si>
    <t>【Ｖ９】</t>
    <phoneticPr fontId="6"/>
  </si>
  <si>
    <t>２５/１月</t>
    <phoneticPr fontId="6"/>
  </si>
  <si>
    <t>４月</t>
    <phoneticPr fontId="6"/>
  </si>
  <si>
    <t>25年度</t>
    <phoneticPr fontId="6"/>
  </si>
  <si>
    <t>５月</t>
    <phoneticPr fontId="6"/>
  </si>
  <si>
    <t>25/05</t>
  </si>
  <si>
    <t>【Ｖ８】</t>
    <phoneticPr fontId="6"/>
  </si>
  <si>
    <t>６月</t>
    <phoneticPr fontId="6"/>
  </si>
  <si>
    <t>25/06</t>
  </si>
  <si>
    <t>７月</t>
    <phoneticPr fontId="6"/>
  </si>
  <si>
    <t>25/07</t>
  </si>
  <si>
    <t>25/08</t>
  </si>
  <si>
    <t>25/09</t>
  </si>
  <si>
    <t>25/10</t>
  </si>
  <si>
    <t>【Ｖ９】</t>
    <phoneticPr fontId="6"/>
  </si>
  <si>
    <t>25/11</t>
  </si>
  <si>
    <t>25/12</t>
  </si>
  <si>
    <t>２６/１月</t>
    <phoneticPr fontId="6"/>
  </si>
  <si>
    <t>26/1</t>
    <phoneticPr fontId="6"/>
  </si>
  <si>
    <t>26/2</t>
    <phoneticPr fontId="6"/>
  </si>
  <si>
    <t>26/3</t>
    <phoneticPr fontId="6"/>
  </si>
  <si>
    <t>26/4</t>
    <phoneticPr fontId="6"/>
  </si>
  <si>
    <t>26年度</t>
    <phoneticPr fontId="6"/>
  </si>
  <si>
    <t>５月</t>
    <phoneticPr fontId="6"/>
  </si>
  <si>
    <t>26/5</t>
  </si>
  <si>
    <t>【Ｖ８】</t>
    <phoneticPr fontId="6"/>
  </si>
  <si>
    <t>６月</t>
    <phoneticPr fontId="6"/>
  </si>
  <si>
    <t>26/6</t>
  </si>
  <si>
    <t>７月</t>
    <phoneticPr fontId="6"/>
  </si>
  <si>
    <t>26/7</t>
  </si>
  <si>
    <t>26/8</t>
  </si>
  <si>
    <t>26/9</t>
  </si>
  <si>
    <t>26/10</t>
  </si>
  <si>
    <t>26/11</t>
  </si>
  <si>
    <t>26/12</t>
  </si>
  <si>
    <t>27/1</t>
    <phoneticPr fontId="6"/>
  </si>
  <si>
    <t>27/2</t>
    <phoneticPr fontId="6"/>
  </si>
  <si>
    <t>27/3</t>
    <phoneticPr fontId="6"/>
  </si>
  <si>
    <t>27/4</t>
    <phoneticPr fontId="6"/>
  </si>
  <si>
    <t>青</t>
  </si>
  <si>
    <t>緑</t>
  </si>
  <si>
    <t>ピンク</t>
  </si>
  <si>
    <t>オレンジ</t>
  </si>
  <si>
    <t>黄</t>
  </si>
  <si>
    <t>紺（白字）</t>
  </si>
  <si>
    <t>紫</t>
  </si>
  <si>
    <t>赤</t>
    <rPh sb="0" eb="1">
      <t>アカ</t>
    </rPh>
    <phoneticPr fontId="6"/>
  </si>
  <si>
    <t>Ｖ８(VUS-)</t>
    <phoneticPr fontId="6"/>
  </si>
  <si>
    <t>V９（</t>
    <phoneticPr fontId="6"/>
  </si>
  <si>
    <t>YBS-）</t>
    <phoneticPr fontId="6"/>
  </si>
  <si>
    <r>
      <t>LAZ901</t>
    </r>
    <r>
      <rPr>
        <sz val="8"/>
        <rFont val="ＭＳ Ｐゴシック"/>
        <family val="3"/>
        <charset val="128"/>
      </rPr>
      <t xml:space="preserve">
LA001～4
LC001</t>
    </r>
    <phoneticPr fontId="6"/>
  </si>
  <si>
    <r>
      <t>LAZ001</t>
    </r>
    <r>
      <rPr>
        <sz val="8"/>
        <rFont val="ＭＳ Ｐゴシック"/>
        <family val="3"/>
        <charset val="128"/>
      </rPr>
      <t xml:space="preserve">
LB001
LB003～5
LD001</t>
    </r>
    <phoneticPr fontId="6"/>
  </si>
  <si>
    <r>
      <t>LAZ002</t>
    </r>
    <r>
      <rPr>
        <sz val="8"/>
        <rFont val="ＭＳ Ｐゴシック"/>
        <family val="3"/>
        <charset val="128"/>
      </rPr>
      <t xml:space="preserve">
LA007,9,10
LB002,6
LB105
LC002
LD003</t>
    </r>
    <phoneticPr fontId="6"/>
  </si>
  <si>
    <r>
      <t>LAZ003</t>
    </r>
    <r>
      <rPr>
        <sz val="8"/>
        <rFont val="ＭＳ Ｐゴシック"/>
        <family val="3"/>
        <charset val="128"/>
      </rPr>
      <t xml:space="preserve">
LD002
LD002(H)</t>
    </r>
    <phoneticPr fontId="6"/>
  </si>
  <si>
    <r>
      <t xml:space="preserve">LAZ004
</t>
    </r>
    <r>
      <rPr>
        <sz val="8"/>
        <color theme="1"/>
        <rFont val="ＭＳ Ｐゴシック"/>
        <family val="3"/>
        <charset val="128"/>
      </rPr>
      <t>LD004</t>
    </r>
    <phoneticPr fontId="17"/>
  </si>
  <si>
    <r>
      <t>LAZ101</t>
    </r>
    <r>
      <rPr>
        <sz val="8"/>
        <rFont val="ＭＳ Ｐゴシック"/>
        <family val="3"/>
        <charset val="128"/>
      </rPr>
      <t xml:space="preserve">
LA001～6､8
LA011,012
LB001,3～5
LB101,3,4,6～9
LB112
LC001,LD001</t>
    </r>
    <phoneticPr fontId="6"/>
  </si>
  <si>
    <r>
      <t>LAZ102</t>
    </r>
    <r>
      <rPr>
        <sz val="8"/>
        <rFont val="ＭＳ Ｐゴシック"/>
        <family val="3"/>
        <charset val="128"/>
      </rPr>
      <t xml:space="preserve">
LB102
LB112</t>
    </r>
    <phoneticPr fontId="6"/>
  </si>
  <si>
    <r>
      <rPr>
        <sz val="8"/>
        <rFont val="ＭＳ Ｐゴシック"/>
        <family val="3"/>
        <charset val="128"/>
      </rPr>
      <t>LAZ201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LC091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LD091
LD092</t>
    </r>
    <phoneticPr fontId="6"/>
  </si>
  <si>
    <t>Ｖ８
合計</t>
    <phoneticPr fontId="6"/>
  </si>
  <si>
    <t>Ｖ８
累計</t>
    <phoneticPr fontId="6"/>
  </si>
  <si>
    <t>LAY
001</t>
    <phoneticPr fontId="6"/>
  </si>
  <si>
    <t>LAZ001
LAZ002</t>
    <phoneticPr fontId="6"/>
  </si>
  <si>
    <t>1/10集計　ＯＳＳ様　ＢＨ出荷計画情報（25年度ボギー集計）</t>
    <rPh sb="23" eb="25">
      <t>ネンド</t>
    </rPh>
    <rPh sb="28" eb="30">
      <t>シュウケイ</t>
    </rPh>
    <phoneticPr fontId="6"/>
  </si>
  <si>
    <t>000389423-01</t>
  </si>
  <si>
    <t>000389423-01</t>
    <phoneticPr fontId="6"/>
  </si>
  <si>
    <t>000389423-02</t>
  </si>
  <si>
    <t>000389423-02</t>
    <phoneticPr fontId="6"/>
  </si>
  <si>
    <t>000389423-03</t>
  </si>
  <si>
    <t>000389423-04</t>
  </si>
  <si>
    <t>000389423-05</t>
  </si>
  <si>
    <t>000389423-06</t>
  </si>
  <si>
    <t>000389428-01</t>
  </si>
  <si>
    <t>000389428-02</t>
  </si>
  <si>
    <t>000389428-03</t>
  </si>
  <si>
    <t>000389428-04</t>
  </si>
  <si>
    <t>000389428-05</t>
  </si>
  <si>
    <t>000389428-06</t>
  </si>
  <si>
    <t>000389430-01</t>
  </si>
  <si>
    <t>000389430-02</t>
  </si>
  <si>
    <t>000389430-03</t>
  </si>
  <si>
    <t>000389430-04</t>
  </si>
  <si>
    <t>000389430-05</t>
  </si>
  <si>
    <t>000389430-06</t>
  </si>
  <si>
    <t>000389430-07</t>
  </si>
  <si>
    <t>000389430-08</t>
  </si>
  <si>
    <t>000389430-09</t>
  </si>
  <si>
    <t>000391137-01</t>
  </si>
  <si>
    <t>000391137-02</t>
  </si>
  <si>
    <t>000391137-03</t>
  </si>
  <si>
    <t>000391137-04</t>
  </si>
  <si>
    <t>000391137-05</t>
  </si>
  <si>
    <t>000391137-06</t>
  </si>
  <si>
    <t>000391137-07</t>
  </si>
  <si>
    <t>000391137-08</t>
  </si>
  <si>
    <t>000391137-09</t>
  </si>
  <si>
    <t>000391138-01</t>
  </si>
  <si>
    <t>000391138-02</t>
  </si>
  <si>
    <t>000391138-03</t>
  </si>
  <si>
    <t>000391138-04</t>
  </si>
  <si>
    <t>000391138-05</t>
  </si>
  <si>
    <t>000391138-06</t>
  </si>
  <si>
    <t>000391138-07</t>
  </si>
  <si>
    <t>000391138-08</t>
  </si>
  <si>
    <t>000391138-09</t>
  </si>
  <si>
    <t>000391139-01</t>
  </si>
  <si>
    <t>000391139-02</t>
  </si>
  <si>
    <t>000391139-03</t>
  </si>
  <si>
    <t>000391139-04</t>
  </si>
  <si>
    <t>000391139-05</t>
  </si>
  <si>
    <t>000391139-06</t>
  </si>
  <si>
    <t>000391139-07</t>
  </si>
  <si>
    <t>000391139-08</t>
  </si>
  <si>
    <t>000391139-09</t>
  </si>
  <si>
    <t>000389419-01</t>
  </si>
  <si>
    <t>000389419-02</t>
  </si>
  <si>
    <t>000389419-03</t>
  </si>
  <si>
    <t>000389419-04</t>
  </si>
  <si>
    <t>000389419-05</t>
  </si>
  <si>
    <t>000389419-06</t>
  </si>
  <si>
    <t>000389419-07</t>
  </si>
  <si>
    <t>000389419-08</t>
  </si>
  <si>
    <t>000389419-09</t>
  </si>
  <si>
    <t>000391140-01</t>
  </si>
  <si>
    <t>000391140-02</t>
  </si>
  <si>
    <t>000391140-03</t>
  </si>
  <si>
    <t>000391140-04</t>
  </si>
  <si>
    <t>000391140-05</t>
  </si>
  <si>
    <t>000391140-06</t>
  </si>
  <si>
    <t>T-No
（LAY）</t>
  </si>
  <si>
    <t>ＢＨ型式</t>
  </si>
  <si>
    <t>順序
確定日</t>
  </si>
  <si>
    <t>光真
順序
出荷日</t>
  </si>
  <si>
    <t>LAZ
完了
計画</t>
  </si>
  <si>
    <t>KMP
ユニット
日本着日</t>
  </si>
  <si>
    <t>LAZ/ｶｾｯﾄ
LAL/LBL
J-光真
出荷計画</t>
  </si>
  <si>
    <t>メンテ</t>
  </si>
  <si>
    <t>LAZ003</t>
  </si>
  <si>
    <t>ﾕﾆｯﾄ
種類数</t>
  </si>
  <si>
    <t>Z004
号機</t>
    <phoneticPr fontId="6"/>
  </si>
  <si>
    <t>LAA101</t>
    <phoneticPr fontId="6"/>
  </si>
  <si>
    <t>LAE101</t>
    <phoneticPr fontId="6"/>
  </si>
  <si>
    <t>LBL002</t>
    <phoneticPr fontId="6"/>
  </si>
  <si>
    <r>
      <t>LAN00</t>
    </r>
    <r>
      <rPr>
        <sz val="9"/>
        <rFont val="ＭＳ Ｐゴシック"/>
        <family val="3"/>
        <charset val="128"/>
      </rPr>
      <t>2</t>
    </r>
    <phoneticPr fontId="6"/>
  </si>
  <si>
    <t>LCN001</t>
    <phoneticPr fontId="6"/>
  </si>
  <si>
    <r>
      <t>LAC00</t>
    </r>
    <r>
      <rPr>
        <sz val="9"/>
        <rFont val="ＭＳ Ｐゴシック"/>
        <family val="3"/>
        <charset val="128"/>
      </rPr>
      <t>2</t>
    </r>
    <phoneticPr fontId="6"/>
  </si>
  <si>
    <r>
      <t>LAD00</t>
    </r>
    <r>
      <rPr>
        <sz val="9"/>
        <rFont val="ＭＳ Ｐゴシック"/>
        <family val="3"/>
        <charset val="128"/>
      </rPr>
      <t>2</t>
    </r>
    <phoneticPr fontId="6"/>
  </si>
  <si>
    <t>LCD002</t>
    <phoneticPr fontId="6"/>
  </si>
  <si>
    <t>LAZ004</t>
    <phoneticPr fontId="6"/>
  </si>
  <si>
    <r>
      <t>LAZ10</t>
    </r>
    <r>
      <rPr>
        <sz val="9"/>
        <rFont val="ＭＳ Ｐゴシック"/>
        <family val="3"/>
        <charset val="128"/>
      </rPr>
      <t>3</t>
    </r>
    <phoneticPr fontId="6"/>
  </si>
  <si>
    <t>生産
計画
No</t>
    <rPh sb="0" eb="2">
      <t>セイサン</t>
    </rPh>
    <rPh sb="3" eb="5">
      <t>ケイカク</t>
    </rPh>
    <phoneticPr fontId="6"/>
  </si>
  <si>
    <r>
      <t xml:space="preserve">駅名
</t>
    </r>
    <r>
      <rPr>
        <sz val="10"/>
        <color rgb="FFFF0000"/>
        <rFont val="ＭＳ Ｐゴシック"/>
        <family val="3"/>
        <charset val="128"/>
      </rPr>
      <t>ﾒﾝﾃﾕﾆｯﾄ型式（個/ﾛｯﾄ）</t>
    </r>
    <rPh sb="10" eb="12">
      <t>カタシキ</t>
    </rPh>
    <rPh sb="13" eb="14">
      <t>コ</t>
    </rPh>
    <phoneticPr fontId="6"/>
  </si>
  <si>
    <r>
      <t>コーナー</t>
    </r>
    <r>
      <rPr>
        <sz val="9"/>
        <color rgb="FFFF0000"/>
        <rFont val="ＭＳ Ｐゴシック"/>
        <family val="3"/>
        <charset val="128"/>
      </rPr>
      <t xml:space="preserve">
メンテ：情報提供者
（情報入手日）</t>
    </r>
    <rPh sb="9" eb="11">
      <t>ジョウホウ</t>
    </rPh>
    <rPh sb="11" eb="13">
      <t>テイキョウ</t>
    </rPh>
    <rPh sb="13" eb="14">
      <t>シャ</t>
    </rPh>
    <rPh sb="16" eb="18">
      <t>ジョウホウ</t>
    </rPh>
    <rPh sb="18" eb="20">
      <t>ニュウシュ</t>
    </rPh>
    <rPh sb="20" eb="21">
      <t>ビ</t>
    </rPh>
    <phoneticPr fontId="6"/>
  </si>
  <si>
    <t>BH型式</t>
    <rPh sb="2" eb="4">
      <t>カタシキ</t>
    </rPh>
    <phoneticPr fontId="6"/>
  </si>
  <si>
    <t>出荷日</t>
    <rPh sb="0" eb="3">
      <t>シュッカビ</t>
    </rPh>
    <phoneticPr fontId="6"/>
  </si>
  <si>
    <t>T-No
（LAY）</t>
    <phoneticPr fontId="6"/>
  </si>
  <si>
    <t>LAZ
ﾕﾆｯﾄ</t>
    <phoneticPr fontId="6"/>
  </si>
  <si>
    <t>1F
出荷</t>
    <rPh sb="3" eb="5">
      <t>シュッカ</t>
    </rPh>
    <phoneticPr fontId="6"/>
  </si>
  <si>
    <t>ﾒﾝﾃﾕﾆｯﾄ
型式</t>
    <rPh sb="8" eb="10">
      <t>カタシキ</t>
    </rPh>
    <phoneticPr fontId="6"/>
  </si>
  <si>
    <t>5311189-5</t>
    <phoneticPr fontId="12"/>
  </si>
  <si>
    <t>5311167-4</t>
    <phoneticPr fontId="12"/>
  </si>
  <si>
    <t>MC-51891</t>
    <phoneticPr fontId="12"/>
  </si>
  <si>
    <t>・</t>
  </si>
  <si>
    <t>VV-26809</t>
    <phoneticPr fontId="12"/>
  </si>
  <si>
    <t>MC-51900</t>
    <phoneticPr fontId="12"/>
  </si>
  <si>
    <t>VV-26813</t>
    <phoneticPr fontId="12"/>
  </si>
  <si>
    <t>VV-26817</t>
    <phoneticPr fontId="12"/>
  </si>
  <si>
    <t>MB-08182</t>
    <phoneticPr fontId="12"/>
  </si>
  <si>
    <t>M</t>
  </si>
  <si>
    <t>・</t>
    <phoneticPr fontId="12"/>
  </si>
  <si>
    <t>LAA101(1/1)</t>
    <phoneticPr fontId="12"/>
  </si>
  <si>
    <t>（25/11/10DB公開）</t>
    <rPh sb="11" eb="13">
      <t>コウカイ</t>
    </rPh>
    <phoneticPr fontId="29"/>
  </si>
  <si>
    <t>MB-08151</t>
    <phoneticPr fontId="12"/>
  </si>
  <si>
    <t>LAA101(1/18)</t>
  </si>
  <si>
    <t>（11/5林ひ様情報）</t>
    <rPh sb="5" eb="6">
      <t>ハヤシ</t>
    </rPh>
    <rPh sb="7" eb="8">
      <t>サマ</t>
    </rPh>
    <rPh sb="8" eb="10">
      <t>ジョウホウ</t>
    </rPh>
    <phoneticPr fontId="29"/>
  </si>
  <si>
    <t>MB-08151</t>
    <phoneticPr fontId="12"/>
  </si>
  <si>
    <t>・</t>
    <phoneticPr fontId="12"/>
  </si>
  <si>
    <t>LAA101(2/18)</t>
  </si>
  <si>
    <t>MB-08151</t>
    <phoneticPr fontId="12"/>
  </si>
  <si>
    <t>LAA101(3/18)</t>
  </si>
  <si>
    <t>LAA101(4/18)</t>
  </si>
  <si>
    <t>LAA101(5/18)</t>
  </si>
  <si>
    <t>MB-08150</t>
    <phoneticPr fontId="12"/>
  </si>
  <si>
    <t>LAG001(1/18)</t>
  </si>
  <si>
    <t>LAG001(2/18)</t>
  </si>
  <si>
    <t>LAG001(3/18)</t>
  </si>
  <si>
    <t>MB-08150</t>
    <phoneticPr fontId="12"/>
  </si>
  <si>
    <t>・</t>
    <phoneticPr fontId="12"/>
  </si>
  <si>
    <t>LAG001(4/18)</t>
  </si>
  <si>
    <t>LAG001(5/18)</t>
  </si>
  <si>
    <t>000395936</t>
  </si>
  <si>
    <t>LAE101(1/2)</t>
    <phoneticPr fontId="12"/>
  </si>
  <si>
    <t>LAE101(2/2)</t>
    <phoneticPr fontId="12"/>
  </si>
  <si>
    <t>MB-08152</t>
    <phoneticPr fontId="12"/>
  </si>
  <si>
    <t>LBL001(1/5)</t>
  </si>
  <si>
    <t>LBL001(2/5)</t>
  </si>
  <si>
    <t>LBL001(3/5)</t>
  </si>
  <si>
    <t>LBL001(4/5)</t>
  </si>
  <si>
    <t>LBL001(5/5)</t>
  </si>
  <si>
    <t>MB-08147</t>
    <phoneticPr fontId="12"/>
  </si>
  <si>
    <t>LAN001(1/1)</t>
    <phoneticPr fontId="12"/>
  </si>
  <si>
    <t>MB-08145</t>
    <phoneticPr fontId="12"/>
  </si>
  <si>
    <t>LAC001(1/1)</t>
    <phoneticPr fontId="12"/>
  </si>
  <si>
    <t>・</t>
    <phoneticPr fontId="12"/>
  </si>
  <si>
    <t>LAD001(1/9)</t>
  </si>
  <si>
    <t>LAD001(2/9)</t>
  </si>
  <si>
    <t>LAD001(3/9)</t>
  </si>
  <si>
    <t>LAD001(4/9)</t>
  </si>
  <si>
    <t>LAD001(5/9)</t>
  </si>
  <si>
    <t>MB-08156</t>
    <phoneticPr fontId="12"/>
  </si>
  <si>
    <t>LAA101(6/18)</t>
  </si>
  <si>
    <t>LAA101(7/18)</t>
  </si>
  <si>
    <t>LAA101(8/18)</t>
  </si>
  <si>
    <t>LAA101(9/18)</t>
  </si>
  <si>
    <t>MB-08156</t>
    <phoneticPr fontId="12"/>
  </si>
  <si>
    <t>LAA101(10/18)</t>
  </si>
  <si>
    <t>MB-08155</t>
    <phoneticPr fontId="12"/>
  </si>
  <si>
    <t>LAG001(6/18)</t>
  </si>
  <si>
    <t>MB-08155</t>
    <phoneticPr fontId="12"/>
  </si>
  <si>
    <t>LAG001(7/18)</t>
  </si>
  <si>
    <t>LAG001(8/18)</t>
  </si>
  <si>
    <t>LAG001(9/18)</t>
  </si>
  <si>
    <t>MB-08154</t>
    <phoneticPr fontId="12"/>
  </si>
  <si>
    <t>LAE101(1/3)</t>
    <phoneticPr fontId="12"/>
  </si>
  <si>
    <t>MB-08154</t>
    <phoneticPr fontId="12"/>
  </si>
  <si>
    <t>LAE101(2/3)</t>
    <phoneticPr fontId="12"/>
  </si>
  <si>
    <t>LAE101(3/3)</t>
    <phoneticPr fontId="12"/>
  </si>
  <si>
    <t>MB-08153</t>
    <phoneticPr fontId="12"/>
  </si>
  <si>
    <t>LAD001(6/9)</t>
  </si>
  <si>
    <t>MB-08153</t>
    <phoneticPr fontId="12"/>
  </si>
  <si>
    <t>LAD001(7/9)</t>
  </si>
  <si>
    <t>MB-08153</t>
    <phoneticPr fontId="12"/>
  </si>
  <si>
    <t>LAD001(8/9)</t>
  </si>
  <si>
    <t>LAD001(9/9)</t>
  </si>
  <si>
    <t>MB-08160</t>
    <phoneticPr fontId="12"/>
  </si>
  <si>
    <t>LAA101(11/18)</t>
  </si>
  <si>
    <t>MB-08160</t>
    <phoneticPr fontId="12"/>
  </si>
  <si>
    <t>LAA101(12/18)</t>
  </si>
  <si>
    <t>LAA101(13/18)</t>
  </si>
  <si>
    <t>LAA101(14/18)</t>
  </si>
  <si>
    <t>MB-08158</t>
    <phoneticPr fontId="12"/>
  </si>
  <si>
    <t>LAF001(1/4)</t>
  </si>
  <si>
    <t>LAF001(2/4)</t>
  </si>
  <si>
    <t>LAF001(3/4)</t>
  </si>
  <si>
    <t>LAF001(4/4)</t>
  </si>
  <si>
    <t>MB-08159</t>
    <phoneticPr fontId="12"/>
  </si>
  <si>
    <t>LAG001(10/18)</t>
  </si>
  <si>
    <t>LAG001(11/18)</t>
  </si>
  <si>
    <t>MB-08159</t>
    <phoneticPr fontId="12"/>
  </si>
  <si>
    <t>LAG001(12/18)</t>
  </si>
  <si>
    <t>LAG001(13/18)</t>
  </si>
  <si>
    <t>LAG001(14/18)</t>
  </si>
  <si>
    <t>MB-08157</t>
    <phoneticPr fontId="12"/>
  </si>
  <si>
    <t>LAD001(1/4)</t>
  </si>
  <si>
    <t>MB-08157</t>
    <phoneticPr fontId="12"/>
  </si>
  <si>
    <t>LAD001(2/4)</t>
  </si>
  <si>
    <t>LAD001(3/4)</t>
  </si>
  <si>
    <t>LAD001(4/4)</t>
  </si>
  <si>
    <t>MB-08164</t>
    <phoneticPr fontId="12"/>
  </si>
  <si>
    <t>LAA101(15/18)</t>
  </si>
  <si>
    <t>LAA101(16/18)</t>
  </si>
  <si>
    <t>LAA101(17/18)</t>
  </si>
  <si>
    <t>MB-08164</t>
    <phoneticPr fontId="12"/>
  </si>
  <si>
    <t>LAA101(18/18)</t>
  </si>
  <si>
    <t>MB-08162</t>
    <phoneticPr fontId="12"/>
  </si>
  <si>
    <t>LAF001(1/1)</t>
    <phoneticPr fontId="12"/>
  </si>
  <si>
    <t>LAG001(15/18)</t>
  </si>
  <si>
    <t>LAG001(16/18)</t>
  </si>
  <si>
    <t>LAG001(17/18)</t>
  </si>
  <si>
    <t>LAG001(18/18)</t>
  </si>
  <si>
    <t>MB-08161</t>
    <phoneticPr fontId="12"/>
  </si>
  <si>
    <t>LAD001(1/1)</t>
    <phoneticPr fontId="12"/>
  </si>
  <si>
    <t>MB-08167</t>
    <phoneticPr fontId="12"/>
  </si>
  <si>
    <t>LAA101(1/1)</t>
    <phoneticPr fontId="12"/>
  </si>
  <si>
    <t>MB-08169</t>
    <phoneticPr fontId="12"/>
  </si>
  <si>
    <t>MB-08168</t>
    <phoneticPr fontId="12"/>
  </si>
  <si>
    <t>LAA101(1/3)</t>
  </si>
  <si>
    <t>LAA101(2/3)</t>
  </si>
  <si>
    <t>LAA101(3/3)</t>
  </si>
  <si>
    <t>MB-08171</t>
    <phoneticPr fontId="12"/>
  </si>
  <si>
    <t>LAG001(16/39)</t>
  </si>
  <si>
    <t>MB-08171</t>
    <phoneticPr fontId="12"/>
  </si>
  <si>
    <t>LAG001(17/39)</t>
  </si>
  <si>
    <t>LAG001(18/39)</t>
  </si>
  <si>
    <t>MB-08171</t>
    <phoneticPr fontId="12"/>
  </si>
  <si>
    <t>LAG001(19/39)</t>
  </si>
  <si>
    <t>MB-08172</t>
    <phoneticPr fontId="12"/>
  </si>
  <si>
    <t>LAG001(20/39)</t>
  </si>
  <si>
    <t>MB-08172</t>
    <phoneticPr fontId="12"/>
  </si>
  <si>
    <t>LAG001(21/39)</t>
  </si>
  <si>
    <t>LAG001(22/39)</t>
  </si>
  <si>
    <t>LAG001(23/39)</t>
  </si>
  <si>
    <t>LAG001(24/39)</t>
  </si>
  <si>
    <t>MB-08173</t>
    <phoneticPr fontId="12"/>
  </si>
  <si>
    <t>LAG001(25/39)</t>
  </si>
  <si>
    <t>LAG001(26/39)</t>
  </si>
  <si>
    <t>LAG001(27/39)</t>
  </si>
  <si>
    <t>MB-08173</t>
    <phoneticPr fontId="12"/>
  </si>
  <si>
    <t>LAG001(28/39)</t>
  </si>
  <si>
    <t>LAG001(29/39)</t>
  </si>
  <si>
    <t>MB-08174</t>
    <phoneticPr fontId="12"/>
  </si>
  <si>
    <t>LAG001(30/39)</t>
  </si>
  <si>
    <t>MB-08174</t>
    <phoneticPr fontId="12"/>
  </si>
  <si>
    <t>LAG001(31/39)</t>
  </si>
  <si>
    <t>LAG001(32/39)</t>
  </si>
  <si>
    <t>LAG001(33/39)</t>
  </si>
  <si>
    <t>LAG001(34/39)</t>
  </si>
  <si>
    <t>MB-08175</t>
    <phoneticPr fontId="12"/>
  </si>
  <si>
    <t>LAG001(35/39)</t>
  </si>
  <si>
    <t>LAG001(36/39)</t>
  </si>
  <si>
    <t>LAG001(37/39)</t>
  </si>
  <si>
    <t>LAG001(38/39)</t>
  </si>
  <si>
    <t>LAG001(39/39)</t>
  </si>
  <si>
    <t>LAG001(1/3)</t>
  </si>
  <si>
    <t>LAG001(2/3)</t>
  </si>
  <si>
    <t>LAG001(3/3)</t>
  </si>
  <si>
    <t>LAA101(1/2)</t>
    <phoneticPr fontId="12"/>
  </si>
  <si>
    <t>LAA101(2/2)</t>
    <phoneticPr fontId="12"/>
  </si>
  <si>
    <t>LAF001(1/2)</t>
    <phoneticPr fontId="12"/>
  </si>
  <si>
    <t>LAF001(2/2)</t>
    <phoneticPr fontId="12"/>
  </si>
  <si>
    <t>LAG001(1/1)</t>
    <phoneticPr fontId="12"/>
  </si>
  <si>
    <t>LAG001(1/1)</t>
    <phoneticPr fontId="12"/>
  </si>
  <si>
    <t>LAG001(1/2)</t>
    <phoneticPr fontId="12"/>
  </si>
  <si>
    <t>LAG001(2/2)</t>
    <phoneticPr fontId="12"/>
  </si>
  <si>
    <t>LAE101(1/2)</t>
    <phoneticPr fontId="12"/>
  </si>
  <si>
    <t>LAE101(2/2)</t>
    <phoneticPr fontId="12"/>
  </si>
  <si>
    <t>LAE101(1/1)</t>
    <phoneticPr fontId="12"/>
  </si>
  <si>
    <t>LAC001(1/2)</t>
    <phoneticPr fontId="12"/>
  </si>
  <si>
    <t>LAC001(2/2)</t>
    <phoneticPr fontId="12"/>
  </si>
  <si>
    <t>LAD001(1/2)</t>
    <phoneticPr fontId="12"/>
  </si>
  <si>
    <t>LAD001(2/2)</t>
    <phoneticPr fontId="12"/>
  </si>
  <si>
    <t>LAG001(1/2)</t>
    <phoneticPr fontId="12"/>
  </si>
  <si>
    <t>（25/12/06DB公開）</t>
    <rPh sb="11" eb="13">
      <t>コウカイ</t>
    </rPh>
    <phoneticPr fontId="29"/>
  </si>
  <si>
    <t>LAG001(2/2)</t>
    <phoneticPr fontId="12"/>
  </si>
  <si>
    <t>LBL002(1/5)</t>
  </si>
  <si>
    <t>LBL002(2/5)</t>
  </si>
  <si>
    <t>LBL002(3/5)</t>
  </si>
  <si>
    <t>LBL002(4/5)</t>
  </si>
  <si>
    <t>LBL002(5/5)</t>
  </si>
  <si>
    <t>LAG001(1/5)</t>
  </si>
  <si>
    <t>LAG001(2/5)</t>
  </si>
  <si>
    <t>LAG001(3/5)</t>
  </si>
  <si>
    <t>LAG001(4/5)</t>
  </si>
  <si>
    <t>LAG001(5/5)</t>
  </si>
  <si>
    <t>LAG001(2/2)</t>
    <phoneticPr fontId="12"/>
  </si>
  <si>
    <t>LAA101(1/2)</t>
    <phoneticPr fontId="12"/>
  </si>
  <si>
    <t>LAA101(2/2)</t>
    <phoneticPr fontId="12"/>
  </si>
  <si>
    <t>(空白)</t>
  </si>
  <si>
    <t xml:space="preserve"> LAA101</t>
  </si>
  <si>
    <t xml:space="preserve"> LAF001</t>
  </si>
  <si>
    <t xml:space="preserve"> LAF002</t>
  </si>
  <si>
    <t xml:space="preserve"> LAF003</t>
  </si>
  <si>
    <t xml:space="preserve"> LAG001</t>
  </si>
  <si>
    <t xml:space="preserve"> LAG002</t>
  </si>
  <si>
    <t xml:space="preserve"> LAE101</t>
  </si>
  <si>
    <t xml:space="preserve"> LAE102</t>
  </si>
  <si>
    <t xml:space="preserve"> LAE201</t>
  </si>
  <si>
    <t xml:space="preserve"> LBL001</t>
  </si>
  <si>
    <t xml:space="preserve"> LBL002</t>
  </si>
  <si>
    <t xml:space="preserve"> LAL001</t>
  </si>
  <si>
    <t xml:space="preserve"> LAN001</t>
  </si>
  <si>
    <t xml:space="preserve"> LAN002</t>
  </si>
  <si>
    <t xml:space="preserve"> LCN001</t>
  </si>
  <si>
    <t xml:space="preserve"> LAC001</t>
  </si>
  <si>
    <t xml:space="preserve"> LAC002</t>
  </si>
  <si>
    <t xml:space="preserve"> LCC001</t>
  </si>
  <si>
    <t xml:space="preserve"> LCC002</t>
  </si>
  <si>
    <t xml:space="preserve"> LAD001</t>
  </si>
  <si>
    <t xml:space="preserve"> LAD002</t>
  </si>
  <si>
    <t xml:space="preserve"> LCD001</t>
  </si>
  <si>
    <t xml:space="preserve"> LCD002</t>
  </si>
  <si>
    <t>T-No</t>
    <phoneticPr fontId="6"/>
  </si>
  <si>
    <t>Z001
号機</t>
    <rPh sb="5" eb="7">
      <t>ゴウキ</t>
    </rPh>
    <phoneticPr fontId="36"/>
  </si>
  <si>
    <t>Z002
号機</t>
    <rPh sb="5" eb="7">
      <t>ゴウキ</t>
    </rPh>
    <phoneticPr fontId="36"/>
  </si>
  <si>
    <t>Y001
号機</t>
    <rPh sb="5" eb="7">
      <t>ゴウキ</t>
    </rPh>
    <phoneticPr fontId="36"/>
  </si>
  <si>
    <t>Y002
号機</t>
    <rPh sb="5" eb="7">
      <t>ゴウキ</t>
    </rPh>
    <phoneticPr fontId="36"/>
  </si>
  <si>
    <t>光真
出荷計画</t>
    <rPh sb="0" eb="2">
      <t>コウシン</t>
    </rPh>
    <phoneticPr fontId="36"/>
  </si>
  <si>
    <t>YBS-LAA001</t>
  </si>
  <si>
    <t>YBS-LAG001</t>
  </si>
  <si>
    <t>YBS-LAE001</t>
  </si>
  <si>
    <t>YBS-LAL001</t>
  </si>
  <si>
    <t>YBS-LAH001</t>
  </si>
  <si>
    <t>YBS-LAY001</t>
  </si>
  <si>
    <t>YBS-LAY002</t>
    <phoneticPr fontId="36"/>
  </si>
  <si>
    <t>YBS-LAZ001</t>
  </si>
  <si>
    <t>生産計画
No</t>
    <rPh sb="0" eb="2">
      <t>セイサン</t>
    </rPh>
    <rPh sb="2" eb="4">
      <t>ケイカク</t>
    </rPh>
    <phoneticPr fontId="6"/>
  </si>
  <si>
    <t>T-No</t>
    <phoneticPr fontId="6"/>
  </si>
  <si>
    <t>MB-08183</t>
    <phoneticPr fontId="36"/>
  </si>
  <si>
    <t>LAN001(1/3)</t>
    <phoneticPr fontId="36"/>
  </si>
  <si>
    <t>（10/9平嶌様情報）</t>
    <rPh sb="5" eb="7">
      <t>ヒラシマ</t>
    </rPh>
    <rPh sb="7" eb="8">
      <t>サマ</t>
    </rPh>
    <rPh sb="8" eb="10">
      <t>ジョウホウ</t>
    </rPh>
    <phoneticPr fontId="24"/>
  </si>
  <si>
    <t>LAN001</t>
    <phoneticPr fontId="36"/>
  </si>
  <si>
    <t>M</t>
    <phoneticPr fontId="36"/>
  </si>
  <si>
    <t>MB-08183</t>
    <phoneticPr fontId="36"/>
  </si>
  <si>
    <t>M</t>
    <phoneticPr fontId="36"/>
  </si>
  <si>
    <t>LAN001</t>
    <phoneticPr fontId="36"/>
  </si>
  <si>
    <t>LAN001(2/3)</t>
    <phoneticPr fontId="36"/>
  </si>
  <si>
    <t>M</t>
    <phoneticPr fontId="36"/>
  </si>
  <si>
    <t>LAN001(3/3)</t>
    <phoneticPr fontId="36"/>
  </si>
  <si>
    <t>LAN001</t>
    <phoneticPr fontId="36"/>
  </si>
  <si>
    <t>・</t>
    <phoneticPr fontId="36"/>
  </si>
  <si>
    <t>LAC001(1/8)</t>
  </si>
  <si>
    <t>（9/1平嶌様情報）</t>
    <rPh sb="4" eb="6">
      <t>ヒラシマ</t>
    </rPh>
    <rPh sb="6" eb="7">
      <t>サマ</t>
    </rPh>
    <rPh sb="7" eb="9">
      <t>ジョウホウ</t>
    </rPh>
    <phoneticPr fontId="24"/>
  </si>
  <si>
    <t>LAC001</t>
    <phoneticPr fontId="36"/>
  </si>
  <si>
    <t>LAC001(2/8)</t>
  </si>
  <si>
    <t>・</t>
    <phoneticPr fontId="36"/>
  </si>
  <si>
    <t>LAC001(3/8)</t>
  </si>
  <si>
    <t>LAC001(4/8)</t>
  </si>
  <si>
    <t>LAF001(1/5)</t>
  </si>
  <si>
    <t>LAF001</t>
    <phoneticPr fontId="36"/>
  </si>
  <si>
    <t>LAF001(2/5)</t>
  </si>
  <si>
    <t>LAF001(3/5)</t>
  </si>
  <si>
    <t>LAF001</t>
    <phoneticPr fontId="36"/>
  </si>
  <si>
    <t>LAF001(4/5)</t>
  </si>
  <si>
    <t>LAF001(5/5)</t>
  </si>
  <si>
    <t>LAN001(1/5)</t>
  </si>
  <si>
    <t>LAN001(2/5)</t>
  </si>
  <si>
    <t>LAN001(3/5)</t>
  </si>
  <si>
    <t>LAN001(4/5)</t>
  </si>
  <si>
    <t>LAN001(5/5)</t>
  </si>
  <si>
    <t>LAC001(5/8)</t>
  </si>
  <si>
    <t>LAC001(6/8)</t>
  </si>
  <si>
    <t>LAC001(7/8)</t>
  </si>
  <si>
    <t>LAC001(8/8)</t>
  </si>
  <si>
    <t>LAC001</t>
    <phoneticPr fontId="36"/>
  </si>
  <si>
    <t>LAD001(1/5)</t>
  </si>
  <si>
    <t>LAD001</t>
    <phoneticPr fontId="36"/>
  </si>
  <si>
    <t>LAD001(2/5)</t>
  </si>
  <si>
    <t>LAD001(3/5)</t>
  </si>
  <si>
    <t>LAD001(4/5)</t>
  </si>
  <si>
    <t>LAD001</t>
    <phoneticPr fontId="36"/>
  </si>
  <si>
    <t>LAD001(5/5)</t>
  </si>
  <si>
    <t>LAN001(1/1)</t>
    <phoneticPr fontId="36"/>
  </si>
  <si>
    <t>（11/5林ひ様情報）</t>
    <rPh sb="5" eb="6">
      <t>ハヤシ</t>
    </rPh>
    <rPh sb="7" eb="8">
      <t>サマ</t>
    </rPh>
    <rPh sb="8" eb="10">
      <t>ジョウホウ</t>
    </rPh>
    <phoneticPr fontId="24"/>
  </si>
  <si>
    <t>000389430-10</t>
  </si>
  <si>
    <t>000389430-11</t>
  </si>
  <si>
    <t>000389430-12</t>
  </si>
  <si>
    <t>000391137-10</t>
  </si>
  <si>
    <t>000391137-11</t>
  </si>
  <si>
    <t>000391137-12</t>
  </si>
  <si>
    <t>000391138-10</t>
  </si>
  <si>
    <t>000391138-11</t>
  </si>
  <si>
    <t>000391139-10</t>
  </si>
  <si>
    <t>000391139-11</t>
  </si>
  <si>
    <t>000389419-10</t>
  </si>
  <si>
    <t>000389419-11</t>
  </si>
  <si>
    <t>000389419-12</t>
  </si>
  <si>
    <t>000389419-13</t>
  </si>
  <si>
    <t>000389419-14</t>
  </si>
  <si>
    <t>000389419-15</t>
  </si>
  <si>
    <t>000389419-16</t>
  </si>
  <si>
    <t>000389419-17</t>
  </si>
  <si>
    <t>000389419-18</t>
  </si>
  <si>
    <t>000389419-19</t>
  </si>
  <si>
    <t>000389419-20</t>
  </si>
  <si>
    <t>000389419-21</t>
  </si>
  <si>
    <t>000389419-22</t>
  </si>
  <si>
    <t>000389419-23</t>
  </si>
  <si>
    <t>000389419-24</t>
  </si>
  <si>
    <t>000389419-25</t>
  </si>
  <si>
    <t>000389419-26</t>
  </si>
  <si>
    <t>000389419-27</t>
  </si>
  <si>
    <t>000389419-28</t>
  </si>
  <si>
    <t xml:space="preserve"> YBS-LAA001</t>
  </si>
  <si>
    <t xml:space="preserve"> YBS-LAF001</t>
  </si>
  <si>
    <t xml:space="preserve"> YBS-LAG001</t>
  </si>
  <si>
    <t xml:space="preserve"> YBS-LAE001</t>
  </si>
  <si>
    <t xml:space="preserve"> YBS-LAL001</t>
  </si>
  <si>
    <t xml:space="preserve"> YBS-LAN001</t>
  </si>
  <si>
    <t xml:space="preserve"> YBS-LAC001</t>
  </si>
  <si>
    <t xml:space="preserve"> YBS-LAD001</t>
  </si>
  <si>
    <t>26/01</t>
  </si>
  <si>
    <t>26/02</t>
  </si>
  <si>
    <t>26/03</t>
  </si>
  <si>
    <t>26/04</t>
  </si>
  <si>
    <t>26/05</t>
  </si>
  <si>
    <t>26/06</t>
  </si>
  <si>
    <t>26/07</t>
  </si>
  <si>
    <t>26/08</t>
  </si>
  <si>
    <t>26/09</t>
  </si>
  <si>
    <t>27/01</t>
  </si>
  <si>
    <t>27/02</t>
  </si>
  <si>
    <t>27/03</t>
  </si>
  <si>
    <t>27/04</t>
  </si>
  <si>
    <t>合計 / LAA101Q</t>
  </si>
  <si>
    <t>合計 / LAF001Q</t>
  </si>
  <si>
    <t>合計 / LAF002Q</t>
  </si>
  <si>
    <t>合計 / LAF003Q</t>
  </si>
  <si>
    <t>合計 / LAG001Q</t>
  </si>
  <si>
    <t>合計 / LAG002Q</t>
  </si>
  <si>
    <t>合計 / LAE101Q</t>
  </si>
  <si>
    <t>合計 / LAE102Q</t>
  </si>
  <si>
    <t>合計 / LAE201Q</t>
  </si>
  <si>
    <t>合計 / LBL001Q</t>
  </si>
  <si>
    <t>合計 / LBL002Q</t>
  </si>
  <si>
    <t>合計 / LAL001Q</t>
  </si>
  <si>
    <t>合計 / LAN001Q</t>
  </si>
  <si>
    <t>合計 / LAN002Q</t>
  </si>
  <si>
    <t>合計 / LCN001Q</t>
  </si>
  <si>
    <t>合計 / LAC001Q</t>
  </si>
  <si>
    <t>合計 / LAC002Q</t>
  </si>
  <si>
    <t>合計 / LCC001Q</t>
  </si>
  <si>
    <t>合計 / LAD001Q</t>
  </si>
  <si>
    <t>合計 / LCC002Q</t>
  </si>
  <si>
    <t>合計 / LAD002Q</t>
  </si>
  <si>
    <t>合計 / LCD001Q</t>
  </si>
  <si>
    <t>合計 / LCD002Q</t>
  </si>
  <si>
    <t>合計 / LAH001Q</t>
  </si>
  <si>
    <t>合計 / 新LAA001Q</t>
  </si>
  <si>
    <t>合計 / 新LAＦ001Q</t>
  </si>
  <si>
    <t>合計 / 新LAＧ001Q</t>
  </si>
  <si>
    <t>合計 / 新LAＥ001Q</t>
  </si>
  <si>
    <t>合計 / 新LAL001Q</t>
  </si>
  <si>
    <t>合計 / 新LAN001Q</t>
  </si>
  <si>
    <t>合計 / 新LAC001Q</t>
  </si>
  <si>
    <t>合計 / 新LAD001Q</t>
  </si>
  <si>
    <t>合計 / 新LAH001Q</t>
  </si>
  <si>
    <r>
      <t>000391140-07</t>
    </r>
    <r>
      <rPr>
        <sz val="10"/>
        <color theme="1"/>
        <rFont val="ＭＳ Ｐゴシック"/>
        <family val="2"/>
        <charset val="128"/>
        <scheme val="minor"/>
      </rPr>
      <t/>
    </r>
    <phoneticPr fontId="6"/>
  </si>
  <si>
    <r>
      <t>000391140-08</t>
    </r>
    <r>
      <rPr>
        <sz val="10"/>
        <color theme="1"/>
        <rFont val="ＭＳ Ｐゴシック"/>
        <family val="2"/>
        <charset val="128"/>
        <scheme val="minor"/>
      </rPr>
      <t/>
    </r>
    <phoneticPr fontId="6"/>
  </si>
  <si>
    <r>
      <t>000391140-09</t>
    </r>
    <r>
      <rPr>
        <sz val="10"/>
        <color theme="1"/>
        <rFont val="ＭＳ Ｐゴシック"/>
        <family val="2"/>
        <charset val="128"/>
        <scheme val="minor"/>
      </rPr>
      <t/>
    </r>
    <phoneticPr fontId="6"/>
  </si>
  <si>
    <t>２７/１月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</si>
</sst>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76" formatCode="yy/mm/dd"/>
    <numFmt numFmtId="177" formatCode="#,##0_);[Red]\(#,##0\)"/>
    <numFmt numFmtId="178" formatCode="m/d;@"/>
    <numFmt numFmtId="179" formatCode="0_);[Red]\(0\)"/>
    <numFmt numFmtId="180" formatCode="#,###"/>
    <numFmt numFmtId="181" formatCode="m/d"/>
    <numFmt numFmtId="182" formatCode="#,##0_ ;[Red]\-#,##0\ "/>
    <numFmt numFmtId="183" formatCode="#,##0_ "/>
    <numFmt numFmtId="184" formatCode="&quot;前月&quot;#,##0_ ;[Red]\-#,##0\ "/>
    <numFmt numFmtId="185" formatCode="&quot;差異&quot;#,##0_ ;[Red]\-#,##0\ "/>
    <numFmt numFmtId="186" formatCode="#,##0;&quot;▲ &quot;#,##0"/>
    <numFmt numFmtId="187" formatCode="&quot;差異&quot;#,##0_ ;[Red]&quot;差異&quot;\-#,##0\ "/>
    <numFmt numFmtId="188" formatCode="0;[Red]0"/>
    <numFmt numFmtId="189" formatCode="0000"/>
  </numFmts>
  <fonts count="40">
    <font>
      <sz val="11"/>
      <color rgb="FF000000"/>
      <name val="ＭＳ Ｐゴシック"/>
    </font>
    <font>
      <sz val="10"/>
      <color theme="1"/>
      <name val="ＭＳ Ｐゴシック"/>
      <family val="2"/>
      <charset val="128"/>
      <scheme val="minor"/>
    </font>
    <font>
      <sz val="10"/>
      <color rgb="FF000000"/>
      <name val="ＭＳ Ｐゴシック"/>
      <family val="3"/>
      <charset val="128"/>
    </font>
    <font>
      <sz val="10"/>
      <color rgb="FFFFFF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color indexed="10"/>
      <name val="ＭＳ Ｐゴシック"/>
      <family val="3"/>
      <charset val="128"/>
    </font>
    <font>
      <b/>
      <u/>
      <sz val="8"/>
      <color indexed="1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8"/>
      <name val="ＭＳ Ｐゴシック"/>
      <family val="3"/>
      <charset val="128"/>
    </font>
    <font>
      <b/>
      <sz val="8"/>
      <color theme="0"/>
      <name val="ＭＳ Ｐゴシック"/>
      <family val="3"/>
      <charset val="128"/>
    </font>
    <font>
      <sz val="8"/>
      <color indexed="1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name val="ＭＳ ゴシック"/>
      <family val="3"/>
      <charset val="128"/>
    </font>
    <font>
      <sz val="8"/>
      <color theme="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color indexed="8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name val="ＭＳ Ｐゴシック"/>
      <family val="3"/>
      <charset val="134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</fonts>
  <fills count="23">
    <fill>
      <patternFill patternType="none"/>
    </fill>
    <fill>
      <patternFill patternType="gray125"/>
    </fill>
    <fill>
      <patternFill patternType="none"/>
    </fill>
    <fill>
      <patternFill patternType="solid">
        <fgColor rgb="FF66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</fills>
  <borders count="1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 diagonalUp="1">
      <left style="medium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 diagonalUp="1"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 style="thin">
        <color indexed="64"/>
      </diagonal>
    </border>
    <border diagonalUp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thin">
        <color indexed="64"/>
      </diagonal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/>
      <bottom style="hair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hair">
        <color indexed="64"/>
      </top>
      <bottom style="hair">
        <color auto="1"/>
      </bottom>
      <diagonal style="thin">
        <color indexed="64"/>
      </diagonal>
    </border>
    <border diagonalUp="1">
      <left style="medium">
        <color indexed="64"/>
      </left>
      <right/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medium">
        <color indexed="64"/>
      </top>
      <bottom style="hair">
        <color auto="1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>
      <left/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8">
    <xf numFmtId="0" fontId="0" fillId="0" borderId="0"/>
    <xf numFmtId="9" fontId="8" fillId="0" borderId="0" applyFont="0" applyFill="0" applyBorder="0" applyAlignment="0" applyProtection="0">
      <alignment vertical="center"/>
    </xf>
    <xf numFmtId="0" fontId="9" fillId="2" borderId="0">
      <alignment vertical="center"/>
    </xf>
    <xf numFmtId="0" fontId="12" fillId="2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8" fillId="2" borderId="0"/>
    <xf numFmtId="0" fontId="9" fillId="2" borderId="0">
      <alignment vertical="center"/>
    </xf>
  </cellStyleXfs>
  <cellXfs count="534"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179" fontId="2" fillId="2" borderId="0" xfId="0" applyNumberFormat="1" applyFont="1" applyFill="1" applyAlignment="1">
      <alignment vertical="center"/>
    </xf>
    <xf numFmtId="179" fontId="2" fillId="2" borderId="0" xfId="0" applyNumberFormat="1" applyFont="1" applyFill="1" applyAlignment="1">
      <alignment horizontal="center" vertical="center"/>
    </xf>
    <xf numFmtId="179" fontId="0" fillId="2" borderId="0" xfId="0" applyNumberFormat="1" applyFill="1" applyAlignment="1">
      <alignment horizontal="center" vertical="top"/>
    </xf>
    <xf numFmtId="179" fontId="0" fillId="2" borderId="0" xfId="0" applyNumberFormat="1" applyFill="1" applyAlignment="1">
      <alignment vertical="center"/>
    </xf>
    <xf numFmtId="180" fontId="2" fillId="2" borderId="0" xfId="0" applyNumberFormat="1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center"/>
    </xf>
    <xf numFmtId="180" fontId="3" fillId="4" borderId="0" xfId="0" applyNumberFormat="1" applyFont="1" applyFill="1" applyAlignment="1">
      <alignment horizontal="center" vertical="center"/>
    </xf>
    <xf numFmtId="180" fontId="4" fillId="4" borderId="0" xfId="0" applyNumberFormat="1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top"/>
    </xf>
    <xf numFmtId="180" fontId="3" fillId="4" borderId="0" xfId="0" applyNumberFormat="1" applyFont="1" applyFill="1" applyAlignment="1">
      <alignment horizontal="center" vertical="top"/>
    </xf>
    <xf numFmtId="180" fontId="5" fillId="2" borderId="0" xfId="0" applyNumberFormat="1" applyFon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top" wrapText="1"/>
    </xf>
    <xf numFmtId="179" fontId="0" fillId="2" borderId="0" xfId="0" applyNumberFormat="1" applyFill="1" applyAlignment="1">
      <alignment horizontal="center" vertical="top" wrapText="1"/>
    </xf>
    <xf numFmtId="178" fontId="0" fillId="2" borderId="0" xfId="0" applyNumberFormat="1" applyFill="1" applyAlignment="1">
      <alignment horizontal="center" vertical="top" wrapText="1"/>
    </xf>
    <xf numFmtId="49" fontId="0" fillId="2" borderId="0" xfId="0" applyNumberFormat="1" applyFill="1" applyAlignment="1">
      <alignment horizontal="center" vertical="center"/>
    </xf>
    <xf numFmtId="178" fontId="7" fillId="5" borderId="0" xfId="0" applyNumberFormat="1" applyFon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17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179" fontId="0" fillId="2" borderId="0" xfId="0" applyNumberFormat="1" applyFill="1" applyBorder="1" applyAlignment="1">
      <alignment vertical="center"/>
    </xf>
    <xf numFmtId="49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178" fontId="0" fillId="2" borderId="0" xfId="0" applyNumberFormat="1" applyFill="1" applyBorder="1" applyAlignment="1">
      <alignment horizontal="center" vertical="center"/>
    </xf>
    <xf numFmtId="181" fontId="10" fillId="2" borderId="0" xfId="2" applyNumberFormat="1" applyFont="1">
      <alignment vertical="center"/>
    </xf>
    <xf numFmtId="181" fontId="11" fillId="2" borderId="0" xfId="2" applyNumberFormat="1" applyFont="1">
      <alignment vertical="center"/>
    </xf>
    <xf numFmtId="177" fontId="11" fillId="2" borderId="0" xfId="2" applyNumberFormat="1" applyFont="1">
      <alignment vertical="center"/>
    </xf>
    <xf numFmtId="0" fontId="13" fillId="2" borderId="0" xfId="3" applyFont="1">
      <alignment vertical="center"/>
    </xf>
    <xf numFmtId="0" fontId="13" fillId="2" borderId="0" xfId="3" applyFont="1" applyAlignment="1">
      <alignment horizontal="right" vertical="center"/>
    </xf>
    <xf numFmtId="177" fontId="14" fillId="6" borderId="2" xfId="2" applyNumberFormat="1" applyFont="1" applyFill="1" applyBorder="1">
      <alignment vertical="center"/>
    </xf>
    <xf numFmtId="177" fontId="14" fillId="6" borderId="3" xfId="2" applyNumberFormat="1" applyFont="1" applyFill="1" applyBorder="1">
      <alignment vertical="center"/>
    </xf>
    <xf numFmtId="177" fontId="14" fillId="6" borderId="4" xfId="2" applyNumberFormat="1" applyFont="1" applyFill="1" applyBorder="1">
      <alignment vertical="center"/>
    </xf>
    <xf numFmtId="177" fontId="14" fillId="6" borderId="2" xfId="2" applyNumberFormat="1" applyFont="1" applyFill="1" applyBorder="1" applyAlignment="1">
      <alignment horizontal="right" vertical="center" wrapText="1"/>
    </xf>
    <xf numFmtId="177" fontId="14" fillId="6" borderId="4" xfId="2" applyNumberFormat="1" applyFont="1" applyFill="1" applyBorder="1" applyAlignment="1">
      <alignment horizontal="left" vertical="center" wrapText="1"/>
    </xf>
    <xf numFmtId="0" fontId="13" fillId="2" borderId="0" xfId="4" applyFont="1">
      <alignment vertical="center"/>
    </xf>
    <xf numFmtId="0" fontId="13" fillId="2" borderId="5" xfId="3" applyFont="1" applyBorder="1" applyAlignment="1">
      <alignment horizontal="center" vertical="top" wrapText="1"/>
    </xf>
    <xf numFmtId="0" fontId="15" fillId="2" borderId="6" xfId="5" applyFont="1" applyBorder="1" applyAlignment="1">
      <alignment horizontal="center" vertical="top" wrapText="1"/>
    </xf>
    <xf numFmtId="0" fontId="15" fillId="2" borderId="7" xfId="5" applyFont="1" applyBorder="1" applyAlignment="1">
      <alignment horizontal="center" vertical="top" wrapText="1"/>
    </xf>
    <xf numFmtId="0" fontId="15" fillId="7" borderId="8" xfId="5" applyFont="1" applyFill="1" applyBorder="1" applyAlignment="1">
      <alignment horizontal="center" vertical="top" wrapText="1"/>
    </xf>
    <xf numFmtId="0" fontId="15" fillId="8" borderId="8" xfId="5" applyFont="1" applyFill="1" applyBorder="1" applyAlignment="1">
      <alignment horizontal="center" vertical="top" wrapText="1"/>
    </xf>
    <xf numFmtId="0" fontId="15" fillId="9" borderId="8" xfId="5" applyFont="1" applyFill="1" applyBorder="1" applyAlignment="1">
      <alignment horizontal="center" vertical="top" wrapText="1"/>
    </xf>
    <xf numFmtId="0" fontId="15" fillId="10" borderId="8" xfId="5" applyFont="1" applyFill="1" applyBorder="1" applyAlignment="1">
      <alignment horizontal="center" vertical="top" wrapText="1"/>
    </xf>
    <xf numFmtId="0" fontId="15" fillId="11" borderId="8" xfId="5" applyFont="1" applyFill="1" applyBorder="1" applyAlignment="1">
      <alignment horizontal="center" vertical="top" wrapText="1"/>
    </xf>
    <xf numFmtId="0" fontId="18" fillId="12" borderId="8" xfId="5" applyFont="1" applyFill="1" applyBorder="1" applyAlignment="1">
      <alignment horizontal="center" vertical="top" wrapText="1"/>
    </xf>
    <xf numFmtId="0" fontId="15" fillId="13" borderId="9" xfId="5" applyFont="1" applyFill="1" applyBorder="1" applyAlignment="1">
      <alignment horizontal="center" vertical="top" wrapText="1"/>
    </xf>
    <xf numFmtId="0" fontId="13" fillId="14" borderId="5" xfId="5" applyFont="1" applyFill="1" applyBorder="1" applyAlignment="1">
      <alignment horizontal="center" vertical="top" wrapText="1"/>
    </xf>
    <xf numFmtId="0" fontId="13" fillId="2" borderId="3" xfId="5" applyFont="1" applyBorder="1" applyAlignment="1">
      <alignment horizontal="center" vertical="top" wrapText="1"/>
    </xf>
    <xf numFmtId="177" fontId="13" fillId="2" borderId="6" xfId="2" applyNumberFormat="1" applyFont="1" applyBorder="1" applyAlignment="1">
      <alignment horizontal="center" vertical="top" wrapText="1"/>
    </xf>
    <xf numFmtId="177" fontId="13" fillId="2" borderId="10" xfId="2" applyNumberFormat="1" applyFont="1" applyBorder="1" applyAlignment="1">
      <alignment horizontal="center" vertical="top" wrapText="1"/>
    </xf>
    <xf numFmtId="177" fontId="18" fillId="6" borderId="6" xfId="2" applyNumberFormat="1" applyFont="1" applyFill="1" applyBorder="1" applyAlignment="1">
      <alignment horizontal="center" vertical="top" wrapText="1"/>
    </xf>
    <xf numFmtId="177" fontId="13" fillId="14" borderId="5" xfId="2" applyNumberFormat="1" applyFont="1" applyFill="1" applyBorder="1" applyAlignment="1">
      <alignment horizontal="center" vertical="top" wrapText="1"/>
    </xf>
    <xf numFmtId="0" fontId="13" fillId="15" borderId="5" xfId="6" applyFont="1" applyFill="1" applyBorder="1" applyAlignment="1">
      <alignment horizontal="center" vertical="top" wrapText="1"/>
    </xf>
    <xf numFmtId="0" fontId="13" fillId="16" borderId="5" xfId="6" applyFont="1" applyFill="1" applyBorder="1" applyAlignment="1">
      <alignment horizontal="center" vertical="top" wrapText="1"/>
    </xf>
    <xf numFmtId="0" fontId="19" fillId="15" borderId="5" xfId="6" applyFont="1" applyFill="1" applyBorder="1" applyAlignment="1">
      <alignment horizontal="center" vertical="top" wrapText="1"/>
    </xf>
    <xf numFmtId="0" fontId="19" fillId="16" borderId="5" xfId="6" applyFont="1" applyFill="1" applyBorder="1" applyAlignment="1">
      <alignment horizontal="center" vertical="top" wrapText="1"/>
    </xf>
    <xf numFmtId="0" fontId="13" fillId="5" borderId="5" xfId="6" applyFont="1" applyFill="1" applyBorder="1" applyAlignment="1">
      <alignment horizontal="center" vertical="top" wrapText="1"/>
    </xf>
    <xf numFmtId="0" fontId="13" fillId="13" borderId="5" xfId="6" applyFont="1" applyFill="1" applyBorder="1" applyAlignment="1">
      <alignment horizontal="center" vertical="top" wrapText="1"/>
    </xf>
    <xf numFmtId="0" fontId="18" fillId="6" borderId="5" xfId="6" applyFont="1" applyFill="1" applyBorder="1" applyAlignment="1">
      <alignment horizontal="center" vertical="top" wrapText="1"/>
    </xf>
    <xf numFmtId="0" fontId="13" fillId="9" borderId="5" xfId="6" applyFont="1" applyFill="1" applyBorder="1" applyAlignment="1">
      <alignment horizontal="center" vertical="top" wrapText="1"/>
    </xf>
    <xf numFmtId="0" fontId="13" fillId="2" borderId="11" xfId="2" applyFont="1" applyBorder="1" applyAlignment="1">
      <alignment horizontal="center" vertical="center"/>
    </xf>
    <xf numFmtId="181" fontId="13" fillId="2" borderId="11" xfId="2" applyNumberFormat="1" applyFont="1" applyBorder="1" applyAlignment="1">
      <alignment horizontal="right" vertical="center"/>
    </xf>
    <xf numFmtId="177" fontId="13" fillId="2" borderId="12" xfId="2" applyNumberFormat="1" applyFont="1" applyBorder="1">
      <alignment vertical="center"/>
    </xf>
    <xf numFmtId="177" fontId="13" fillId="2" borderId="13" xfId="2" applyNumberFormat="1" applyFont="1" applyBorder="1">
      <alignment vertical="center"/>
    </xf>
    <xf numFmtId="177" fontId="13" fillId="2" borderId="14" xfId="2" applyNumberFormat="1" applyFont="1" applyBorder="1">
      <alignment vertical="center"/>
    </xf>
    <xf numFmtId="177" fontId="13" fillId="2" borderId="15" xfId="2" applyNumberFormat="1" applyFont="1" applyBorder="1">
      <alignment vertical="center"/>
    </xf>
    <xf numFmtId="177" fontId="13" fillId="14" borderId="11" xfId="2" applyNumberFormat="1" applyFont="1" applyFill="1" applyBorder="1" applyAlignment="1">
      <alignment horizontal="right" vertical="center"/>
    </xf>
    <xf numFmtId="177" fontId="13" fillId="2" borderId="16" xfId="2" applyNumberFormat="1" applyFont="1" applyBorder="1" applyAlignment="1">
      <alignment horizontal="right" vertical="center"/>
    </xf>
    <xf numFmtId="177" fontId="13" fillId="2" borderId="17" xfId="2" applyNumberFormat="1" applyFont="1" applyBorder="1">
      <alignment vertical="center"/>
    </xf>
    <xf numFmtId="177" fontId="13" fillId="2" borderId="11" xfId="2" applyNumberFormat="1" applyFont="1" applyBorder="1">
      <alignment vertical="center"/>
    </xf>
    <xf numFmtId="0" fontId="13" fillId="2" borderId="18" xfId="4" applyFont="1" applyBorder="1">
      <alignment vertical="center"/>
    </xf>
    <xf numFmtId="0" fontId="13" fillId="2" borderId="19" xfId="4" applyFont="1" applyBorder="1">
      <alignment vertical="center"/>
    </xf>
    <xf numFmtId="0" fontId="13" fillId="2" borderId="20" xfId="4" applyFont="1" applyBorder="1">
      <alignment vertical="center"/>
    </xf>
    <xf numFmtId="0" fontId="13" fillId="2" borderId="20" xfId="2" applyFont="1" applyBorder="1" applyAlignment="1">
      <alignment horizontal="center" vertical="center"/>
    </xf>
    <xf numFmtId="181" fontId="13" fillId="2" borderId="20" xfId="2" applyNumberFormat="1" applyFont="1" applyBorder="1" applyAlignment="1">
      <alignment horizontal="right" vertical="center"/>
    </xf>
    <xf numFmtId="177" fontId="13" fillId="2" borderId="21" xfId="2" applyNumberFormat="1" applyFont="1" applyBorder="1">
      <alignment vertical="center"/>
    </xf>
    <xf numFmtId="177" fontId="13" fillId="2" borderId="18" xfId="2" applyNumberFormat="1" applyFont="1" applyBorder="1">
      <alignment vertical="center"/>
    </xf>
    <xf numFmtId="177" fontId="13" fillId="2" borderId="19" xfId="2" applyNumberFormat="1" applyFont="1" applyBorder="1">
      <alignment vertical="center"/>
    </xf>
    <xf numFmtId="177" fontId="13" fillId="2" borderId="22" xfId="2" applyNumberFormat="1" applyFont="1" applyBorder="1">
      <alignment vertical="center"/>
    </xf>
    <xf numFmtId="177" fontId="13" fillId="14" borderId="20" xfId="2" applyNumberFormat="1" applyFont="1" applyFill="1" applyBorder="1" applyAlignment="1">
      <alignment horizontal="right" vertical="center"/>
    </xf>
    <xf numFmtId="177" fontId="13" fillId="2" borderId="23" xfId="2" applyNumberFormat="1" applyFont="1" applyBorder="1" applyAlignment="1">
      <alignment horizontal="right" vertical="center"/>
    </xf>
    <xf numFmtId="177" fontId="13" fillId="2" borderId="24" xfId="2" applyNumberFormat="1" applyFont="1" applyBorder="1">
      <alignment vertical="center"/>
    </xf>
    <xf numFmtId="177" fontId="13" fillId="2" borderId="20" xfId="2" applyNumberFormat="1" applyFont="1" applyBorder="1">
      <alignment vertical="center"/>
    </xf>
    <xf numFmtId="182" fontId="13" fillId="2" borderId="20" xfId="2" applyNumberFormat="1" applyFont="1" applyBorder="1" applyAlignment="1">
      <alignment horizontal="right" vertical="center"/>
    </xf>
    <xf numFmtId="177" fontId="13" fillId="2" borderId="20" xfId="2" applyNumberFormat="1" applyFont="1" applyBorder="1" applyAlignment="1">
      <alignment horizontal="right" vertical="center"/>
    </xf>
    <xf numFmtId="0" fontId="13" fillId="2" borderId="20" xfId="2" applyFont="1" applyBorder="1">
      <alignment vertical="center"/>
    </xf>
    <xf numFmtId="181" fontId="13" fillId="2" borderId="20" xfId="2" quotePrefix="1" applyNumberFormat="1" applyFont="1" applyBorder="1" applyAlignment="1">
      <alignment horizontal="right" vertical="center"/>
    </xf>
    <xf numFmtId="0" fontId="13" fillId="2" borderId="25" xfId="2" applyFont="1" applyBorder="1" applyAlignment="1">
      <alignment horizontal="center" vertical="center"/>
    </xf>
    <xf numFmtId="181" fontId="13" fillId="2" borderId="25" xfId="2" applyNumberFormat="1" applyFont="1" applyBorder="1" applyAlignment="1">
      <alignment horizontal="right" vertical="center"/>
    </xf>
    <xf numFmtId="177" fontId="13" fillId="2" borderId="26" xfId="2" applyNumberFormat="1" applyFont="1" applyBorder="1">
      <alignment vertical="center"/>
    </xf>
    <xf numFmtId="177" fontId="13" fillId="2" borderId="27" xfId="2" applyNumberFormat="1" applyFont="1" applyBorder="1">
      <alignment vertical="center"/>
    </xf>
    <xf numFmtId="177" fontId="13" fillId="2" borderId="28" xfId="2" applyNumberFormat="1" applyFont="1" applyBorder="1">
      <alignment vertical="center"/>
    </xf>
    <xf numFmtId="177" fontId="13" fillId="2" borderId="29" xfId="2" applyNumberFormat="1" applyFont="1" applyBorder="1">
      <alignment vertical="center"/>
    </xf>
    <xf numFmtId="177" fontId="13" fillId="14" borderId="25" xfId="2" applyNumberFormat="1" applyFont="1" applyFill="1" applyBorder="1" applyAlignment="1">
      <alignment horizontal="right" vertical="center"/>
    </xf>
    <xf numFmtId="177" fontId="13" fillId="2" borderId="30" xfId="2" applyNumberFormat="1" applyFont="1" applyBorder="1" applyAlignment="1">
      <alignment horizontal="right" vertical="center"/>
    </xf>
    <xf numFmtId="177" fontId="13" fillId="2" borderId="31" xfId="2" applyNumberFormat="1" applyFont="1" applyBorder="1">
      <alignment vertical="center"/>
    </xf>
    <xf numFmtId="177" fontId="13" fillId="2" borderId="32" xfId="2" applyNumberFormat="1" applyFont="1" applyBorder="1">
      <alignment vertical="center"/>
    </xf>
    <xf numFmtId="177" fontId="13" fillId="2" borderId="33" xfId="2" applyNumberFormat="1" applyFont="1" applyBorder="1">
      <alignment vertical="center"/>
    </xf>
    <xf numFmtId="177" fontId="13" fillId="2" borderId="34" xfId="2" applyNumberFormat="1" applyFont="1" applyBorder="1">
      <alignment vertical="center"/>
    </xf>
    <xf numFmtId="0" fontId="13" fillId="2" borderId="34" xfId="2" applyFont="1" applyBorder="1">
      <alignment vertical="center"/>
    </xf>
    <xf numFmtId="181" fontId="13" fillId="2" borderId="34" xfId="2" applyNumberFormat="1" applyFont="1" applyBorder="1" applyAlignment="1">
      <alignment horizontal="right" vertical="center"/>
    </xf>
    <xf numFmtId="177" fontId="13" fillId="2" borderId="35" xfId="2" applyNumberFormat="1" applyFont="1" applyBorder="1">
      <alignment vertical="center"/>
    </xf>
    <xf numFmtId="177" fontId="13" fillId="2" borderId="36" xfId="2" applyNumberFormat="1" applyFont="1" applyBorder="1">
      <alignment vertical="center"/>
    </xf>
    <xf numFmtId="177" fontId="13" fillId="2" borderId="37" xfId="2" applyNumberFormat="1" applyFont="1" applyBorder="1">
      <alignment vertical="center"/>
    </xf>
    <xf numFmtId="177" fontId="13" fillId="14" borderId="34" xfId="2" applyNumberFormat="1" applyFont="1" applyFill="1" applyBorder="1" applyAlignment="1">
      <alignment horizontal="right" vertical="center"/>
    </xf>
    <xf numFmtId="177" fontId="13" fillId="2" borderId="38" xfId="2" applyNumberFormat="1" applyFont="1" applyBorder="1" applyAlignment="1">
      <alignment horizontal="right" vertical="center"/>
    </xf>
    <xf numFmtId="0" fontId="13" fillId="2" borderId="39" xfId="2" applyFont="1" applyBorder="1" applyAlignment="1">
      <alignment horizontal="center" vertical="center"/>
    </xf>
    <xf numFmtId="181" fontId="13" fillId="2" borderId="40" xfId="2" applyNumberFormat="1" applyFont="1" applyBorder="1" applyAlignment="1">
      <alignment horizontal="right" vertical="center"/>
    </xf>
    <xf numFmtId="177" fontId="13" fillId="2" borderId="41" xfId="2" applyNumberFormat="1" applyFont="1" applyBorder="1">
      <alignment vertical="center"/>
    </xf>
    <xf numFmtId="177" fontId="13" fillId="2" borderId="42" xfId="2" applyNumberFormat="1" applyFont="1" applyBorder="1">
      <alignment vertical="center"/>
    </xf>
    <xf numFmtId="177" fontId="13" fillId="2" borderId="43" xfId="2" applyNumberFormat="1" applyFont="1" applyBorder="1">
      <alignment vertical="center"/>
    </xf>
    <xf numFmtId="177" fontId="13" fillId="2" borderId="44" xfId="2" applyNumberFormat="1" applyFont="1" applyBorder="1">
      <alignment vertical="center"/>
    </xf>
    <xf numFmtId="177" fontId="13" fillId="14" borderId="40" xfId="2" applyNumberFormat="1" applyFont="1" applyFill="1" applyBorder="1" applyAlignment="1">
      <alignment horizontal="right" vertical="center"/>
    </xf>
    <xf numFmtId="177" fontId="13" fillId="2" borderId="45" xfId="2" applyNumberFormat="1" applyFont="1" applyBorder="1" applyAlignment="1">
      <alignment horizontal="right" vertical="center"/>
    </xf>
    <xf numFmtId="177" fontId="13" fillId="2" borderId="46" xfId="2" applyNumberFormat="1" applyFont="1" applyBorder="1">
      <alignment vertical="center"/>
    </xf>
    <xf numFmtId="0" fontId="13" fillId="2" borderId="47" xfId="2" applyFont="1" applyBorder="1" applyAlignment="1">
      <alignment horizontal="center" vertical="center"/>
    </xf>
    <xf numFmtId="182" fontId="13" fillId="2" borderId="47" xfId="2" applyNumberFormat="1" applyFont="1" applyBorder="1" applyAlignment="1">
      <alignment horizontal="right" vertical="center"/>
    </xf>
    <xf numFmtId="177" fontId="13" fillId="2" borderId="47" xfId="2" applyNumberFormat="1" applyFont="1" applyBorder="1" applyAlignment="1">
      <alignment horizontal="right" vertical="center"/>
    </xf>
    <xf numFmtId="0" fontId="13" fillId="2" borderId="47" xfId="2" applyFont="1" applyBorder="1">
      <alignment vertical="center"/>
    </xf>
    <xf numFmtId="0" fontId="13" fillId="2" borderId="48" xfId="2" applyFont="1" applyBorder="1">
      <alignment vertical="center"/>
    </xf>
    <xf numFmtId="181" fontId="13" fillId="2" borderId="48" xfId="2" applyNumberFormat="1" applyFont="1" applyBorder="1" applyAlignment="1">
      <alignment horizontal="right" vertical="center"/>
    </xf>
    <xf numFmtId="177" fontId="13" fillId="2" borderId="49" xfId="2" applyNumberFormat="1" applyFont="1" applyBorder="1">
      <alignment vertical="center"/>
    </xf>
    <xf numFmtId="177" fontId="13" fillId="2" borderId="50" xfId="2" applyNumberFormat="1" applyFont="1" applyBorder="1">
      <alignment vertical="center"/>
    </xf>
    <xf numFmtId="177" fontId="13" fillId="2" borderId="51" xfId="2" applyNumberFormat="1" applyFont="1" applyBorder="1">
      <alignment vertical="center"/>
    </xf>
    <xf numFmtId="177" fontId="13" fillId="2" borderId="52" xfId="2" applyNumberFormat="1" applyFont="1" applyBorder="1">
      <alignment vertical="center"/>
    </xf>
    <xf numFmtId="177" fontId="13" fillId="14" borderId="48" xfId="2" applyNumberFormat="1" applyFont="1" applyFill="1" applyBorder="1" applyAlignment="1">
      <alignment horizontal="right" vertical="center"/>
    </xf>
    <xf numFmtId="177" fontId="13" fillId="2" borderId="53" xfId="2" applyNumberFormat="1" applyFont="1" applyBorder="1" applyAlignment="1">
      <alignment horizontal="right" vertical="center"/>
    </xf>
    <xf numFmtId="177" fontId="13" fillId="2" borderId="54" xfId="2" applyNumberFormat="1" applyFont="1" applyBorder="1">
      <alignment vertical="center"/>
    </xf>
    <xf numFmtId="177" fontId="13" fillId="2" borderId="55" xfId="2" applyNumberFormat="1" applyFont="1" applyBorder="1">
      <alignment vertical="center"/>
    </xf>
    <xf numFmtId="177" fontId="13" fillId="2" borderId="56" xfId="2" applyNumberFormat="1" applyFont="1" applyBorder="1">
      <alignment vertical="center"/>
    </xf>
    <xf numFmtId="177" fontId="13" fillId="2" borderId="47" xfId="2" applyNumberFormat="1" applyFont="1" applyBorder="1">
      <alignment vertical="center"/>
    </xf>
    <xf numFmtId="181" fontId="13" fillId="2" borderId="40" xfId="2" quotePrefix="1" applyNumberFormat="1" applyFont="1" applyBorder="1" applyAlignment="1">
      <alignment horizontal="right" vertical="center"/>
    </xf>
    <xf numFmtId="183" fontId="13" fillId="2" borderId="46" xfId="2" applyNumberFormat="1" applyFont="1" applyBorder="1">
      <alignment vertical="center"/>
    </xf>
    <xf numFmtId="183" fontId="13" fillId="2" borderId="12" xfId="2" applyNumberFormat="1" applyFont="1" applyBorder="1">
      <alignment vertical="center"/>
    </xf>
    <xf numFmtId="183" fontId="13" fillId="2" borderId="17" xfId="2" applyNumberFormat="1" applyFont="1" applyBorder="1">
      <alignment vertical="center"/>
    </xf>
    <xf numFmtId="183" fontId="13" fillId="2" borderId="11" xfId="2" applyNumberFormat="1" applyFont="1" applyBorder="1">
      <alignment vertical="center"/>
    </xf>
    <xf numFmtId="183" fontId="13" fillId="2" borderId="24" xfId="2" applyNumberFormat="1" applyFont="1" applyBorder="1">
      <alignment vertical="center"/>
    </xf>
    <xf numFmtId="183" fontId="13" fillId="2" borderId="21" xfId="2" applyNumberFormat="1" applyFont="1" applyBorder="1">
      <alignment vertical="center"/>
    </xf>
    <xf numFmtId="183" fontId="13" fillId="2" borderId="20" xfId="2" applyNumberFormat="1" applyFont="1" applyBorder="1">
      <alignment vertical="center"/>
    </xf>
    <xf numFmtId="181" fontId="13" fillId="2" borderId="48" xfId="2" quotePrefix="1" applyNumberFormat="1" applyFont="1" applyBorder="1" applyAlignment="1">
      <alignment horizontal="right" vertical="center"/>
    </xf>
    <xf numFmtId="183" fontId="13" fillId="2" borderId="31" xfId="2" applyNumberFormat="1" applyFont="1" applyBorder="1">
      <alignment vertical="center"/>
    </xf>
    <xf numFmtId="183" fontId="13" fillId="2" borderId="32" xfId="2" applyNumberFormat="1" applyFont="1" applyBorder="1">
      <alignment vertical="center"/>
    </xf>
    <xf numFmtId="183" fontId="13" fillId="2" borderId="33" xfId="2" applyNumberFormat="1" applyFont="1" applyBorder="1">
      <alignment vertical="center"/>
    </xf>
    <xf numFmtId="183" fontId="13" fillId="2" borderId="34" xfId="2" applyNumberFormat="1" applyFont="1" applyBorder="1">
      <alignment vertical="center"/>
    </xf>
    <xf numFmtId="0" fontId="13" fillId="2" borderId="47" xfId="2" applyFont="1" applyBorder="1" applyAlignment="1">
      <alignment horizontal="center" vertical="center" wrapText="1"/>
    </xf>
    <xf numFmtId="0" fontId="13" fillId="2" borderId="47" xfId="3" applyFont="1" applyBorder="1">
      <alignment vertical="center"/>
    </xf>
    <xf numFmtId="181" fontId="13" fillId="2" borderId="25" xfId="2" quotePrefix="1" applyNumberFormat="1" applyFont="1" applyBorder="1" applyAlignment="1">
      <alignment horizontal="right" vertical="center"/>
    </xf>
    <xf numFmtId="0" fontId="13" fillId="2" borderId="39" xfId="3" applyFont="1" applyBorder="1">
      <alignment vertical="center"/>
    </xf>
    <xf numFmtId="182" fontId="13" fillId="2" borderId="47" xfId="2" applyNumberFormat="1" applyFont="1" applyBorder="1" applyAlignment="1">
      <alignment horizontal="center" vertical="center"/>
    </xf>
    <xf numFmtId="0" fontId="13" fillId="2" borderId="48" xfId="3" applyFont="1" applyBorder="1">
      <alignment vertical="center"/>
    </xf>
    <xf numFmtId="0" fontId="13" fillId="2" borderId="47" xfId="2" applyFont="1" applyBorder="1" applyAlignment="1">
      <alignment vertical="center" wrapText="1"/>
    </xf>
    <xf numFmtId="0" fontId="13" fillId="2" borderId="48" xfId="2" applyFont="1" applyBorder="1" applyAlignment="1">
      <alignment vertical="center" wrapText="1"/>
    </xf>
    <xf numFmtId="0" fontId="13" fillId="2" borderId="39" xfId="2" applyFont="1" applyBorder="1" applyAlignment="1">
      <alignment horizontal="center" vertical="center" wrapText="1"/>
    </xf>
    <xf numFmtId="177" fontId="13" fillId="2" borderId="57" xfId="2" applyNumberFormat="1" applyFont="1" applyBorder="1" applyAlignment="1">
      <alignment horizontal="right" vertical="center"/>
    </xf>
    <xf numFmtId="177" fontId="13" fillId="2" borderId="19" xfId="4" applyNumberFormat="1" applyFont="1" applyBorder="1">
      <alignment vertical="center"/>
    </xf>
    <xf numFmtId="177" fontId="13" fillId="2" borderId="58" xfId="2" applyNumberFormat="1" applyFont="1" applyBorder="1" applyAlignment="1">
      <alignment horizontal="right" vertical="center"/>
    </xf>
    <xf numFmtId="0" fontId="13" fillId="2" borderId="47" xfId="2" applyFont="1" applyBorder="1" applyAlignment="1">
      <alignment horizontal="right" vertical="center" wrapText="1"/>
    </xf>
    <xf numFmtId="177" fontId="13" fillId="17" borderId="58" xfId="2" applyNumberFormat="1" applyFont="1" applyFill="1" applyBorder="1" applyAlignment="1">
      <alignment horizontal="right" vertical="center"/>
    </xf>
    <xf numFmtId="177" fontId="13" fillId="17" borderId="21" xfId="2" applyNumberFormat="1" applyFont="1" applyFill="1" applyBorder="1">
      <alignment vertical="center"/>
    </xf>
    <xf numFmtId="177" fontId="13" fillId="17" borderId="24" xfId="2" applyNumberFormat="1" applyFont="1" applyFill="1" applyBorder="1">
      <alignment vertical="center"/>
    </xf>
    <xf numFmtId="177" fontId="13" fillId="17" borderId="20" xfId="2" applyNumberFormat="1" applyFont="1" applyFill="1" applyBorder="1">
      <alignment vertical="center"/>
    </xf>
    <xf numFmtId="184" fontId="13" fillId="2" borderId="47" xfId="2" quotePrefix="1" applyNumberFormat="1" applyFont="1" applyBorder="1" applyAlignment="1">
      <alignment horizontal="right" vertical="center" wrapText="1"/>
    </xf>
    <xf numFmtId="185" fontId="13" fillId="2" borderId="47" xfId="2" quotePrefix="1" applyNumberFormat="1" applyFont="1" applyBorder="1" applyAlignment="1">
      <alignment horizontal="right" vertical="center" wrapText="1"/>
    </xf>
    <xf numFmtId="183" fontId="13" fillId="2" borderId="18" xfId="4" applyNumberFormat="1" applyFont="1" applyBorder="1">
      <alignment vertical="center"/>
    </xf>
    <xf numFmtId="183" fontId="13" fillId="2" borderId="19" xfId="4" applyNumberFormat="1" applyFont="1" applyBorder="1">
      <alignment vertical="center"/>
    </xf>
    <xf numFmtId="185" fontId="13" fillId="2" borderId="48" xfId="2" quotePrefix="1" applyNumberFormat="1" applyFont="1" applyBorder="1" applyAlignment="1">
      <alignment horizontal="right" vertical="center" wrapText="1"/>
    </xf>
    <xf numFmtId="177" fontId="13" fillId="2" borderId="59" xfId="2" applyNumberFormat="1" applyFont="1" applyBorder="1" applyAlignment="1">
      <alignment horizontal="right" vertical="center"/>
    </xf>
    <xf numFmtId="181" fontId="13" fillId="2" borderId="11" xfId="2" quotePrefix="1" applyNumberFormat="1" applyFont="1" applyBorder="1" applyAlignment="1">
      <alignment horizontal="right" vertical="center"/>
    </xf>
    <xf numFmtId="177" fontId="13" fillId="2" borderId="18" xfId="4" applyNumberFormat="1" applyFont="1" applyBorder="1">
      <alignment vertical="center"/>
    </xf>
    <xf numFmtId="177" fontId="13" fillId="2" borderId="20" xfId="4" applyNumberFormat="1" applyFont="1" applyBorder="1">
      <alignment vertical="center"/>
    </xf>
    <xf numFmtId="181" fontId="13" fillId="17" borderId="20" xfId="2" quotePrefix="1" applyNumberFormat="1" applyFont="1" applyFill="1" applyBorder="1" applyAlignment="1">
      <alignment horizontal="right" vertical="center"/>
    </xf>
    <xf numFmtId="177" fontId="13" fillId="17" borderId="18" xfId="2" applyNumberFormat="1" applyFont="1" applyFill="1" applyBorder="1">
      <alignment vertical="center"/>
    </xf>
    <xf numFmtId="177" fontId="13" fillId="17" borderId="19" xfId="2" applyNumberFormat="1" applyFont="1" applyFill="1" applyBorder="1">
      <alignment vertical="center"/>
    </xf>
    <xf numFmtId="177" fontId="13" fillId="17" borderId="22" xfId="2" applyNumberFormat="1" applyFont="1" applyFill="1" applyBorder="1">
      <alignment vertical="center"/>
    </xf>
    <xf numFmtId="177" fontId="13" fillId="17" borderId="23" xfId="2" applyNumberFormat="1" applyFont="1" applyFill="1" applyBorder="1" applyAlignment="1">
      <alignment horizontal="right" vertical="center"/>
    </xf>
    <xf numFmtId="184" fontId="13" fillId="2" borderId="47" xfId="2" quotePrefix="1" applyNumberFormat="1" applyFont="1" applyBorder="1" applyAlignment="1">
      <alignment horizontal="center" vertical="center" wrapText="1"/>
    </xf>
    <xf numFmtId="186" fontId="13" fillId="2" borderId="47" xfId="2" quotePrefix="1" applyNumberFormat="1" applyFont="1" applyBorder="1" applyAlignment="1">
      <alignment horizontal="center" vertical="center" wrapText="1"/>
    </xf>
    <xf numFmtId="0" fontId="13" fillId="2" borderId="47" xfId="4" applyFont="1" applyBorder="1" applyAlignment="1">
      <alignment horizontal="center" vertical="center"/>
    </xf>
    <xf numFmtId="187" fontId="13" fillId="2" borderId="47" xfId="2" quotePrefix="1" applyNumberFormat="1" applyFont="1" applyBorder="1" applyAlignment="1">
      <alignment horizontal="center" vertical="center" wrapText="1"/>
    </xf>
    <xf numFmtId="177" fontId="13" fillId="17" borderId="18" xfId="4" applyNumberFormat="1" applyFont="1" applyFill="1" applyBorder="1">
      <alignment vertical="center"/>
    </xf>
    <xf numFmtId="177" fontId="13" fillId="17" borderId="19" xfId="4" applyNumberFormat="1" applyFont="1" applyFill="1" applyBorder="1">
      <alignment vertical="center"/>
    </xf>
    <xf numFmtId="177" fontId="13" fillId="17" borderId="20" xfId="4" applyNumberFormat="1" applyFont="1" applyFill="1" applyBorder="1">
      <alignment vertical="center"/>
    </xf>
    <xf numFmtId="182" fontId="13" fillId="2" borderId="48" xfId="2" quotePrefix="1" applyNumberFormat="1" applyFont="1" applyBorder="1" applyAlignment="1">
      <alignment horizontal="right" vertical="center" wrapText="1"/>
    </xf>
    <xf numFmtId="177" fontId="13" fillId="2" borderId="35" xfId="4" applyNumberFormat="1" applyFont="1" applyBorder="1">
      <alignment vertical="center"/>
    </xf>
    <xf numFmtId="177" fontId="13" fillId="2" borderId="36" xfId="4" applyNumberFormat="1" applyFont="1" applyBorder="1">
      <alignment vertical="center"/>
    </xf>
    <xf numFmtId="177" fontId="13" fillId="2" borderId="34" xfId="4" applyNumberFormat="1" applyFont="1" applyBorder="1">
      <alignment vertical="center"/>
    </xf>
    <xf numFmtId="177" fontId="20" fillId="2" borderId="41" xfId="2" applyNumberFormat="1" applyFont="1" applyBorder="1">
      <alignment vertical="center"/>
    </xf>
    <xf numFmtId="177" fontId="13" fillId="2" borderId="60" xfId="4" applyNumberFormat="1" applyFont="1" applyBorder="1">
      <alignment vertical="center"/>
    </xf>
    <xf numFmtId="177" fontId="13" fillId="2" borderId="61" xfId="4" applyNumberFormat="1" applyFont="1" applyBorder="1">
      <alignment vertical="center"/>
    </xf>
    <xf numFmtId="177" fontId="13" fillId="2" borderId="62" xfId="4" applyNumberFormat="1" applyFont="1" applyBorder="1">
      <alignment vertical="center"/>
    </xf>
    <xf numFmtId="177" fontId="20" fillId="2" borderId="21" xfId="2" applyNumberFormat="1" applyFont="1" applyBorder="1">
      <alignment vertical="center"/>
    </xf>
    <xf numFmtId="181" fontId="13" fillId="2" borderId="34" xfId="2" quotePrefix="1" applyNumberFormat="1" applyFont="1" applyBorder="1" applyAlignment="1">
      <alignment horizontal="right" vertical="center"/>
    </xf>
    <xf numFmtId="177" fontId="20" fillId="2" borderId="32" xfId="2" applyNumberFormat="1" applyFont="1" applyBorder="1">
      <alignment vertical="center"/>
    </xf>
    <xf numFmtId="187" fontId="13" fillId="2" borderId="11" xfId="2" quotePrefix="1" applyNumberFormat="1" applyFont="1" applyBorder="1" applyAlignment="1">
      <alignment horizontal="center" vertical="center" wrapText="1"/>
    </xf>
    <xf numFmtId="0" fontId="13" fillId="2" borderId="61" xfId="4" applyFont="1" applyBorder="1">
      <alignment vertical="center"/>
    </xf>
    <xf numFmtId="187" fontId="13" fillId="2" borderId="48" xfId="2" quotePrefix="1" applyNumberFormat="1" applyFont="1" applyBorder="1" applyAlignment="1">
      <alignment horizontal="center" vertical="center" wrapText="1"/>
    </xf>
    <xf numFmtId="0" fontId="20" fillId="2" borderId="39" xfId="2" applyFont="1" applyBorder="1" applyAlignment="1">
      <alignment horizontal="center" vertical="center" wrapText="1"/>
    </xf>
    <xf numFmtId="181" fontId="20" fillId="2" borderId="40" xfId="2" quotePrefix="1" applyNumberFormat="1" applyFont="1" applyBorder="1" applyAlignment="1">
      <alignment horizontal="center" vertical="center"/>
    </xf>
    <xf numFmtId="177" fontId="20" fillId="14" borderId="40" xfId="2" applyNumberFormat="1" applyFont="1" applyFill="1" applyBorder="1" applyAlignment="1">
      <alignment horizontal="right" vertical="center"/>
    </xf>
    <xf numFmtId="177" fontId="13" fillId="2" borderId="40" xfId="2" applyNumberFormat="1" applyFont="1" applyBorder="1" applyAlignment="1">
      <alignment horizontal="right" vertical="center"/>
    </xf>
    <xf numFmtId="177" fontId="20" fillId="14" borderId="41" xfId="2" applyNumberFormat="1" applyFont="1" applyFill="1" applyBorder="1">
      <alignment vertical="center"/>
    </xf>
    <xf numFmtId="177" fontId="20" fillId="14" borderId="63" xfId="2" applyNumberFormat="1" applyFont="1" applyFill="1" applyBorder="1">
      <alignment vertical="center"/>
    </xf>
    <xf numFmtId="177" fontId="13" fillId="2" borderId="64" xfId="4" applyNumberFormat="1" applyFont="1" applyBorder="1">
      <alignment vertical="center"/>
    </xf>
    <xf numFmtId="177" fontId="13" fillId="2" borderId="65" xfId="4" applyNumberFormat="1" applyFont="1" applyBorder="1">
      <alignment vertical="center"/>
    </xf>
    <xf numFmtId="0" fontId="13" fillId="2" borderId="65" xfId="4" applyFont="1" applyBorder="1">
      <alignment vertical="center"/>
    </xf>
    <xf numFmtId="0" fontId="20" fillId="2" borderId="47" xfId="2" applyFont="1" applyBorder="1" applyAlignment="1">
      <alignment horizontal="center" vertical="center"/>
    </xf>
    <xf numFmtId="181" fontId="20" fillId="2" borderId="20" xfId="2" quotePrefix="1" applyNumberFormat="1" applyFont="1" applyBorder="1" applyAlignment="1">
      <alignment horizontal="center" vertical="center"/>
    </xf>
    <xf numFmtId="177" fontId="20" fillId="14" borderId="20" xfId="2" applyNumberFormat="1" applyFont="1" applyFill="1" applyBorder="1" applyAlignment="1">
      <alignment horizontal="right" vertical="center"/>
    </xf>
    <xf numFmtId="177" fontId="20" fillId="14" borderId="21" xfId="2" applyNumberFormat="1" applyFont="1" applyFill="1" applyBorder="1">
      <alignment vertical="center"/>
    </xf>
    <xf numFmtId="177" fontId="20" fillId="14" borderId="66" xfId="2" applyNumberFormat="1" applyFont="1" applyFill="1" applyBorder="1">
      <alignment vertical="center"/>
    </xf>
    <xf numFmtId="182" fontId="20" fillId="2" borderId="47" xfId="2" applyNumberFormat="1" applyFont="1" applyBorder="1" applyAlignment="1">
      <alignment horizontal="right" vertical="center"/>
    </xf>
    <xf numFmtId="177" fontId="13" fillId="2" borderId="67" xfId="4" applyNumberFormat="1" applyFont="1" applyBorder="1">
      <alignment vertical="center"/>
    </xf>
    <xf numFmtId="177" fontId="13" fillId="2" borderId="68" xfId="4" applyNumberFormat="1" applyFont="1" applyBorder="1">
      <alignment vertical="center"/>
    </xf>
    <xf numFmtId="0" fontId="13" fillId="2" borderId="68" xfId="4" applyFont="1" applyBorder="1">
      <alignment vertical="center"/>
    </xf>
    <xf numFmtId="184" fontId="16" fillId="2" borderId="47" xfId="2" quotePrefix="1" applyNumberFormat="1" applyFont="1" applyBorder="1" applyAlignment="1">
      <alignment horizontal="center" vertical="center" wrapText="1"/>
    </xf>
    <xf numFmtId="187" fontId="21" fillId="2" borderId="47" xfId="2" quotePrefix="1" applyNumberFormat="1" applyFont="1" applyBorder="1" applyAlignment="1">
      <alignment horizontal="center" vertical="center" wrapText="1"/>
    </xf>
    <xf numFmtId="177" fontId="13" fillId="2" borderId="66" xfId="2" applyNumberFormat="1" applyFont="1" applyBorder="1" applyAlignment="1">
      <alignment horizontal="right" vertical="center"/>
    </xf>
    <xf numFmtId="181" fontId="20" fillId="2" borderId="66" xfId="2" quotePrefix="1" applyNumberFormat="1" applyFont="1" applyBorder="1" applyAlignment="1">
      <alignment horizontal="center" vertical="center"/>
    </xf>
    <xf numFmtId="177" fontId="20" fillId="14" borderId="34" xfId="2" applyNumberFormat="1" applyFont="1" applyFill="1" applyBorder="1" applyAlignment="1">
      <alignment horizontal="right" vertical="center"/>
    </xf>
    <xf numFmtId="181" fontId="20" fillId="2" borderId="69" xfId="2" quotePrefix="1" applyNumberFormat="1" applyFont="1" applyBorder="1" applyAlignment="1">
      <alignment horizontal="center" vertical="center"/>
    </xf>
    <xf numFmtId="177" fontId="20" fillId="14" borderId="66" xfId="2" applyNumberFormat="1" applyFont="1" applyFill="1" applyBorder="1" applyAlignment="1">
      <alignment horizontal="right" vertical="center"/>
    </xf>
    <xf numFmtId="177" fontId="13" fillId="2" borderId="69" xfId="2" applyNumberFormat="1" applyFont="1" applyBorder="1" applyAlignment="1">
      <alignment horizontal="right" vertical="center"/>
    </xf>
    <xf numFmtId="177" fontId="13" fillId="2" borderId="67" xfId="2" applyNumberFormat="1" applyFont="1" applyBorder="1">
      <alignment vertical="center"/>
    </xf>
    <xf numFmtId="177" fontId="13" fillId="2" borderId="68" xfId="2" applyNumberFormat="1" applyFont="1" applyBorder="1">
      <alignment vertical="center"/>
    </xf>
    <xf numFmtId="187" fontId="21" fillId="2" borderId="48" xfId="2" quotePrefix="1" applyNumberFormat="1" applyFont="1" applyBorder="1" applyAlignment="1">
      <alignment horizontal="center" vertical="center" wrapText="1"/>
    </xf>
    <xf numFmtId="181" fontId="20" fillId="2" borderId="70" xfId="2" quotePrefix="1" applyNumberFormat="1" applyFont="1" applyBorder="1" applyAlignment="1">
      <alignment horizontal="center" vertical="center"/>
    </xf>
    <xf numFmtId="177" fontId="20" fillId="14" borderId="70" xfId="2" applyNumberFormat="1" applyFont="1" applyFill="1" applyBorder="1" applyAlignment="1">
      <alignment horizontal="right" vertical="center"/>
    </xf>
    <xf numFmtId="177" fontId="13" fillId="2" borderId="70" xfId="2" applyNumberFormat="1" applyFont="1" applyBorder="1" applyAlignment="1">
      <alignment horizontal="right" vertical="center"/>
    </xf>
    <xf numFmtId="177" fontId="20" fillId="14" borderId="26" xfId="2" applyNumberFormat="1" applyFont="1" applyFill="1" applyBorder="1">
      <alignment vertical="center"/>
    </xf>
    <xf numFmtId="177" fontId="20" fillId="14" borderId="70" xfId="2" applyNumberFormat="1" applyFont="1" applyFill="1" applyBorder="1">
      <alignment vertical="center"/>
    </xf>
    <xf numFmtId="177" fontId="13" fillId="2" borderId="71" xfId="2" applyNumberFormat="1" applyFont="1" applyBorder="1">
      <alignment vertical="center"/>
    </xf>
    <xf numFmtId="177" fontId="13" fillId="2" borderId="72" xfId="2" applyNumberFormat="1" applyFont="1" applyBorder="1">
      <alignment vertical="center"/>
    </xf>
    <xf numFmtId="0" fontId="22" fillId="2" borderId="39" xfId="2" applyFont="1" applyBorder="1" applyAlignment="1">
      <alignment horizontal="center" vertical="center" wrapText="1"/>
    </xf>
    <xf numFmtId="181" fontId="23" fillId="2" borderId="73" xfId="2" quotePrefix="1" applyNumberFormat="1" applyFont="1" applyBorder="1" applyAlignment="1">
      <alignment horizontal="center" vertical="center"/>
    </xf>
    <xf numFmtId="177" fontId="24" fillId="2" borderId="12" xfId="2" applyNumberFormat="1" applyFont="1" applyBorder="1">
      <alignment vertical="center"/>
    </xf>
    <xf numFmtId="177" fontId="24" fillId="2" borderId="14" xfId="2" applyNumberFormat="1" applyFont="1" applyBorder="1">
      <alignment vertical="center"/>
    </xf>
    <xf numFmtId="177" fontId="24" fillId="2" borderId="13" xfId="2" applyNumberFormat="1" applyFont="1" applyBorder="1">
      <alignment vertical="center"/>
    </xf>
    <xf numFmtId="177" fontId="24" fillId="2" borderId="15" xfId="2" applyNumberFormat="1" applyFont="1" applyBorder="1">
      <alignment vertical="center"/>
    </xf>
    <xf numFmtId="177" fontId="25" fillId="14" borderId="73" xfId="2" applyNumberFormat="1" applyFont="1" applyFill="1" applyBorder="1" applyAlignment="1">
      <alignment horizontal="right" vertical="center"/>
    </xf>
    <xf numFmtId="177" fontId="24" fillId="2" borderId="63" xfId="2" applyNumberFormat="1" applyFont="1" applyBorder="1" applyAlignment="1">
      <alignment horizontal="right" vertical="center"/>
    </xf>
    <xf numFmtId="177" fontId="25" fillId="14" borderId="41" xfId="2" applyNumberFormat="1" applyFont="1" applyFill="1" applyBorder="1">
      <alignment vertical="center"/>
    </xf>
    <xf numFmtId="177" fontId="24" fillId="2" borderId="44" xfId="2" applyNumberFormat="1" applyFont="1" applyBorder="1">
      <alignment vertical="center"/>
    </xf>
    <xf numFmtId="177" fontId="25" fillId="14" borderId="63" xfId="2" applyNumberFormat="1" applyFont="1" applyFill="1" applyBorder="1">
      <alignment vertical="center"/>
    </xf>
    <xf numFmtId="177" fontId="24" fillId="2" borderId="74" xfId="2" applyNumberFormat="1" applyFont="1" applyBorder="1">
      <alignment vertical="center"/>
    </xf>
    <xf numFmtId="177" fontId="24" fillId="2" borderId="75" xfId="2" applyNumberFormat="1" applyFont="1" applyBorder="1">
      <alignment vertical="center"/>
    </xf>
    <xf numFmtId="0" fontId="22" fillId="2" borderId="47" xfId="2" applyFont="1" applyBorder="1" applyAlignment="1">
      <alignment horizontal="center" vertical="center"/>
    </xf>
    <xf numFmtId="181" fontId="23" fillId="2" borderId="66" xfId="2" quotePrefix="1" applyNumberFormat="1" applyFont="1" applyBorder="1" applyAlignment="1">
      <alignment horizontal="center" vertical="center"/>
    </xf>
    <xf numFmtId="177" fontId="24" fillId="2" borderId="21" xfId="2" applyNumberFormat="1" applyFont="1" applyBorder="1">
      <alignment vertical="center"/>
    </xf>
    <xf numFmtId="177" fontId="24" fillId="2" borderId="19" xfId="2" applyNumberFormat="1" applyFont="1" applyBorder="1">
      <alignment vertical="center"/>
    </xf>
    <xf numFmtId="177" fontId="24" fillId="2" borderId="18" xfId="2" applyNumberFormat="1" applyFont="1" applyBorder="1">
      <alignment vertical="center"/>
    </xf>
    <xf numFmtId="177" fontId="24" fillId="2" borderId="22" xfId="2" applyNumberFormat="1" applyFont="1" applyBorder="1">
      <alignment vertical="center"/>
    </xf>
    <xf numFmtId="177" fontId="25" fillId="14" borderId="66" xfId="2" applyNumberFormat="1" applyFont="1" applyFill="1" applyBorder="1" applyAlignment="1">
      <alignment horizontal="right" vertical="center"/>
    </xf>
    <xf numFmtId="177" fontId="24" fillId="2" borderId="66" xfId="2" applyNumberFormat="1" applyFont="1" applyBorder="1" applyAlignment="1">
      <alignment horizontal="right" vertical="center"/>
    </xf>
    <xf numFmtId="177" fontId="25" fillId="14" borderId="21" xfId="2" applyNumberFormat="1" applyFont="1" applyFill="1" applyBorder="1">
      <alignment vertical="center"/>
    </xf>
    <xf numFmtId="177" fontId="25" fillId="14" borderId="66" xfId="2" applyNumberFormat="1" applyFont="1" applyFill="1" applyBorder="1">
      <alignment vertical="center"/>
    </xf>
    <xf numFmtId="177" fontId="24" fillId="2" borderId="67" xfId="2" applyNumberFormat="1" applyFont="1" applyBorder="1">
      <alignment vertical="center"/>
    </xf>
    <xf numFmtId="177" fontId="24" fillId="2" borderId="68" xfId="2" applyNumberFormat="1" applyFont="1" applyBorder="1">
      <alignment vertical="center"/>
    </xf>
    <xf numFmtId="182" fontId="22" fillId="2" borderId="47" xfId="2" applyNumberFormat="1" applyFont="1" applyBorder="1" applyAlignment="1">
      <alignment horizontal="right" vertical="center"/>
    </xf>
    <xf numFmtId="184" fontId="26" fillId="2" borderId="47" xfId="2" quotePrefix="1" applyNumberFormat="1" applyFont="1" applyBorder="1" applyAlignment="1">
      <alignment horizontal="center" vertical="center" wrapText="1"/>
    </xf>
    <xf numFmtId="187" fontId="5" fillId="2" borderId="47" xfId="2" quotePrefix="1" applyNumberFormat="1" applyFont="1" applyBorder="1" applyAlignment="1">
      <alignment horizontal="center" vertical="center" wrapText="1"/>
    </xf>
    <xf numFmtId="0" fontId="27" fillId="2" borderId="47" xfId="4" applyFont="1" applyBorder="1" applyAlignment="1">
      <alignment horizontal="center" vertical="center"/>
    </xf>
    <xf numFmtId="177" fontId="24" fillId="2" borderId="76" xfId="2" applyNumberFormat="1" applyFont="1" applyBorder="1">
      <alignment vertical="center"/>
    </xf>
    <xf numFmtId="179" fontId="24" fillId="2" borderId="76" xfId="4" applyNumberFormat="1" applyFont="1" applyBorder="1">
      <alignment vertical="center"/>
    </xf>
    <xf numFmtId="179" fontId="24" fillId="2" borderId="68" xfId="4" applyNumberFormat="1" applyFont="1" applyBorder="1">
      <alignment vertical="center"/>
    </xf>
    <xf numFmtId="187" fontId="5" fillId="2" borderId="48" xfId="2" quotePrefix="1" applyNumberFormat="1" applyFont="1" applyBorder="1" applyAlignment="1">
      <alignment horizontal="center" vertical="center" wrapText="1"/>
    </xf>
    <xf numFmtId="181" fontId="23" fillId="2" borderId="25" xfId="2" quotePrefix="1" applyNumberFormat="1" applyFont="1" applyBorder="1" applyAlignment="1">
      <alignment horizontal="center" vertical="center"/>
    </xf>
    <xf numFmtId="177" fontId="24" fillId="2" borderId="27" xfId="2" applyNumberFormat="1" applyFont="1" applyBorder="1">
      <alignment vertical="center"/>
    </xf>
    <xf numFmtId="177" fontId="25" fillId="14" borderId="70" xfId="2" applyNumberFormat="1" applyFont="1" applyFill="1" applyBorder="1" applyAlignment="1">
      <alignment horizontal="right" vertical="center"/>
    </xf>
    <xf numFmtId="177" fontId="24" fillId="2" borderId="25" xfId="2" applyNumberFormat="1" applyFont="1" applyBorder="1" applyAlignment="1">
      <alignment horizontal="right" vertical="center"/>
    </xf>
    <xf numFmtId="177" fontId="24" fillId="2" borderId="26" xfId="2" applyNumberFormat="1" applyFont="1" applyBorder="1">
      <alignment vertical="center"/>
    </xf>
    <xf numFmtId="177" fontId="25" fillId="14" borderId="26" xfId="2" applyNumberFormat="1" applyFont="1" applyFill="1" applyBorder="1">
      <alignment vertical="center"/>
    </xf>
    <xf numFmtId="177" fontId="24" fillId="2" borderId="28" xfId="2" applyNumberFormat="1" applyFont="1" applyBorder="1">
      <alignment vertical="center"/>
    </xf>
    <xf numFmtId="177" fontId="25" fillId="14" borderId="70" xfId="2" applyNumberFormat="1" applyFont="1" applyFill="1" applyBorder="1">
      <alignment vertical="center"/>
    </xf>
    <xf numFmtId="179" fontId="24" fillId="2" borderId="77" xfId="4" applyNumberFormat="1" applyFont="1" applyBorder="1">
      <alignment vertical="center"/>
    </xf>
    <xf numFmtId="179" fontId="24" fillId="2" borderId="72" xfId="4" applyNumberFormat="1" applyFont="1" applyBorder="1">
      <alignment vertical="center"/>
    </xf>
    <xf numFmtId="177" fontId="24" fillId="2" borderId="78" xfId="2" applyNumberFormat="1" applyFont="1" applyBorder="1">
      <alignment vertical="center"/>
    </xf>
    <xf numFmtId="177" fontId="24" fillId="2" borderId="79" xfId="2" applyNumberFormat="1" applyFont="1" applyBorder="1">
      <alignment vertical="center"/>
    </xf>
    <xf numFmtId="49" fontId="13" fillId="2" borderId="0" xfId="4" applyNumberFormat="1" applyFont="1">
      <alignment vertical="center"/>
    </xf>
    <xf numFmtId="181" fontId="23" fillId="2" borderId="34" xfId="2" quotePrefix="1" applyNumberFormat="1" applyFont="1" applyBorder="1" applyAlignment="1">
      <alignment horizontal="center" vertical="center"/>
    </xf>
    <xf numFmtId="177" fontId="24" fillId="2" borderId="35" xfId="2" applyNumberFormat="1" applyFont="1" applyBorder="1">
      <alignment vertical="center"/>
    </xf>
    <xf numFmtId="177" fontId="25" fillId="14" borderId="69" xfId="2" applyNumberFormat="1" applyFont="1" applyFill="1" applyBorder="1" applyAlignment="1">
      <alignment horizontal="right" vertical="center"/>
    </xf>
    <xf numFmtId="177" fontId="24" fillId="2" borderId="34" xfId="2" applyNumberFormat="1" applyFont="1" applyBorder="1" applyAlignment="1">
      <alignment horizontal="right" vertical="center"/>
    </xf>
    <xf numFmtId="177" fontId="24" fillId="2" borderId="32" xfId="2" applyNumberFormat="1" applyFont="1" applyBorder="1">
      <alignment vertical="center"/>
    </xf>
    <xf numFmtId="177" fontId="25" fillId="14" borderId="32" xfId="2" applyNumberFormat="1" applyFont="1" applyFill="1" applyBorder="1">
      <alignment vertical="center"/>
    </xf>
    <xf numFmtId="177" fontId="24" fillId="2" borderId="36" xfId="2" applyNumberFormat="1" applyFont="1" applyBorder="1">
      <alignment vertical="center"/>
    </xf>
    <xf numFmtId="177" fontId="25" fillId="14" borderId="69" xfId="2" applyNumberFormat="1" applyFont="1" applyFill="1" applyBorder="1">
      <alignment vertical="center"/>
    </xf>
    <xf numFmtId="179" fontId="24" fillId="2" borderId="80" xfId="4" applyNumberFormat="1" applyFont="1" applyBorder="1">
      <alignment vertical="center"/>
    </xf>
    <xf numFmtId="179" fontId="24" fillId="2" borderId="75" xfId="4" applyNumberFormat="1" applyFont="1" applyBorder="1">
      <alignment vertical="center"/>
    </xf>
    <xf numFmtId="181" fontId="23" fillId="2" borderId="20" xfId="2" quotePrefix="1" applyNumberFormat="1" applyFont="1" applyBorder="1" applyAlignment="1">
      <alignment horizontal="center" vertical="center"/>
    </xf>
    <xf numFmtId="177" fontId="24" fillId="2" borderId="20" xfId="2" applyNumberFormat="1" applyFont="1" applyBorder="1" applyAlignment="1">
      <alignment horizontal="right" vertical="center"/>
    </xf>
    <xf numFmtId="181" fontId="23" fillId="5" borderId="20" xfId="2" quotePrefix="1" applyNumberFormat="1" applyFont="1" applyFill="1" applyBorder="1" applyAlignment="1">
      <alignment horizontal="center" vertical="center"/>
    </xf>
    <xf numFmtId="177" fontId="24" fillId="5" borderId="18" xfId="2" applyNumberFormat="1" applyFont="1" applyFill="1" applyBorder="1">
      <alignment vertical="center"/>
    </xf>
    <xf numFmtId="177" fontId="24" fillId="5" borderId="20" xfId="2" applyNumberFormat="1" applyFont="1" applyFill="1" applyBorder="1" applyAlignment="1">
      <alignment horizontal="right" vertical="center"/>
    </xf>
    <xf numFmtId="177" fontId="24" fillId="5" borderId="21" xfId="2" applyNumberFormat="1" applyFont="1" applyFill="1" applyBorder="1">
      <alignment vertical="center"/>
    </xf>
    <xf numFmtId="177" fontId="24" fillId="5" borderId="19" xfId="2" applyNumberFormat="1" applyFont="1" applyFill="1" applyBorder="1">
      <alignment vertical="center"/>
    </xf>
    <xf numFmtId="179" fontId="24" fillId="5" borderId="66" xfId="4" applyNumberFormat="1" applyFont="1" applyFill="1" applyBorder="1">
      <alignment vertical="center"/>
    </xf>
    <xf numFmtId="179" fontId="24" fillId="5" borderId="19" xfId="4" applyNumberFormat="1" applyFont="1" applyFill="1" applyBorder="1">
      <alignment vertical="center"/>
    </xf>
    <xf numFmtId="179" fontId="24" fillId="2" borderId="70" xfId="4" applyNumberFormat="1" applyFont="1" applyBorder="1">
      <alignment vertical="center"/>
    </xf>
    <xf numFmtId="179" fontId="24" fillId="2" borderId="28" xfId="4" applyNumberFormat="1" applyFont="1" applyBorder="1">
      <alignment vertical="center"/>
    </xf>
    <xf numFmtId="179" fontId="24" fillId="2" borderId="81" xfId="4" applyNumberFormat="1" applyFont="1" applyBorder="1">
      <alignment vertical="center"/>
    </xf>
    <xf numFmtId="179" fontId="24" fillId="2" borderId="82" xfId="4" applyNumberFormat="1" applyFont="1" applyBorder="1">
      <alignment vertical="center"/>
    </xf>
    <xf numFmtId="179" fontId="24" fillId="2" borderId="66" xfId="4" applyNumberFormat="1" applyFont="1" applyBorder="1">
      <alignment vertical="center"/>
    </xf>
    <xf numFmtId="179" fontId="24" fillId="2" borderId="19" xfId="4" applyNumberFormat="1" applyFont="1" applyBorder="1">
      <alignment vertical="center"/>
    </xf>
    <xf numFmtId="0" fontId="13" fillId="2" borderId="0" xfId="4" applyFont="1" applyAlignment="1">
      <alignment horizontal="center" vertical="center"/>
    </xf>
    <xf numFmtId="178" fontId="13" fillId="2" borderId="0" xfId="4" applyNumberFormat="1" applyFont="1" applyAlignment="1">
      <alignment horizontal="center" vertical="center"/>
    </xf>
    <xf numFmtId="179" fontId="13" fillId="2" borderId="0" xfId="4" applyNumberFormat="1" applyFont="1" applyAlignment="1">
      <alignment horizontal="center" vertical="center"/>
    </xf>
    <xf numFmtId="177" fontId="14" fillId="6" borderId="81" xfId="2" applyNumberFormat="1" applyFont="1" applyFill="1" applyBorder="1">
      <alignment vertical="center"/>
    </xf>
    <xf numFmtId="177" fontId="14" fillId="6" borderId="83" xfId="2" applyNumberFormat="1" applyFont="1" applyFill="1" applyBorder="1">
      <alignment vertical="center"/>
    </xf>
    <xf numFmtId="177" fontId="14" fillId="6" borderId="84" xfId="2" applyNumberFormat="1" applyFont="1" applyFill="1" applyBorder="1">
      <alignment vertical="center"/>
    </xf>
    <xf numFmtId="177" fontId="14" fillId="6" borderId="81" xfId="2" applyNumberFormat="1" applyFont="1" applyFill="1" applyBorder="1" applyAlignment="1">
      <alignment horizontal="right" vertical="center" wrapText="1"/>
    </xf>
    <xf numFmtId="177" fontId="14" fillId="6" borderId="84" xfId="2" applyNumberFormat="1" applyFont="1" applyFill="1" applyBorder="1" applyAlignment="1">
      <alignment horizontal="left" vertical="center" wrapText="1"/>
    </xf>
    <xf numFmtId="0" fontId="13" fillId="15" borderId="0" xfId="4" applyFont="1" applyFill="1" applyAlignment="1">
      <alignment horizontal="center" vertical="center"/>
    </xf>
    <xf numFmtId="0" fontId="13" fillId="16" borderId="0" xfId="4" applyFont="1" applyFill="1" applyAlignment="1">
      <alignment horizontal="center" vertical="center"/>
    </xf>
    <xf numFmtId="0" fontId="13" fillId="5" borderId="0" xfId="4" applyFont="1" applyFill="1" applyAlignment="1">
      <alignment horizontal="center" vertical="center"/>
    </xf>
    <xf numFmtId="0" fontId="13" fillId="13" borderId="0" xfId="4" applyFont="1" applyFill="1" applyAlignment="1">
      <alignment horizontal="center" vertical="center"/>
    </xf>
    <xf numFmtId="0" fontId="18" fillId="6" borderId="0" xfId="4" applyFont="1" applyFill="1" applyAlignment="1">
      <alignment horizontal="center" vertical="center"/>
    </xf>
    <xf numFmtId="0" fontId="13" fillId="9" borderId="0" xfId="4" applyFont="1" applyFill="1" applyAlignment="1">
      <alignment horizontal="center" vertical="center"/>
    </xf>
    <xf numFmtId="0" fontId="8" fillId="2" borderId="0" xfId="6" applyAlignment="1">
      <alignment vertical="center"/>
    </xf>
    <xf numFmtId="178" fontId="13" fillId="2" borderId="5" xfId="3" applyNumberFormat="1" applyFont="1" applyBorder="1" applyAlignment="1">
      <alignment horizontal="center" vertical="top" wrapText="1"/>
    </xf>
    <xf numFmtId="0" fontId="15" fillId="2" borderId="5" xfId="5" applyFont="1" applyBorder="1" applyAlignment="1">
      <alignment horizontal="center" vertical="top" wrapText="1"/>
    </xf>
    <xf numFmtId="0" fontId="15" fillId="7" borderId="5" xfId="5" applyFont="1" applyFill="1" applyBorder="1" applyAlignment="1">
      <alignment horizontal="center" vertical="top" wrapText="1"/>
    </xf>
    <xf numFmtId="0" fontId="15" fillId="8" borderId="5" xfId="5" applyFont="1" applyFill="1" applyBorder="1" applyAlignment="1">
      <alignment horizontal="center" vertical="top" wrapText="1"/>
    </xf>
    <xf numFmtId="0" fontId="15" fillId="9" borderId="5" xfId="5" applyFont="1" applyFill="1" applyBorder="1" applyAlignment="1">
      <alignment horizontal="center" vertical="top" wrapText="1"/>
    </xf>
    <xf numFmtId="0" fontId="15" fillId="10" borderId="5" xfId="5" applyFont="1" applyFill="1" applyBorder="1" applyAlignment="1">
      <alignment horizontal="center" vertical="top" wrapText="1"/>
    </xf>
    <xf numFmtId="0" fontId="15" fillId="11" borderId="5" xfId="5" applyFont="1" applyFill="1" applyBorder="1" applyAlignment="1">
      <alignment horizontal="center" vertical="top" wrapText="1"/>
    </xf>
    <xf numFmtId="0" fontId="18" fillId="12" borderId="5" xfId="5" applyFont="1" applyFill="1" applyBorder="1" applyAlignment="1">
      <alignment horizontal="center" vertical="top" wrapText="1"/>
    </xf>
    <xf numFmtId="0" fontId="15" fillId="13" borderId="5" xfId="5" applyFont="1" applyFill="1" applyBorder="1" applyAlignment="1">
      <alignment horizontal="center" vertical="top" wrapText="1"/>
    </xf>
    <xf numFmtId="0" fontId="13" fillId="2" borderId="5" xfId="5" applyFont="1" applyBorder="1" applyAlignment="1">
      <alignment horizontal="center" vertical="top" wrapText="1"/>
    </xf>
    <xf numFmtId="177" fontId="13" fillId="2" borderId="5" xfId="2" applyNumberFormat="1" applyFont="1" applyBorder="1" applyAlignment="1">
      <alignment horizontal="center" vertical="top" wrapText="1"/>
    </xf>
    <xf numFmtId="178" fontId="24" fillId="2" borderId="14" xfId="6" applyNumberFormat="1" applyFont="1" applyBorder="1" applyAlignment="1">
      <alignment vertical="center"/>
    </xf>
    <xf numFmtId="0" fontId="24" fillId="2" borderId="14" xfId="6" applyFont="1" applyBorder="1" applyAlignment="1">
      <alignment vertical="center"/>
    </xf>
    <xf numFmtId="0" fontId="24" fillId="14" borderId="14" xfId="6" applyFont="1" applyFill="1" applyBorder="1" applyAlignment="1">
      <alignment vertical="center"/>
    </xf>
    <xf numFmtId="177" fontId="24" fillId="2" borderId="14" xfId="6" applyNumberFormat="1" applyFont="1" applyBorder="1" applyAlignment="1">
      <alignment vertical="center"/>
    </xf>
    <xf numFmtId="177" fontId="24" fillId="2" borderId="65" xfId="6" applyNumberFormat="1" applyFont="1" applyBorder="1" applyAlignment="1">
      <alignment vertical="center"/>
    </xf>
    <xf numFmtId="178" fontId="24" fillId="2" borderId="85" xfId="6" applyNumberFormat="1" applyFont="1" applyBorder="1" applyAlignment="1">
      <alignment vertical="center"/>
    </xf>
    <xf numFmtId="0" fontId="24" fillId="2" borderId="85" xfId="6" applyFont="1" applyBorder="1" applyAlignment="1">
      <alignment vertical="center"/>
    </xf>
    <xf numFmtId="0" fontId="24" fillId="14" borderId="85" xfId="6" applyFont="1" applyFill="1" applyBorder="1" applyAlignment="1">
      <alignment vertical="center"/>
    </xf>
    <xf numFmtId="177" fontId="24" fillId="2" borderId="85" xfId="6" applyNumberFormat="1" applyFont="1" applyBorder="1" applyAlignment="1">
      <alignment vertical="center"/>
    </xf>
    <xf numFmtId="177" fontId="24" fillId="2" borderId="85" xfId="2" applyNumberFormat="1" applyFont="1" applyBorder="1">
      <alignment vertical="center"/>
    </xf>
    <xf numFmtId="181" fontId="23" fillId="0" borderId="20" xfId="2" quotePrefix="1" applyNumberFormat="1" applyFont="1" applyFill="1" applyBorder="1" applyAlignment="1">
      <alignment horizontal="center" vertical="center"/>
    </xf>
    <xf numFmtId="177" fontId="24" fillId="0" borderId="18" xfId="2" applyNumberFormat="1" applyFont="1" applyFill="1" applyBorder="1">
      <alignment vertical="center"/>
    </xf>
    <xf numFmtId="177" fontId="24" fillId="0" borderId="21" xfId="2" applyNumberFormat="1" applyFont="1" applyFill="1" applyBorder="1">
      <alignment vertical="center"/>
    </xf>
    <xf numFmtId="177" fontId="24" fillId="0" borderId="20" xfId="2" applyNumberFormat="1" applyFont="1" applyFill="1" applyBorder="1" applyAlignment="1">
      <alignment horizontal="right" vertical="center"/>
    </xf>
    <xf numFmtId="177" fontId="24" fillId="0" borderId="19" xfId="2" applyNumberFormat="1" applyFont="1" applyFill="1" applyBorder="1">
      <alignment vertical="center"/>
    </xf>
    <xf numFmtId="179" fontId="24" fillId="0" borderId="76" xfId="4" applyNumberFormat="1" applyFont="1" applyFill="1" applyBorder="1">
      <alignment vertical="center"/>
    </xf>
    <xf numFmtId="179" fontId="24" fillId="0" borderId="68" xfId="4" applyNumberFormat="1" applyFont="1" applyFill="1" applyBorder="1">
      <alignment vertical="center"/>
    </xf>
    <xf numFmtId="181" fontId="23" fillId="5" borderId="25" xfId="2" quotePrefix="1" applyNumberFormat="1" applyFont="1" applyFill="1" applyBorder="1" applyAlignment="1">
      <alignment horizontal="center" vertical="center"/>
    </xf>
    <xf numFmtId="177" fontId="24" fillId="5" borderId="27" xfId="2" applyNumberFormat="1" applyFont="1" applyFill="1" applyBorder="1">
      <alignment vertical="center"/>
    </xf>
    <xf numFmtId="177" fontId="24" fillId="5" borderId="25" xfId="2" applyNumberFormat="1" applyFont="1" applyFill="1" applyBorder="1" applyAlignment="1">
      <alignment horizontal="right" vertical="center"/>
    </xf>
    <xf numFmtId="177" fontId="24" fillId="5" borderId="26" xfId="2" applyNumberFormat="1" applyFont="1" applyFill="1" applyBorder="1">
      <alignment vertical="center"/>
    </xf>
    <xf numFmtId="177" fontId="24" fillId="5" borderId="28" xfId="2" applyNumberFormat="1" applyFont="1" applyFill="1" applyBorder="1">
      <alignment vertical="center"/>
    </xf>
    <xf numFmtId="179" fontId="24" fillId="5" borderId="70" xfId="4" applyNumberFormat="1" applyFont="1" applyFill="1" applyBorder="1">
      <alignment vertical="center"/>
    </xf>
    <xf numFmtId="179" fontId="24" fillId="5" borderId="28" xfId="4" applyNumberFormat="1" applyFont="1" applyFill="1" applyBorder="1">
      <alignment vertical="center"/>
    </xf>
    <xf numFmtId="178" fontId="24" fillId="2" borderId="86" xfId="6" applyNumberFormat="1" applyFont="1" applyBorder="1" applyAlignment="1">
      <alignment vertical="center"/>
    </xf>
    <xf numFmtId="0" fontId="24" fillId="2" borderId="86" xfId="6" applyFont="1" applyBorder="1" applyAlignment="1">
      <alignment vertical="center"/>
    </xf>
    <xf numFmtId="0" fontId="24" fillId="14" borderId="86" xfId="6" applyFont="1" applyFill="1" applyBorder="1" applyAlignment="1">
      <alignment vertical="center"/>
    </xf>
    <xf numFmtId="177" fontId="24" fillId="2" borderId="86" xfId="6" applyNumberFormat="1" applyFont="1" applyBorder="1" applyAlignment="1">
      <alignment vertical="center"/>
    </xf>
    <xf numFmtId="177" fontId="24" fillId="2" borderId="86" xfId="2" applyNumberFormat="1" applyFont="1" applyBorder="1">
      <alignment vertical="center"/>
    </xf>
    <xf numFmtId="0" fontId="29" fillId="0" borderId="61" xfId="0" applyFont="1" applyBorder="1" applyAlignment="1">
      <alignment horizontal="center" vertical="top" wrapText="1"/>
    </xf>
    <xf numFmtId="188" fontId="29" fillId="0" borderId="61" xfId="0" applyNumberFormat="1" applyFont="1" applyBorder="1" applyAlignment="1">
      <alignment horizontal="center" vertical="top" wrapText="1"/>
    </xf>
    <xf numFmtId="188" fontId="27" fillId="0" borderId="61" xfId="0" applyNumberFormat="1" applyFont="1" applyBorder="1" applyAlignment="1">
      <alignment horizontal="center" vertical="top" wrapText="1"/>
    </xf>
    <xf numFmtId="0" fontId="29" fillId="0" borderId="61" xfId="0" applyFont="1" applyBorder="1" applyAlignment="1">
      <alignment horizontal="center" vertical="top"/>
    </xf>
    <xf numFmtId="181" fontId="13" fillId="0" borderId="61" xfId="0" applyNumberFormat="1" applyFont="1" applyBorder="1" applyAlignment="1">
      <alignment horizontal="center" vertical="top" wrapText="1"/>
    </xf>
    <xf numFmtId="178" fontId="13" fillId="0" borderId="61" xfId="0" applyNumberFormat="1" applyFont="1" applyBorder="1" applyAlignment="1">
      <alignment horizontal="center" vertical="top" wrapText="1"/>
    </xf>
    <xf numFmtId="178" fontId="29" fillId="17" borderId="61" xfId="0" applyNumberFormat="1" applyFont="1" applyFill="1" applyBorder="1" applyAlignment="1">
      <alignment horizontal="center" vertical="top" wrapText="1"/>
    </xf>
    <xf numFmtId="0" fontId="33" fillId="0" borderId="61" xfId="0" applyFont="1" applyBorder="1" applyAlignment="1">
      <alignment horizontal="center" vertical="top"/>
    </xf>
    <xf numFmtId="181" fontId="13" fillId="15" borderId="61" xfId="0" applyNumberFormat="1" applyFont="1" applyFill="1" applyBorder="1" applyAlignment="1">
      <alignment horizontal="center" vertical="top" wrapText="1"/>
    </xf>
    <xf numFmtId="181" fontId="16" fillId="18" borderId="61" xfId="0" applyNumberFormat="1" applyFont="1" applyFill="1" applyBorder="1" applyAlignment="1">
      <alignment horizontal="center" vertical="top" wrapText="1"/>
    </xf>
    <xf numFmtId="178" fontId="27" fillId="19" borderId="61" xfId="0" applyNumberFormat="1" applyFont="1" applyFill="1" applyBorder="1" applyAlignment="1">
      <alignment horizontal="center" vertical="top" wrapText="1"/>
    </xf>
    <xf numFmtId="0" fontId="13" fillId="20" borderId="61" xfId="0" applyFont="1" applyFill="1" applyBorder="1" applyAlignment="1">
      <alignment horizontal="center" vertical="top" textRotation="255"/>
    </xf>
    <xf numFmtId="178" fontId="29" fillId="15" borderId="14" xfId="0" applyNumberFormat="1" applyFont="1" applyFill="1" applyBorder="1" applyAlignment="1">
      <alignment horizontal="center" vertical="top" wrapText="1"/>
    </xf>
    <xf numFmtId="178" fontId="29" fillId="15" borderId="87" xfId="0" applyNumberFormat="1" applyFont="1" applyFill="1" applyBorder="1" applyAlignment="1">
      <alignment horizontal="center" vertical="top" wrapText="1"/>
    </xf>
    <xf numFmtId="178" fontId="29" fillId="15" borderId="88" xfId="0" applyNumberFormat="1" applyFont="1" applyFill="1" applyBorder="1" applyAlignment="1">
      <alignment horizontal="center" vertical="top" wrapText="1"/>
    </xf>
    <xf numFmtId="178" fontId="29" fillId="15" borderId="89" xfId="0" applyNumberFormat="1" applyFont="1" applyFill="1" applyBorder="1" applyAlignment="1">
      <alignment horizontal="center" vertical="top" wrapText="1"/>
    </xf>
    <xf numFmtId="178" fontId="29" fillId="18" borderId="87" xfId="0" applyNumberFormat="1" applyFont="1" applyFill="1" applyBorder="1" applyAlignment="1">
      <alignment horizontal="center" vertical="top" wrapText="1"/>
    </xf>
    <xf numFmtId="178" fontId="29" fillId="18" borderId="89" xfId="0" applyNumberFormat="1" applyFont="1" applyFill="1" applyBorder="1" applyAlignment="1">
      <alignment horizontal="center" vertical="top" wrapText="1"/>
    </xf>
    <xf numFmtId="178" fontId="29" fillId="18" borderId="14" xfId="0" applyNumberFormat="1" applyFont="1" applyFill="1" applyBorder="1" applyAlignment="1">
      <alignment horizontal="center" vertical="top" wrapText="1"/>
    </xf>
    <xf numFmtId="178" fontId="29" fillId="18" borderId="88" xfId="0" applyNumberFormat="1" applyFont="1" applyFill="1" applyBorder="1" applyAlignment="1">
      <alignment horizontal="center" vertical="top" wrapText="1"/>
    </xf>
    <xf numFmtId="178" fontId="29" fillId="19" borderId="87" xfId="0" applyNumberFormat="1" applyFont="1" applyFill="1" applyBorder="1" applyAlignment="1">
      <alignment horizontal="center" vertical="top" wrapText="1"/>
    </xf>
    <xf numFmtId="178" fontId="29" fillId="19" borderId="88" xfId="0" applyNumberFormat="1" applyFont="1" applyFill="1" applyBorder="1" applyAlignment="1">
      <alignment horizontal="center" vertical="top" wrapText="1"/>
    </xf>
    <xf numFmtId="178" fontId="29" fillId="19" borderId="88" xfId="0" applyNumberFormat="1" applyFont="1" applyFill="1" applyBorder="1" applyAlignment="1">
      <alignment horizontal="center" vertical="top"/>
    </xf>
    <xf numFmtId="178" fontId="29" fillId="19" borderId="89" xfId="0" applyNumberFormat="1" applyFont="1" applyFill="1" applyBorder="1" applyAlignment="1">
      <alignment horizontal="center" vertical="top"/>
    </xf>
    <xf numFmtId="178" fontId="29" fillId="19" borderId="89" xfId="0" applyNumberFormat="1" applyFont="1" applyFill="1" applyBorder="1" applyAlignment="1">
      <alignment horizontal="center" vertical="top" wrapText="1"/>
    </xf>
    <xf numFmtId="178" fontId="34" fillId="19" borderId="14" xfId="0" applyNumberFormat="1" applyFont="1" applyFill="1" applyBorder="1" applyAlignment="1">
      <alignment horizontal="center" vertical="top" wrapText="1"/>
    </xf>
    <xf numFmtId="49" fontId="27" fillId="0" borderId="61" xfId="0" applyNumberFormat="1" applyFont="1" applyBorder="1" applyAlignment="1">
      <alignment horizontal="center" vertical="top" wrapText="1"/>
    </xf>
    <xf numFmtId="0" fontId="27" fillId="0" borderId="61" xfId="0" applyFont="1" applyBorder="1" applyAlignment="1">
      <alignment horizontal="center" vertical="top"/>
    </xf>
    <xf numFmtId="0" fontId="27" fillId="0" borderId="61" xfId="1" applyNumberFormat="1" applyFont="1" applyBorder="1" applyAlignment="1">
      <alignment horizontal="center" vertical="top" wrapText="1"/>
    </xf>
    <xf numFmtId="49" fontId="29" fillId="0" borderId="61" xfId="0" applyNumberFormat="1" applyFont="1" applyBorder="1" applyAlignment="1">
      <alignment horizontal="center" vertical="top" wrapText="1"/>
    </xf>
    <xf numFmtId="181" fontId="29" fillId="0" borderId="61" xfId="0" applyNumberFormat="1" applyFont="1" applyBorder="1" applyAlignment="1">
      <alignment horizontal="center" vertical="top" wrapText="1"/>
    </xf>
    <xf numFmtId="0" fontId="13" fillId="0" borderId="61" xfId="0" applyFont="1" applyBorder="1" applyAlignment="1">
      <alignment horizontal="center" vertical="top" wrapText="1"/>
    </xf>
    <xf numFmtId="0" fontId="13" fillId="15" borderId="61" xfId="0" applyFont="1" applyFill="1" applyBorder="1" applyAlignment="1">
      <alignment horizontal="center" vertical="top" wrapText="1"/>
    </xf>
    <xf numFmtId="0" fontId="13" fillId="18" borderId="61" xfId="0" applyFont="1" applyFill="1" applyBorder="1" applyAlignment="1">
      <alignment horizontal="center" vertical="top" wrapText="1"/>
    </xf>
    <xf numFmtId="0" fontId="16" fillId="0" borderId="61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/>
    </xf>
    <xf numFmtId="0" fontId="27" fillId="0" borderId="19" xfId="0" applyFont="1" applyBorder="1" applyAlignment="1">
      <alignment horizontal="center" vertical="center"/>
    </xf>
    <xf numFmtId="188" fontId="27" fillId="0" borderId="68" xfId="0" applyNumberFormat="1" applyFont="1" applyBorder="1" applyAlignment="1">
      <alignment horizontal="center" vertical="center"/>
    </xf>
    <xf numFmtId="188" fontId="27" fillId="0" borderId="19" xfId="0" applyNumberFormat="1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top"/>
    </xf>
    <xf numFmtId="181" fontId="27" fillId="0" borderId="19" xfId="0" applyNumberFormat="1" applyFont="1" applyBorder="1" applyAlignment="1">
      <alignment horizontal="right" vertical="center"/>
    </xf>
    <xf numFmtId="178" fontId="27" fillId="0" borderId="19" xfId="0" applyNumberFormat="1" applyFont="1" applyBorder="1" applyAlignment="1">
      <alignment horizontal="right" vertical="center"/>
    </xf>
    <xf numFmtId="0" fontId="33" fillId="0" borderId="19" xfId="0" applyFont="1" applyBorder="1" applyAlignment="1">
      <alignment horizontal="center" vertical="center"/>
    </xf>
    <xf numFmtId="181" fontId="27" fillId="15" borderId="19" xfId="0" applyNumberFormat="1" applyFont="1" applyFill="1" applyBorder="1" applyAlignment="1">
      <alignment horizontal="right" vertical="center"/>
    </xf>
    <xf numFmtId="181" fontId="27" fillId="18" borderId="19" xfId="0" applyNumberFormat="1" applyFont="1" applyFill="1" applyBorder="1" applyAlignment="1">
      <alignment horizontal="right" vertical="center"/>
    </xf>
    <xf numFmtId="178" fontId="27" fillId="19" borderId="19" xfId="0" applyNumberFormat="1" applyFont="1" applyFill="1" applyBorder="1" applyAlignment="1">
      <alignment horizontal="right" vertical="center"/>
    </xf>
    <xf numFmtId="0" fontId="27" fillId="0" borderId="68" xfId="0" applyFont="1" applyBorder="1" applyAlignment="1">
      <alignment horizontal="center" vertical="center"/>
    </xf>
    <xf numFmtId="178" fontId="27" fillId="15" borderId="90" xfId="0" applyNumberFormat="1" applyFont="1" applyFill="1" applyBorder="1" applyAlignment="1">
      <alignment horizontal="center" vertical="center"/>
    </xf>
    <xf numFmtId="178" fontId="27" fillId="0" borderId="91" xfId="0" applyNumberFormat="1" applyFont="1" applyBorder="1" applyAlignment="1">
      <alignment horizontal="center" vertical="center"/>
    </xf>
    <xf numFmtId="178" fontId="27" fillId="0" borderId="92" xfId="0" applyNumberFormat="1" applyFont="1" applyBorder="1" applyAlignment="1">
      <alignment horizontal="center" vertical="center"/>
    </xf>
    <xf numFmtId="178" fontId="27" fillId="0" borderId="93" xfId="0" applyNumberFormat="1" applyFont="1" applyBorder="1" applyAlignment="1">
      <alignment horizontal="center" vertical="center"/>
    </xf>
    <xf numFmtId="178" fontId="27" fillId="0" borderId="94" xfId="0" applyNumberFormat="1" applyFont="1" applyBorder="1" applyAlignment="1">
      <alignment horizontal="center" vertical="center"/>
    </xf>
    <xf numFmtId="178" fontId="27" fillId="18" borderId="19" xfId="0" applyNumberFormat="1" applyFont="1" applyFill="1" applyBorder="1" applyAlignment="1">
      <alignment horizontal="center" vertical="center"/>
    </xf>
    <xf numFmtId="178" fontId="27" fillId="18" borderId="90" xfId="0" applyNumberFormat="1" applyFont="1" applyFill="1" applyBorder="1" applyAlignment="1">
      <alignment horizontal="center" vertical="center"/>
    </xf>
    <xf numFmtId="178" fontId="27" fillId="18" borderId="95" xfId="0" applyNumberFormat="1" applyFont="1" applyFill="1" applyBorder="1" applyAlignment="1">
      <alignment horizontal="center" vertical="center"/>
    </xf>
    <xf numFmtId="178" fontId="27" fillId="19" borderId="96" xfId="0" applyNumberFormat="1" applyFont="1" applyFill="1" applyBorder="1" applyAlignment="1">
      <alignment horizontal="center" vertical="center"/>
    </xf>
    <xf numFmtId="178" fontId="27" fillId="19" borderId="90" xfId="0" applyNumberFormat="1" applyFont="1" applyFill="1" applyBorder="1" applyAlignment="1">
      <alignment horizontal="center" vertical="center"/>
    </xf>
    <xf numFmtId="178" fontId="27" fillId="19" borderId="19" xfId="0" applyNumberFormat="1" applyFont="1" applyFill="1" applyBorder="1" applyAlignment="1">
      <alignment horizontal="center" vertical="center"/>
    </xf>
    <xf numFmtId="49" fontId="27" fillId="0" borderId="19" xfId="0" applyNumberFormat="1" applyFont="1" applyBorder="1" applyAlignment="1">
      <alignment horizontal="center" vertical="center"/>
    </xf>
    <xf numFmtId="0" fontId="27" fillId="0" borderId="19" xfId="0" applyFont="1" applyBorder="1" applyAlignment="1">
      <alignment horizontal="left" vertical="center"/>
    </xf>
    <xf numFmtId="49" fontId="27" fillId="0" borderId="19" xfId="0" applyNumberFormat="1" applyFont="1" applyBorder="1" applyAlignment="1">
      <alignment vertical="center"/>
    </xf>
    <xf numFmtId="49" fontId="27" fillId="0" borderId="19" xfId="0" applyNumberFormat="1" applyFont="1" applyBorder="1" applyAlignment="1">
      <alignment horizontal="left" vertical="center"/>
    </xf>
    <xf numFmtId="0" fontId="27" fillId="2" borderId="19" xfId="7" applyFont="1" applyBorder="1">
      <alignment vertical="center"/>
    </xf>
    <xf numFmtId="181" fontId="27" fillId="2" borderId="19" xfId="7" applyNumberFormat="1" applyFont="1" applyBorder="1">
      <alignment vertical="center"/>
    </xf>
    <xf numFmtId="0" fontId="27" fillId="15" borderId="19" xfId="7" applyFont="1" applyFill="1" applyBorder="1">
      <alignment vertical="center"/>
    </xf>
    <xf numFmtId="0" fontId="27" fillId="18" borderId="19" xfId="7" applyFont="1" applyFill="1" applyBorder="1">
      <alignment vertical="center"/>
    </xf>
    <xf numFmtId="0" fontId="5" fillId="0" borderId="19" xfId="0" applyFont="1" applyBorder="1" applyAlignment="1">
      <alignment vertical="center"/>
    </xf>
    <xf numFmtId="0" fontId="13" fillId="0" borderId="0" xfId="0" applyFont="1" applyAlignment="1">
      <alignment vertical="center"/>
    </xf>
    <xf numFmtId="178" fontId="27" fillId="18" borderId="97" xfId="0" applyNumberFormat="1" applyFont="1" applyFill="1" applyBorder="1" applyAlignment="1">
      <alignment horizontal="center" vertical="center"/>
    </xf>
    <xf numFmtId="178" fontId="27" fillId="0" borderId="68" xfId="0" applyNumberFormat="1" applyFont="1" applyBorder="1" applyAlignment="1">
      <alignment horizontal="center" vertical="center"/>
    </xf>
    <xf numFmtId="0" fontId="27" fillId="0" borderId="68" xfId="0" applyFont="1" applyBorder="1" applyAlignment="1">
      <alignment horizontal="center" vertical="top"/>
    </xf>
    <xf numFmtId="181" fontId="27" fillId="0" borderId="68" xfId="0" applyNumberFormat="1" applyFont="1" applyBorder="1" applyAlignment="1">
      <alignment horizontal="right" vertical="center"/>
    </xf>
    <xf numFmtId="0" fontId="27" fillId="20" borderId="19" xfId="0" applyFont="1" applyFill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49" fontId="5" fillId="0" borderId="19" xfId="0" applyNumberFormat="1" applyFont="1" applyBorder="1" applyAlignment="1">
      <alignment vertical="center"/>
    </xf>
    <xf numFmtId="49" fontId="5" fillId="0" borderId="19" xfId="0" applyNumberFormat="1" applyFont="1" applyBorder="1" applyAlignment="1">
      <alignment horizontal="left" vertical="center"/>
    </xf>
    <xf numFmtId="178" fontId="27" fillId="15" borderId="96" xfId="0" applyNumberFormat="1" applyFont="1" applyFill="1" applyBorder="1" applyAlignment="1">
      <alignment horizontal="center" vertical="center"/>
    </xf>
    <xf numFmtId="178" fontId="27" fillId="2" borderId="91" xfId="0" applyNumberFormat="1" applyFont="1" applyFill="1" applyBorder="1" applyAlignment="1">
      <alignment horizontal="center" vertical="center"/>
    </xf>
    <xf numFmtId="178" fontId="27" fillId="2" borderId="92" xfId="0" applyNumberFormat="1" applyFont="1" applyFill="1" applyBorder="1" applyAlignment="1">
      <alignment horizontal="center" vertical="center"/>
    </xf>
    <xf numFmtId="178" fontId="27" fillId="2" borderId="93" xfId="0" applyNumberFormat="1" applyFont="1" applyFill="1" applyBorder="1" applyAlignment="1">
      <alignment horizontal="center" vertical="center"/>
    </xf>
    <xf numFmtId="178" fontId="27" fillId="2" borderId="94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78" fontId="27" fillId="2" borderId="68" xfId="0" applyNumberFormat="1" applyFont="1" applyFill="1" applyBorder="1" applyAlignment="1">
      <alignment horizontal="center" vertical="center"/>
    </xf>
    <xf numFmtId="178" fontId="27" fillId="15" borderId="97" xfId="0" applyNumberFormat="1" applyFont="1" applyFill="1" applyBorder="1" applyAlignment="1">
      <alignment horizontal="center" vertical="center"/>
    </xf>
    <xf numFmtId="178" fontId="27" fillId="19" borderId="97" xfId="0" applyNumberFormat="1" applyFont="1" applyFill="1" applyBorder="1" applyAlignment="1">
      <alignment horizontal="center" vertical="center"/>
    </xf>
    <xf numFmtId="178" fontId="0" fillId="2" borderId="0" xfId="0" applyNumberFormat="1" applyFill="1" applyAlignment="1">
      <alignment vertical="center"/>
    </xf>
    <xf numFmtId="0" fontId="8" fillId="2" borderId="0" xfId="0" applyFont="1" applyFill="1" applyAlignment="1">
      <alignment vertical="center"/>
    </xf>
    <xf numFmtId="178" fontId="0" fillId="2" borderId="1" xfId="0" applyNumberFormat="1" applyFill="1" applyBorder="1" applyAlignment="1">
      <alignment vertical="center"/>
    </xf>
    <xf numFmtId="178" fontId="0" fillId="2" borderId="0" xfId="0" applyNumberFormat="1" applyFill="1" applyBorder="1" applyAlignment="1">
      <alignment vertical="center"/>
    </xf>
    <xf numFmtId="0" fontId="29" fillId="0" borderId="98" xfId="0" applyFont="1" applyBorder="1" applyAlignment="1">
      <alignment horizontal="center" vertical="top" wrapText="1"/>
    </xf>
    <xf numFmtId="0" fontId="29" fillId="0" borderId="98" xfId="0" applyFont="1" applyBorder="1" applyAlignment="1">
      <alignment horizontal="center" vertical="top"/>
    </xf>
    <xf numFmtId="181" fontId="13" fillId="0" borderId="98" xfId="0" applyNumberFormat="1" applyFont="1" applyBorder="1" applyAlignment="1">
      <alignment horizontal="center" vertical="top" wrapText="1"/>
    </xf>
    <xf numFmtId="178" fontId="13" fillId="0" borderId="98" xfId="0" applyNumberFormat="1" applyFont="1" applyBorder="1" applyAlignment="1">
      <alignment horizontal="center" vertical="top" wrapText="1"/>
    </xf>
    <xf numFmtId="178" fontId="29" fillId="21" borderId="98" xfId="0" applyNumberFormat="1" applyFont="1" applyFill="1" applyBorder="1" applyAlignment="1">
      <alignment horizontal="center" vertical="top" wrapText="1"/>
    </xf>
    <xf numFmtId="0" fontId="33" fillId="0" borderId="98" xfId="0" applyFont="1" applyBorder="1" applyAlignment="1">
      <alignment horizontal="center" vertical="top"/>
    </xf>
    <xf numFmtId="181" fontId="13" fillId="15" borderId="98" xfId="0" applyNumberFormat="1" applyFont="1" applyFill="1" applyBorder="1" applyAlignment="1">
      <alignment horizontal="center" vertical="top" wrapText="1"/>
    </xf>
    <xf numFmtId="178" fontId="13" fillId="19" borderId="98" xfId="0" applyNumberFormat="1" applyFont="1" applyFill="1" applyBorder="1" applyAlignment="1">
      <alignment horizontal="center" vertical="top" wrapText="1"/>
    </xf>
    <xf numFmtId="0" fontId="13" fillId="20" borderId="98" xfId="0" applyFont="1" applyFill="1" applyBorder="1" applyAlignment="1">
      <alignment horizontal="center" vertical="center" textRotation="255"/>
    </xf>
    <xf numFmtId="178" fontId="9" fillId="15" borderId="98" xfId="0" applyNumberFormat="1" applyFont="1" applyFill="1" applyBorder="1" applyAlignment="1">
      <alignment horizontal="center" vertical="top" wrapText="1"/>
    </xf>
    <xf numFmtId="178" fontId="9" fillId="19" borderId="99" xfId="0" applyNumberFormat="1" applyFont="1" applyFill="1" applyBorder="1" applyAlignment="1">
      <alignment horizontal="center" vertical="top" wrapText="1"/>
    </xf>
    <xf numFmtId="178" fontId="9" fillId="19" borderId="100" xfId="0" applyNumberFormat="1" applyFont="1" applyFill="1" applyBorder="1" applyAlignment="1">
      <alignment horizontal="center" vertical="top" wrapText="1"/>
    </xf>
    <xf numFmtId="178" fontId="9" fillId="19" borderId="101" xfId="0" applyNumberFormat="1" applyFont="1" applyFill="1" applyBorder="1" applyAlignment="1">
      <alignment horizontal="center" vertical="top" wrapText="1"/>
    </xf>
    <xf numFmtId="178" fontId="9" fillId="19" borderId="98" xfId="0" applyNumberFormat="1" applyFont="1" applyFill="1" applyBorder="1" applyAlignment="1">
      <alignment horizontal="center" vertical="top" wrapText="1"/>
    </xf>
    <xf numFmtId="49" fontId="27" fillId="0" borderId="98" xfId="0" applyNumberFormat="1" applyFont="1" applyBorder="1" applyAlignment="1">
      <alignment horizontal="center" vertical="top" wrapText="1"/>
    </xf>
    <xf numFmtId="0" fontId="27" fillId="0" borderId="98" xfId="0" applyFont="1" applyBorder="1" applyAlignment="1">
      <alignment horizontal="center" vertical="top"/>
    </xf>
    <xf numFmtId="49" fontId="29" fillId="0" borderId="98" xfId="0" applyNumberFormat="1" applyFont="1" applyBorder="1" applyAlignment="1">
      <alignment horizontal="center" vertical="top" wrapText="1"/>
    </xf>
    <xf numFmtId="181" fontId="29" fillId="0" borderId="98" xfId="0" applyNumberFormat="1" applyFont="1" applyBorder="1" applyAlignment="1">
      <alignment horizontal="center" vertical="top" wrapText="1"/>
    </xf>
    <xf numFmtId="0" fontId="13" fillId="0" borderId="98" xfId="0" applyFont="1" applyBorder="1" applyAlignment="1">
      <alignment horizontal="center" vertical="top" wrapText="1"/>
    </xf>
    <xf numFmtId="0" fontId="16" fillId="0" borderId="98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189" fontId="37" fillId="0" borderId="68" xfId="0" applyNumberFormat="1" applyFont="1" applyBorder="1" applyAlignment="1">
      <alignment vertical="center"/>
    </xf>
    <xf numFmtId="0" fontId="38" fillId="0" borderId="68" xfId="0" applyFont="1" applyBorder="1" applyAlignment="1">
      <alignment vertical="center"/>
    </xf>
    <xf numFmtId="178" fontId="37" fillId="0" borderId="14" xfId="0" applyNumberFormat="1" applyFont="1" applyBorder="1" applyAlignment="1">
      <alignment vertical="center"/>
    </xf>
    <xf numFmtId="0" fontId="37" fillId="0" borderId="14" xfId="0" applyFont="1" applyBorder="1" applyAlignment="1">
      <alignment horizontal="center" vertical="center"/>
    </xf>
    <xf numFmtId="178" fontId="38" fillId="0" borderId="68" xfId="0" applyNumberFormat="1" applyFont="1" applyBorder="1" applyAlignment="1">
      <alignment vertical="center"/>
    </xf>
    <xf numFmtId="178" fontId="37" fillId="15" borderId="14" xfId="0" applyNumberFormat="1" applyFont="1" applyFill="1" applyBorder="1" applyAlignment="1">
      <alignment vertical="center"/>
    </xf>
    <xf numFmtId="178" fontId="37" fillId="19" borderId="14" xfId="0" applyNumberFormat="1" applyFont="1" applyFill="1" applyBorder="1" applyAlignment="1">
      <alignment horizontal="center" vertical="center"/>
    </xf>
    <xf numFmtId="0" fontId="37" fillId="22" borderId="19" xfId="0" applyFont="1" applyFill="1" applyBorder="1" applyAlignment="1">
      <alignment horizontal="center" vertical="center"/>
    </xf>
    <xf numFmtId="178" fontId="37" fillId="0" borderId="68" xfId="0" applyNumberFormat="1" applyFont="1" applyBorder="1" applyAlignment="1">
      <alignment horizontal="center" vertical="center"/>
    </xf>
    <xf numFmtId="178" fontId="37" fillId="15" borderId="19" xfId="0" applyNumberFormat="1" applyFont="1" applyFill="1" applyBorder="1" applyAlignment="1">
      <alignment horizontal="center" vertical="center"/>
    </xf>
    <xf numFmtId="178" fontId="37" fillId="0" borderId="102" xfId="0" applyNumberFormat="1" applyFont="1" applyBorder="1" applyAlignment="1">
      <alignment horizontal="center" vertical="center"/>
    </xf>
    <xf numFmtId="178" fontId="37" fillId="0" borderId="67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vertical="center"/>
    </xf>
    <xf numFmtId="0" fontId="37" fillId="0" borderId="19" xfId="0" applyFont="1" applyBorder="1" applyAlignment="1">
      <alignment vertical="center"/>
    </xf>
    <xf numFmtId="178" fontId="37" fillId="0" borderId="19" xfId="0" applyNumberFormat="1" applyFont="1" applyBorder="1" applyAlignment="1">
      <alignment vertical="center"/>
    </xf>
    <xf numFmtId="189" fontId="37" fillId="0" borderId="19" xfId="0" applyNumberFormat="1" applyFont="1" applyBorder="1" applyAlignment="1">
      <alignment vertical="center"/>
    </xf>
    <xf numFmtId="0" fontId="38" fillId="0" borderId="19" xfId="0" applyFont="1" applyBorder="1" applyAlignment="1">
      <alignment vertical="center"/>
    </xf>
    <xf numFmtId="178" fontId="38" fillId="0" borderId="19" xfId="0" applyNumberFormat="1" applyFont="1" applyBorder="1" applyAlignment="1">
      <alignment vertical="center"/>
    </xf>
    <xf numFmtId="0" fontId="37" fillId="0" borderId="68" xfId="0" applyFont="1" applyBorder="1" applyAlignment="1">
      <alignment horizontal="center" vertical="center"/>
    </xf>
    <xf numFmtId="178" fontId="37" fillId="19" borderId="19" xfId="0" applyNumberFormat="1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178" fontId="37" fillId="19" borderId="22" xfId="0" applyNumberFormat="1" applyFont="1" applyFill="1" applyBorder="1" applyAlignment="1">
      <alignment horizontal="center" vertical="center"/>
    </xf>
    <xf numFmtId="178" fontId="37" fillId="19" borderId="2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178" fontId="0" fillId="0" borderId="0" xfId="0" applyNumberFormat="1" applyBorder="1" applyAlignment="1">
      <alignment vertical="center"/>
    </xf>
    <xf numFmtId="0" fontId="37" fillId="0" borderId="65" xfId="0" applyFont="1" applyBorder="1" applyAlignment="1">
      <alignment horizontal="center" vertical="center"/>
    </xf>
    <xf numFmtId="178" fontId="37" fillId="0" borderId="68" xfId="0" applyNumberFormat="1" applyFont="1" applyBorder="1" applyAlignment="1">
      <alignment vertical="center"/>
    </xf>
    <xf numFmtId="178" fontId="37" fillId="0" borderId="65" xfId="0" applyNumberFormat="1" applyFont="1" applyBorder="1" applyAlignment="1">
      <alignment vertical="center"/>
    </xf>
    <xf numFmtId="0" fontId="0" fillId="2" borderId="103" xfId="0" applyFill="1" applyBorder="1" applyAlignment="1">
      <alignment vertical="center"/>
    </xf>
    <xf numFmtId="0" fontId="0" fillId="2" borderId="103" xfId="0" pivotButton="1" applyFill="1" applyBorder="1" applyAlignment="1">
      <alignment vertical="center"/>
    </xf>
    <xf numFmtId="0" fontId="0" fillId="2" borderId="103" xfId="0" applyFill="1" applyBorder="1" applyAlignment="1">
      <alignment horizontal="left" vertical="center"/>
    </xf>
    <xf numFmtId="0" fontId="0" fillId="2" borderId="104" xfId="0" applyFill="1" applyBorder="1" applyAlignment="1">
      <alignment horizontal="left" vertical="center"/>
    </xf>
    <xf numFmtId="0" fontId="0" fillId="2" borderId="105" xfId="0" applyFill="1" applyBorder="1" applyAlignment="1">
      <alignment horizontal="left" vertical="center"/>
    </xf>
    <xf numFmtId="0" fontId="0" fillId="2" borderId="106" xfId="0" applyFill="1" applyBorder="1" applyAlignment="1">
      <alignment vertical="center"/>
    </xf>
    <xf numFmtId="0" fontId="0" fillId="2" borderId="103" xfId="0" applyNumberFormat="1" applyFill="1" applyBorder="1" applyAlignment="1">
      <alignment vertical="center"/>
    </xf>
    <xf numFmtId="0" fontId="0" fillId="2" borderId="106" xfId="0" applyNumberFormat="1" applyFill="1" applyBorder="1" applyAlignment="1">
      <alignment vertical="center"/>
    </xf>
    <xf numFmtId="0" fontId="0" fillId="2" borderId="104" xfId="0" applyNumberFormat="1" applyFill="1" applyBorder="1" applyAlignment="1">
      <alignment vertical="center"/>
    </xf>
    <xf numFmtId="0" fontId="0" fillId="2" borderId="107" xfId="0" applyNumberFormat="1" applyFill="1" applyBorder="1" applyAlignment="1">
      <alignment vertical="center"/>
    </xf>
    <xf numFmtId="0" fontId="0" fillId="2" borderId="105" xfId="0" applyNumberFormat="1" applyFill="1" applyBorder="1" applyAlignment="1">
      <alignment vertical="center"/>
    </xf>
    <xf numFmtId="0" fontId="0" fillId="2" borderId="108" xfId="0" applyNumberFormat="1" applyFill="1" applyBorder="1" applyAlignment="1">
      <alignment vertical="center"/>
    </xf>
    <xf numFmtId="0" fontId="0" fillId="2" borderId="109" xfId="0" applyFill="1" applyBorder="1" applyAlignment="1">
      <alignment vertical="center"/>
    </xf>
    <xf numFmtId="0" fontId="0" fillId="2" borderId="109" xfId="0" applyNumberFormat="1" applyFill="1" applyBorder="1" applyAlignment="1">
      <alignment vertical="center"/>
    </xf>
    <xf numFmtId="0" fontId="0" fillId="2" borderId="110" xfId="0" applyNumberFormat="1" applyFill="1" applyBorder="1" applyAlignment="1">
      <alignment vertical="center"/>
    </xf>
    <xf numFmtId="0" fontId="0" fillId="2" borderId="111" xfId="0" applyNumberFormat="1" applyFill="1" applyBorder="1" applyAlignment="1">
      <alignment vertical="center"/>
    </xf>
  </cellXfs>
  <cellStyles count="8">
    <cellStyle name="パーセント" xfId="1" builtinId="5"/>
    <cellStyle name="標準" xfId="0" builtinId="0"/>
    <cellStyle name="標準 11" xfId="4"/>
    <cellStyle name="標準 17" xfId="6"/>
    <cellStyle name="標準 2" xfId="7"/>
    <cellStyle name="標準 2 3 7 4 10 4 2 7 2 2 2 2 2 4 2 2 2 3 2 2 2 2 2 2 2 3 2 3 2 3 2 3 2 2 2 2 3 2 2 4 2 2" xfId="3"/>
    <cellStyle name="標準_13.05.22納入計画表(機器) 2 2" xfId="5"/>
    <cellStyle name="標準_2.1集計 2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_&#25285;&#24403;&#32773;/&#22823;&#27131;/uchida&#24341;&#32153;&#12366;&#36039;&#26009;/&#65334;&#12471;&#12522;&#12540;&#12474;&#12288;&#22411;&#24335;&#19968;&#3523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L_&#29983;&#29987;&#24773;&#22577;/BL_&#27231;&#31278;&#21029;&#29983;&#29987;&#35336;&#30011;/OMRON/&#65334;&#65304;&#29983;&#29987;&#35336;&#30011;/&#65334;&#65304;&#65293;&#65314;&#65320;&#12288;Production%20schedu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L_&#29983;&#29987;&#24773;&#22577;/BL_&#27231;&#31278;&#21029;&#29983;&#29987;&#35336;&#30011;/&#20027;&#35201;&#21508;&#31038;%20&#65398;&#65434;&#65437;&#65408;&#654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H品番一覧"/>
      <sheetName val="V7structure"/>
      <sheetName val="V8structure"/>
      <sheetName val="V9structure"/>
      <sheetName val="cassette structure"/>
      <sheetName val="V8BHﾛｼﾞｽﾃｨｯｸｽ"/>
      <sheetName val="V8沖電気ﾛｼﾞｽﾃｨｯｸｽ"/>
      <sheetName val="V9BHﾛｼﾞｽﾃｨｯｸｽ"/>
    </sheetNames>
    <sheetDataSet>
      <sheetData sheetId="0" refreshError="1"/>
      <sheetData sheetId="1" refreshError="1"/>
      <sheetData sheetId="2">
        <row r="2">
          <cell r="C2">
            <v>1</v>
          </cell>
          <cell r="AZ2">
            <v>50</v>
          </cell>
        </row>
        <row r="3">
          <cell r="C3" t="str">
            <v>production</v>
          </cell>
        </row>
        <row r="4">
          <cell r="C4" t="str">
            <v>UNIT No</v>
          </cell>
        </row>
        <row r="5">
          <cell r="C5" t="str">
            <v>UNIT No</v>
          </cell>
          <cell r="AZ5">
            <v>0</v>
          </cell>
        </row>
        <row r="6">
          <cell r="C6" t="str">
            <v>unit name</v>
          </cell>
          <cell r="AZ6">
            <v>0</v>
          </cell>
        </row>
        <row r="7">
          <cell r="C7" t="str">
            <v>ユニット名</v>
          </cell>
        </row>
        <row r="8">
          <cell r="C8" t="str">
            <v>type</v>
          </cell>
          <cell r="AZ8" t="str">
            <v>LAZ色分け</v>
          </cell>
        </row>
        <row r="9">
          <cell r="C9" t="str">
            <v>VU-LA001</v>
          </cell>
          <cell r="AZ9" t="str">
            <v>オレンジ</v>
          </cell>
        </row>
        <row r="10">
          <cell r="C10" t="str">
            <v>VU-LA002</v>
          </cell>
          <cell r="AZ10" t="str">
            <v>オレンジ</v>
          </cell>
        </row>
        <row r="11">
          <cell r="C11" t="str">
            <v>VU-LA003</v>
          </cell>
          <cell r="AZ11" t="str">
            <v>オレンジ</v>
          </cell>
        </row>
        <row r="12">
          <cell r="C12" t="str">
            <v>VU-LA004</v>
          </cell>
          <cell r="AZ12" t="str">
            <v>オレンジ</v>
          </cell>
        </row>
        <row r="13">
          <cell r="C13" t="str">
            <v>VU-LA005</v>
          </cell>
          <cell r="AZ13" t="str">
            <v>オレンジ</v>
          </cell>
        </row>
        <row r="14">
          <cell r="C14" t="str">
            <v>VU-LA006</v>
          </cell>
          <cell r="AZ14" t="str">
            <v>オレンジ</v>
          </cell>
        </row>
        <row r="15">
          <cell r="C15" t="str">
            <v>VU-LA007</v>
          </cell>
          <cell r="AZ15" t="str">
            <v>青</v>
          </cell>
        </row>
        <row r="16">
          <cell r="C16" t="str">
            <v>VU-LA008</v>
          </cell>
          <cell r="AZ16" t="str">
            <v>オレンジ</v>
          </cell>
        </row>
        <row r="17">
          <cell r="C17" t="str">
            <v>VU-LA009</v>
          </cell>
          <cell r="AZ17" t="str">
            <v>青</v>
          </cell>
        </row>
        <row r="18">
          <cell r="C18" t="str">
            <v>VU-LA010</v>
          </cell>
          <cell r="AZ18" t="str">
            <v>青</v>
          </cell>
        </row>
        <row r="19">
          <cell r="C19" t="str">
            <v>VU-LA011</v>
          </cell>
          <cell r="AZ19" t="str">
            <v>オレンジ</v>
          </cell>
        </row>
        <row r="20">
          <cell r="C20" t="str">
            <v>VU-LA012</v>
          </cell>
          <cell r="AZ20" t="str">
            <v>オレンジ</v>
          </cell>
        </row>
        <row r="21">
          <cell r="C21" t="str">
            <v>VU-LB001</v>
          </cell>
          <cell r="AZ21" t="str">
            <v>オレンジ</v>
          </cell>
        </row>
        <row r="22">
          <cell r="C22" t="str">
            <v>VU-LB002</v>
          </cell>
          <cell r="AZ22" t="str">
            <v>青</v>
          </cell>
        </row>
        <row r="23">
          <cell r="C23" t="str">
            <v>VU-LB003</v>
          </cell>
          <cell r="AZ23" t="str">
            <v>オレンジ</v>
          </cell>
        </row>
        <row r="24">
          <cell r="C24" t="str">
            <v>VU-LB004</v>
          </cell>
          <cell r="AZ24" t="str">
            <v>オレンジ</v>
          </cell>
        </row>
        <row r="25">
          <cell r="C25" t="str">
            <v>VU-LB005</v>
          </cell>
          <cell r="AZ25" t="str">
            <v>オレンジ</v>
          </cell>
        </row>
        <row r="26">
          <cell r="C26" t="str">
            <v>VU-LB006</v>
          </cell>
          <cell r="AZ26" t="str">
            <v>青</v>
          </cell>
        </row>
        <row r="27">
          <cell r="C27" t="str">
            <v>VU-LB101</v>
          </cell>
          <cell r="AZ27" t="str">
            <v>オレンジ</v>
          </cell>
        </row>
        <row r="28">
          <cell r="C28" t="str">
            <v>VU-LB102</v>
          </cell>
          <cell r="AZ28" t="str">
            <v>黄</v>
          </cell>
        </row>
        <row r="29">
          <cell r="C29" t="str">
            <v>VU-LB103</v>
          </cell>
          <cell r="AZ29" t="str">
            <v>オレンジ</v>
          </cell>
        </row>
        <row r="30">
          <cell r="C30" t="str">
            <v>VU-LB104</v>
          </cell>
          <cell r="AZ30" t="str">
            <v>オレンジ</v>
          </cell>
        </row>
        <row r="31">
          <cell r="C31" t="str">
            <v>VU-LB105</v>
          </cell>
          <cell r="AZ31" t="str">
            <v>青</v>
          </cell>
        </row>
        <row r="32">
          <cell r="C32" t="str">
            <v>VU-LB106</v>
          </cell>
          <cell r="AZ32" t="str">
            <v>オレンジ</v>
          </cell>
        </row>
        <row r="33">
          <cell r="C33" t="str">
            <v>VU-LB107</v>
          </cell>
          <cell r="AZ33" t="str">
            <v>オレンジ</v>
          </cell>
        </row>
        <row r="34">
          <cell r="C34" t="str">
            <v>VU-LB108</v>
          </cell>
          <cell r="AZ34" t="str">
            <v>オレンジ</v>
          </cell>
        </row>
        <row r="35">
          <cell r="C35" t="str">
            <v>VU-LB109</v>
          </cell>
          <cell r="AZ35" t="str">
            <v>オレンジ</v>
          </cell>
        </row>
        <row r="36">
          <cell r="C36" t="str">
            <v>VU-LB110</v>
          </cell>
          <cell r="AZ36" t="str">
            <v>紺（白字）</v>
          </cell>
        </row>
        <row r="37">
          <cell r="C37" t="str">
            <v>VU-LB111</v>
          </cell>
          <cell r="AZ37" t="str">
            <v>紺（白字）</v>
          </cell>
        </row>
        <row r="38">
          <cell r="C38" t="str">
            <v>VU-LB112</v>
          </cell>
          <cell r="AZ38" t="str">
            <v>黄</v>
          </cell>
        </row>
        <row r="39">
          <cell r="C39" t="str">
            <v>VU-LC001</v>
          </cell>
          <cell r="AZ39" t="str">
            <v>オレンジ</v>
          </cell>
        </row>
        <row r="40">
          <cell r="C40" t="str">
            <v>VU-LC002</v>
          </cell>
          <cell r="AZ40" t="str">
            <v>青</v>
          </cell>
        </row>
        <row r="41">
          <cell r="C41" t="str">
            <v>VU-LC091</v>
          </cell>
          <cell r="AZ41" t="str">
            <v>紫</v>
          </cell>
        </row>
        <row r="42">
          <cell r="C42" t="str">
            <v>VU-LD001</v>
          </cell>
          <cell r="AZ42" t="str">
            <v>オレンジ</v>
          </cell>
        </row>
        <row r="43">
          <cell r="C43" t="str">
            <v>VU-LD002</v>
          </cell>
          <cell r="AZ43" t="str">
            <v>緑</v>
          </cell>
        </row>
        <row r="44">
          <cell r="C44" t="str">
            <v>VU-LD002(H)</v>
          </cell>
          <cell r="AZ44" t="str">
            <v>緑</v>
          </cell>
        </row>
        <row r="45">
          <cell r="C45" t="str">
            <v>VU-LD003</v>
          </cell>
          <cell r="AZ45" t="str">
            <v>青</v>
          </cell>
        </row>
        <row r="46">
          <cell r="C46" t="str">
            <v>VU-LD004</v>
          </cell>
          <cell r="AZ46" t="str">
            <v>ピンク</v>
          </cell>
        </row>
        <row r="47">
          <cell r="C47" t="str">
            <v>VU-LD091</v>
          </cell>
          <cell r="AZ47" t="str">
            <v>紫</v>
          </cell>
        </row>
        <row r="48">
          <cell r="C48" t="str">
            <v>VU-LD092</v>
          </cell>
          <cell r="AZ48" t="str">
            <v>紫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10集計"/>
      <sheetName val="Ｖ８星取表"/>
      <sheetName val="Ｖ８出荷・完了計画"/>
      <sheetName val="Ｖ８ KMP  SHIPMENT PLAN "/>
      <sheetName val="BH出荷・完了グラフ "/>
      <sheetName val="山元用"/>
      <sheetName val="ＫＭＰ出荷スケジュール"/>
      <sheetName val="KMP MPS"/>
      <sheetName val="Sheet2"/>
    </sheetNames>
    <sheetDataSet>
      <sheetData sheetId="0" refreshError="1"/>
      <sheetData sheetId="1">
        <row r="1">
          <cell r="Q1">
            <v>5</v>
          </cell>
          <cell r="AZ1">
            <v>40</v>
          </cell>
        </row>
        <row r="5">
          <cell r="Q5" t="str">
            <v>ａ
(OCｶﾚ）</v>
          </cell>
        </row>
        <row r="6">
          <cell r="J6" t="str">
            <v>順序
確定日</v>
          </cell>
          <cell r="Q6" t="str">
            <v>LAZ/ｶｾｯﾄ
LAL/LBL
J-光真
出荷計画</v>
          </cell>
          <cell r="AZ6" t="str">
            <v>生産
計画
No</v>
          </cell>
        </row>
        <row r="7">
          <cell r="J7">
            <v>46001</v>
          </cell>
          <cell r="Q7">
            <v>46027</v>
          </cell>
          <cell r="AZ7" t="str">
            <v>000396263</v>
          </cell>
        </row>
        <row r="8">
          <cell r="J8">
            <v>46001</v>
          </cell>
          <cell r="Q8">
            <v>46027</v>
          </cell>
          <cell r="AZ8" t="str">
            <v>000396263</v>
          </cell>
        </row>
        <row r="9">
          <cell r="J9">
            <v>46001</v>
          </cell>
          <cell r="Q9">
            <v>46027</v>
          </cell>
          <cell r="AZ9" t="str">
            <v>000396263</v>
          </cell>
        </row>
        <row r="10">
          <cell r="J10">
            <v>46001</v>
          </cell>
          <cell r="Q10">
            <v>46027</v>
          </cell>
          <cell r="AZ10" t="str">
            <v>000396263</v>
          </cell>
        </row>
        <row r="11">
          <cell r="J11">
            <v>46001</v>
          </cell>
          <cell r="Q11">
            <v>46027</v>
          </cell>
          <cell r="AZ11" t="str">
            <v>000396263</v>
          </cell>
        </row>
        <row r="12">
          <cell r="J12">
            <v>45995</v>
          </cell>
          <cell r="Q12">
            <v>46028</v>
          </cell>
          <cell r="AZ12" t="str">
            <v>000377924</v>
          </cell>
        </row>
        <row r="13">
          <cell r="J13">
            <v>45996</v>
          </cell>
          <cell r="Q13">
            <v>46028</v>
          </cell>
          <cell r="AZ13" t="str">
            <v>000391722</v>
          </cell>
        </row>
        <row r="14">
          <cell r="J14">
            <v>45999</v>
          </cell>
          <cell r="Q14">
            <v>46028</v>
          </cell>
          <cell r="AZ14" t="str">
            <v>000391729</v>
          </cell>
        </row>
        <row r="15">
          <cell r="J15">
            <v>46000</v>
          </cell>
          <cell r="Q15">
            <v>46028</v>
          </cell>
          <cell r="AZ15" t="str">
            <v>000391724</v>
          </cell>
        </row>
        <row r="16">
          <cell r="J16">
            <v>46001</v>
          </cell>
          <cell r="Q16">
            <v>46028</v>
          </cell>
          <cell r="AZ16" t="str">
            <v>000396262</v>
          </cell>
        </row>
        <row r="17">
          <cell r="J17">
            <v>46001</v>
          </cell>
          <cell r="Q17">
            <v>46028</v>
          </cell>
          <cell r="AZ17" t="str">
            <v>000396262</v>
          </cell>
        </row>
        <row r="18">
          <cell r="J18">
            <v>46001</v>
          </cell>
          <cell r="Q18">
            <v>46028</v>
          </cell>
          <cell r="AZ18" t="str">
            <v>000396262</v>
          </cell>
        </row>
        <row r="19">
          <cell r="J19">
            <v>46001</v>
          </cell>
          <cell r="Q19">
            <v>46028</v>
          </cell>
          <cell r="AZ19" t="str">
            <v>000396262</v>
          </cell>
        </row>
        <row r="20">
          <cell r="J20">
            <v>46001</v>
          </cell>
          <cell r="Q20">
            <v>46028</v>
          </cell>
          <cell r="AZ20" t="str">
            <v>000396262</v>
          </cell>
        </row>
        <row r="21">
          <cell r="J21">
            <v>46000</v>
          </cell>
          <cell r="Q21">
            <v>46029</v>
          </cell>
          <cell r="AZ21" t="str">
            <v>000378623</v>
          </cell>
        </row>
        <row r="22">
          <cell r="J22">
            <v>46002</v>
          </cell>
          <cell r="Q22">
            <v>46029</v>
          </cell>
          <cell r="AZ22" t="str">
            <v>000377925</v>
          </cell>
        </row>
        <row r="23">
          <cell r="J23">
            <v>46003</v>
          </cell>
          <cell r="Q23">
            <v>46029</v>
          </cell>
          <cell r="AZ23" t="str">
            <v>000381123</v>
          </cell>
        </row>
        <row r="24">
          <cell r="J24">
            <v>46003</v>
          </cell>
          <cell r="Q24">
            <v>46029</v>
          </cell>
          <cell r="AZ24" t="str">
            <v>000381124</v>
          </cell>
        </row>
        <row r="25">
          <cell r="J25">
            <v>46008</v>
          </cell>
          <cell r="Q25">
            <v>46030</v>
          </cell>
          <cell r="AZ25" t="str">
            <v>000385490</v>
          </cell>
        </row>
        <row r="26">
          <cell r="J26">
            <v>46009</v>
          </cell>
          <cell r="Q26">
            <v>46030</v>
          </cell>
          <cell r="AZ26" t="str">
            <v>000393963</v>
          </cell>
        </row>
        <row r="27">
          <cell r="J27">
            <v>46013</v>
          </cell>
          <cell r="Q27">
            <v>46030</v>
          </cell>
          <cell r="AZ27" t="str">
            <v>000393965</v>
          </cell>
        </row>
        <row r="28">
          <cell r="J28">
            <v>46013</v>
          </cell>
          <cell r="Q28">
            <v>46030</v>
          </cell>
          <cell r="AZ28" t="str">
            <v>000393967</v>
          </cell>
        </row>
        <row r="29">
          <cell r="J29">
            <v>46014</v>
          </cell>
          <cell r="Q29">
            <v>46031</v>
          </cell>
          <cell r="AZ29" t="str">
            <v>000371187</v>
          </cell>
        </row>
        <row r="30">
          <cell r="J30">
            <v>46014</v>
          </cell>
          <cell r="Q30">
            <v>46031</v>
          </cell>
          <cell r="AZ30" t="str">
            <v>000393964</v>
          </cell>
        </row>
        <row r="31">
          <cell r="J31">
            <v>46015</v>
          </cell>
          <cell r="Q31">
            <v>46035</v>
          </cell>
          <cell r="AZ31" t="str">
            <v>000375150</v>
          </cell>
        </row>
        <row r="32">
          <cell r="J32">
            <v>46015</v>
          </cell>
          <cell r="Q32">
            <v>46035</v>
          </cell>
          <cell r="AZ32" t="str">
            <v>000393966</v>
          </cell>
        </row>
        <row r="33">
          <cell r="J33">
            <v>46016</v>
          </cell>
          <cell r="Q33">
            <v>46036</v>
          </cell>
          <cell r="AZ33" t="str">
            <v>000381125</v>
          </cell>
        </row>
        <row r="34">
          <cell r="J34">
            <v>46017</v>
          </cell>
          <cell r="Q34">
            <v>46037</v>
          </cell>
          <cell r="AZ34" t="str">
            <v>000371238</v>
          </cell>
        </row>
        <row r="35">
          <cell r="J35">
            <v>46017</v>
          </cell>
          <cell r="Q35">
            <v>46037</v>
          </cell>
          <cell r="AZ35" t="str">
            <v>000394016</v>
          </cell>
        </row>
        <row r="36">
          <cell r="J36">
            <v>46017</v>
          </cell>
          <cell r="Q36">
            <v>46037</v>
          </cell>
          <cell r="AZ36" t="str">
            <v>000384916</v>
          </cell>
        </row>
        <row r="37">
          <cell r="J37">
            <v>46017</v>
          </cell>
          <cell r="Q37">
            <v>46037</v>
          </cell>
          <cell r="AZ37" t="str">
            <v>000381128</v>
          </cell>
        </row>
        <row r="38">
          <cell r="J38">
            <v>46027</v>
          </cell>
          <cell r="Q38">
            <v>46038</v>
          </cell>
          <cell r="AZ38" t="str">
            <v>000394018</v>
          </cell>
        </row>
        <row r="39">
          <cell r="J39">
            <v>46027</v>
          </cell>
          <cell r="Q39">
            <v>46038</v>
          </cell>
          <cell r="AZ39" t="str">
            <v>000394020</v>
          </cell>
        </row>
        <row r="40">
          <cell r="J40">
            <v>46027</v>
          </cell>
          <cell r="Q40">
            <v>46038</v>
          </cell>
          <cell r="AZ40" t="str">
            <v>000394022</v>
          </cell>
        </row>
        <row r="41">
          <cell r="J41">
            <v>46027</v>
          </cell>
          <cell r="Q41">
            <v>46038</v>
          </cell>
          <cell r="AZ41" t="str">
            <v>000394024</v>
          </cell>
        </row>
        <row r="42">
          <cell r="J42">
            <v>46027</v>
          </cell>
          <cell r="Q42">
            <v>46038</v>
          </cell>
          <cell r="AZ42" t="str">
            <v>000380740</v>
          </cell>
        </row>
        <row r="43">
          <cell r="J43">
            <v>46028</v>
          </cell>
          <cell r="Q43">
            <v>46041</v>
          </cell>
          <cell r="AZ43" t="str">
            <v>000394013</v>
          </cell>
        </row>
        <row r="44">
          <cell r="J44">
            <v>46028</v>
          </cell>
          <cell r="Q44">
            <v>46041</v>
          </cell>
          <cell r="AZ44" t="str">
            <v>000394015</v>
          </cell>
        </row>
        <row r="45">
          <cell r="J45">
            <v>46028</v>
          </cell>
          <cell r="Q45">
            <v>46041</v>
          </cell>
          <cell r="AZ45" t="str">
            <v>000394025</v>
          </cell>
        </row>
        <row r="46">
          <cell r="J46">
            <v>46028</v>
          </cell>
          <cell r="Q46">
            <v>46041</v>
          </cell>
          <cell r="AZ46" t="str">
            <v>000394026</v>
          </cell>
        </row>
        <row r="47">
          <cell r="J47">
            <v>46028</v>
          </cell>
          <cell r="Q47">
            <v>46041</v>
          </cell>
          <cell r="AZ47" t="str">
            <v>000385410</v>
          </cell>
        </row>
        <row r="48">
          <cell r="J48">
            <v>46029</v>
          </cell>
          <cell r="Q48">
            <v>46042</v>
          </cell>
          <cell r="AZ48" t="str">
            <v>000394014</v>
          </cell>
        </row>
        <row r="49">
          <cell r="J49">
            <v>46029</v>
          </cell>
          <cell r="Q49">
            <v>46042</v>
          </cell>
          <cell r="AZ49" t="str">
            <v>000394017</v>
          </cell>
        </row>
        <row r="50">
          <cell r="J50">
            <v>46029</v>
          </cell>
          <cell r="Q50">
            <v>46042</v>
          </cell>
          <cell r="AZ50" t="str">
            <v>000394023</v>
          </cell>
        </row>
        <row r="51">
          <cell r="J51">
            <v>46029</v>
          </cell>
          <cell r="Q51">
            <v>46042</v>
          </cell>
          <cell r="AZ51" t="str">
            <v>000394027</v>
          </cell>
        </row>
        <row r="52">
          <cell r="J52">
            <v>46029</v>
          </cell>
          <cell r="Q52">
            <v>46042</v>
          </cell>
          <cell r="AZ52" t="str">
            <v>000385411</v>
          </cell>
        </row>
        <row r="53">
          <cell r="J53">
            <v>46029</v>
          </cell>
          <cell r="Q53">
            <v>46042</v>
          </cell>
          <cell r="AZ53" t="str">
            <v>000385416</v>
          </cell>
        </row>
        <row r="54">
          <cell r="J54">
            <v>46030</v>
          </cell>
          <cell r="Q54">
            <v>46043</v>
          </cell>
          <cell r="AZ54" t="str">
            <v>000394019</v>
          </cell>
        </row>
        <row r="55">
          <cell r="J55">
            <v>46030</v>
          </cell>
          <cell r="Q55">
            <v>46043</v>
          </cell>
          <cell r="AZ55" t="str">
            <v>000394021</v>
          </cell>
        </row>
        <row r="56">
          <cell r="J56">
            <v>46030</v>
          </cell>
          <cell r="Q56">
            <v>46043</v>
          </cell>
          <cell r="AZ56" t="str">
            <v>000385413</v>
          </cell>
        </row>
        <row r="57">
          <cell r="J57">
            <v>46030</v>
          </cell>
          <cell r="Q57">
            <v>46043</v>
          </cell>
          <cell r="AZ57" t="str">
            <v>000385414</v>
          </cell>
        </row>
        <row r="58">
          <cell r="J58">
            <v>46031</v>
          </cell>
          <cell r="Q58">
            <v>46044</v>
          </cell>
          <cell r="AZ58" t="str">
            <v>000385412</v>
          </cell>
        </row>
        <row r="59">
          <cell r="J59">
            <v>46010</v>
          </cell>
          <cell r="Q59">
            <v>46044</v>
          </cell>
          <cell r="AZ59" t="str">
            <v>000394355</v>
          </cell>
        </row>
        <row r="60">
          <cell r="J60">
            <v>46001</v>
          </cell>
          <cell r="Q60">
            <v>46044</v>
          </cell>
          <cell r="AZ60" t="str">
            <v>000395943</v>
          </cell>
        </row>
        <row r="61">
          <cell r="J61">
            <v>46001</v>
          </cell>
          <cell r="Q61">
            <v>46044</v>
          </cell>
          <cell r="AZ61" t="str">
            <v>000395943</v>
          </cell>
        </row>
        <row r="62">
          <cell r="J62">
            <v>46001</v>
          </cell>
          <cell r="Q62">
            <v>46044</v>
          </cell>
          <cell r="AZ62" t="str">
            <v>000395943</v>
          </cell>
        </row>
        <row r="63">
          <cell r="J63">
            <v>46001</v>
          </cell>
          <cell r="Q63">
            <v>46044</v>
          </cell>
          <cell r="AZ63" t="str">
            <v>000395943</v>
          </cell>
        </row>
        <row r="64">
          <cell r="J64">
            <v>46001</v>
          </cell>
          <cell r="Q64">
            <v>46044</v>
          </cell>
          <cell r="AZ64" t="str">
            <v>000395943</v>
          </cell>
        </row>
        <row r="65">
          <cell r="J65">
            <v>46001</v>
          </cell>
          <cell r="Q65">
            <v>46044</v>
          </cell>
          <cell r="AZ65" t="str">
            <v>000395944</v>
          </cell>
        </row>
        <row r="66">
          <cell r="J66">
            <v>46001</v>
          </cell>
          <cell r="Q66">
            <v>46044</v>
          </cell>
          <cell r="AZ66" t="str">
            <v>000395944</v>
          </cell>
        </row>
        <row r="67">
          <cell r="J67">
            <v>46001</v>
          </cell>
          <cell r="Q67">
            <v>46044</v>
          </cell>
          <cell r="AZ67" t="str">
            <v>000395944</v>
          </cell>
        </row>
        <row r="68">
          <cell r="J68">
            <v>46001</v>
          </cell>
          <cell r="Q68">
            <v>46044</v>
          </cell>
          <cell r="AZ68" t="str">
            <v>000395944</v>
          </cell>
        </row>
        <row r="69">
          <cell r="J69">
            <v>46001</v>
          </cell>
          <cell r="Q69">
            <v>46044</v>
          </cell>
          <cell r="AZ69" t="str">
            <v>000395944</v>
          </cell>
        </row>
        <row r="70">
          <cell r="J70">
            <v>46001</v>
          </cell>
          <cell r="Q70">
            <v>46044</v>
          </cell>
          <cell r="AZ70" t="str">
            <v>000395936</v>
          </cell>
        </row>
        <row r="71">
          <cell r="J71">
            <v>46001</v>
          </cell>
          <cell r="Q71">
            <v>46044</v>
          </cell>
          <cell r="AZ71" t="str">
            <v>000395936</v>
          </cell>
        </row>
        <row r="72">
          <cell r="J72">
            <v>46001</v>
          </cell>
          <cell r="Q72">
            <v>46044</v>
          </cell>
          <cell r="AZ72" t="str">
            <v>000395964</v>
          </cell>
        </row>
        <row r="73">
          <cell r="J73">
            <v>46001</v>
          </cell>
          <cell r="Q73">
            <v>46044</v>
          </cell>
          <cell r="AZ73" t="str">
            <v>000395964</v>
          </cell>
        </row>
        <row r="74">
          <cell r="J74">
            <v>46001</v>
          </cell>
          <cell r="Q74">
            <v>46044</v>
          </cell>
          <cell r="AZ74" t="str">
            <v>000395964</v>
          </cell>
        </row>
        <row r="75">
          <cell r="J75">
            <v>46001</v>
          </cell>
          <cell r="Q75">
            <v>46044</v>
          </cell>
          <cell r="AZ75" t="str">
            <v>000395964</v>
          </cell>
        </row>
        <row r="76">
          <cell r="J76">
            <v>46001</v>
          </cell>
          <cell r="Q76">
            <v>46044</v>
          </cell>
          <cell r="AZ76" t="str">
            <v>000395964</v>
          </cell>
        </row>
        <row r="77">
          <cell r="J77">
            <v>46001</v>
          </cell>
          <cell r="Q77">
            <v>46044</v>
          </cell>
          <cell r="AZ77" t="str">
            <v>000395955</v>
          </cell>
        </row>
        <row r="78">
          <cell r="J78">
            <v>46001</v>
          </cell>
          <cell r="Q78">
            <v>46044</v>
          </cell>
          <cell r="AZ78" t="str">
            <v>000395949</v>
          </cell>
        </row>
        <row r="79">
          <cell r="J79">
            <v>46001</v>
          </cell>
          <cell r="Q79">
            <v>46044</v>
          </cell>
          <cell r="AZ79" t="str">
            <v>000395952</v>
          </cell>
        </row>
        <row r="80">
          <cell r="J80">
            <v>46001</v>
          </cell>
          <cell r="Q80">
            <v>46044</v>
          </cell>
          <cell r="AZ80" t="str">
            <v>000395952</v>
          </cell>
        </row>
        <row r="81">
          <cell r="J81">
            <v>46001</v>
          </cell>
          <cell r="Q81">
            <v>46044</v>
          </cell>
          <cell r="AZ81" t="str">
            <v>000395952</v>
          </cell>
        </row>
        <row r="82">
          <cell r="J82">
            <v>46001</v>
          </cell>
          <cell r="Q82">
            <v>46044</v>
          </cell>
          <cell r="AZ82" t="str">
            <v>000395952</v>
          </cell>
        </row>
        <row r="83">
          <cell r="J83">
            <v>46001</v>
          </cell>
          <cell r="Q83">
            <v>46044</v>
          </cell>
          <cell r="AZ83" t="str">
            <v>000395952</v>
          </cell>
        </row>
        <row r="84">
          <cell r="J84">
            <v>46035</v>
          </cell>
          <cell r="Q84">
            <v>46045</v>
          </cell>
          <cell r="AZ84" t="str">
            <v>000385415</v>
          </cell>
        </row>
        <row r="85">
          <cell r="J85">
            <v>46001</v>
          </cell>
          <cell r="Q85">
            <v>46045</v>
          </cell>
          <cell r="AZ85" t="str">
            <v>000396251</v>
          </cell>
        </row>
        <row r="86">
          <cell r="J86">
            <v>46001</v>
          </cell>
          <cell r="Q86">
            <v>46045</v>
          </cell>
          <cell r="AZ86" t="str">
            <v>000396251</v>
          </cell>
        </row>
        <row r="87">
          <cell r="J87">
            <v>46001</v>
          </cell>
          <cell r="Q87">
            <v>46045</v>
          </cell>
          <cell r="AZ87" t="str">
            <v>000396251</v>
          </cell>
        </row>
        <row r="88">
          <cell r="J88">
            <v>46001</v>
          </cell>
          <cell r="Q88">
            <v>46045</v>
          </cell>
          <cell r="AZ88" t="str">
            <v>000396251</v>
          </cell>
        </row>
        <row r="89">
          <cell r="J89">
            <v>46001</v>
          </cell>
          <cell r="Q89">
            <v>46045</v>
          </cell>
          <cell r="AZ89" t="str">
            <v>000396251</v>
          </cell>
        </row>
        <row r="90">
          <cell r="J90">
            <v>46001</v>
          </cell>
          <cell r="Q90">
            <v>46045</v>
          </cell>
          <cell r="AZ90" t="str">
            <v>000396257</v>
          </cell>
        </row>
        <row r="91">
          <cell r="J91">
            <v>46001</v>
          </cell>
          <cell r="Q91">
            <v>46045</v>
          </cell>
          <cell r="AZ91" t="str">
            <v>000396257</v>
          </cell>
        </row>
        <row r="92">
          <cell r="J92">
            <v>46001</v>
          </cell>
          <cell r="Q92">
            <v>46045</v>
          </cell>
          <cell r="AZ92" t="str">
            <v>000396257</v>
          </cell>
        </row>
        <row r="93">
          <cell r="J93">
            <v>46001</v>
          </cell>
          <cell r="Q93">
            <v>46045</v>
          </cell>
          <cell r="AZ93" t="str">
            <v>000396257</v>
          </cell>
        </row>
        <row r="94">
          <cell r="J94">
            <v>46001</v>
          </cell>
          <cell r="Q94">
            <v>46045</v>
          </cell>
          <cell r="AZ94" t="str">
            <v>000395963</v>
          </cell>
        </row>
        <row r="95">
          <cell r="J95">
            <v>46001</v>
          </cell>
          <cell r="Q95">
            <v>46045</v>
          </cell>
          <cell r="AZ95" t="str">
            <v>000395963</v>
          </cell>
        </row>
        <row r="96">
          <cell r="J96">
            <v>46001</v>
          </cell>
          <cell r="Q96">
            <v>46045</v>
          </cell>
          <cell r="AZ96" t="str">
            <v>000395963</v>
          </cell>
        </row>
        <row r="97">
          <cell r="J97">
            <v>46001</v>
          </cell>
          <cell r="Q97">
            <v>46045</v>
          </cell>
          <cell r="AZ97" t="str">
            <v>000396254</v>
          </cell>
        </row>
        <row r="98">
          <cell r="J98">
            <v>46001</v>
          </cell>
          <cell r="Q98">
            <v>46045</v>
          </cell>
          <cell r="AZ98" t="str">
            <v>000396254</v>
          </cell>
        </row>
        <row r="99">
          <cell r="J99">
            <v>46001</v>
          </cell>
          <cell r="Q99">
            <v>46045</v>
          </cell>
          <cell r="AZ99" t="str">
            <v>000396254</v>
          </cell>
        </row>
        <row r="100">
          <cell r="J100">
            <v>46001</v>
          </cell>
          <cell r="Q100">
            <v>46045</v>
          </cell>
          <cell r="AZ100" t="str">
            <v>000396254</v>
          </cell>
        </row>
        <row r="101">
          <cell r="J101">
            <v>46036</v>
          </cell>
          <cell r="Q101">
            <v>46048</v>
          </cell>
          <cell r="AZ101" t="str">
            <v>000380741</v>
          </cell>
        </row>
        <row r="102">
          <cell r="J102">
            <v>46001</v>
          </cell>
          <cell r="Q102">
            <v>46048</v>
          </cell>
          <cell r="AZ102" t="str">
            <v>000396253</v>
          </cell>
        </row>
        <row r="103">
          <cell r="J103">
            <v>46001</v>
          </cell>
          <cell r="Q103">
            <v>46048</v>
          </cell>
          <cell r="AZ103" t="str">
            <v>000396253</v>
          </cell>
        </row>
        <row r="104">
          <cell r="J104">
            <v>46001</v>
          </cell>
          <cell r="Q104">
            <v>46048</v>
          </cell>
          <cell r="AZ104" t="str">
            <v>000396253</v>
          </cell>
        </row>
        <row r="105">
          <cell r="J105">
            <v>46001</v>
          </cell>
          <cell r="Q105">
            <v>46048</v>
          </cell>
          <cell r="AZ105" t="str">
            <v>000396253</v>
          </cell>
        </row>
        <row r="106">
          <cell r="J106">
            <v>46001</v>
          </cell>
          <cell r="Q106">
            <v>46048</v>
          </cell>
          <cell r="AZ106" t="str">
            <v>000395959</v>
          </cell>
        </row>
        <row r="107">
          <cell r="J107">
            <v>46001</v>
          </cell>
          <cell r="Q107">
            <v>46048</v>
          </cell>
          <cell r="AZ107" t="str">
            <v>000395959</v>
          </cell>
        </row>
        <row r="108">
          <cell r="J108">
            <v>46001</v>
          </cell>
          <cell r="Q108">
            <v>46048</v>
          </cell>
          <cell r="AZ108" t="str">
            <v>000395959</v>
          </cell>
        </row>
        <row r="109">
          <cell r="J109">
            <v>46001</v>
          </cell>
          <cell r="Q109">
            <v>46048</v>
          </cell>
          <cell r="AZ109" t="str">
            <v>000395959</v>
          </cell>
        </row>
        <row r="110">
          <cell r="J110">
            <v>46001</v>
          </cell>
          <cell r="Q110">
            <v>46048</v>
          </cell>
          <cell r="AZ110" t="str">
            <v>000396255</v>
          </cell>
        </row>
        <row r="111">
          <cell r="J111">
            <v>46001</v>
          </cell>
          <cell r="Q111">
            <v>46048</v>
          </cell>
          <cell r="AZ111" t="str">
            <v>000396255</v>
          </cell>
        </row>
        <row r="112">
          <cell r="J112">
            <v>46001</v>
          </cell>
          <cell r="Q112">
            <v>46048</v>
          </cell>
          <cell r="AZ112" t="str">
            <v>000396255</v>
          </cell>
        </row>
        <row r="113">
          <cell r="J113">
            <v>46001</v>
          </cell>
          <cell r="Q113">
            <v>46048</v>
          </cell>
          <cell r="AZ113" t="str">
            <v>000396255</v>
          </cell>
        </row>
        <row r="114">
          <cell r="J114">
            <v>46001</v>
          </cell>
          <cell r="Q114">
            <v>46048</v>
          </cell>
          <cell r="AZ114" t="str">
            <v>000396255</v>
          </cell>
        </row>
        <row r="115">
          <cell r="J115">
            <v>46001</v>
          </cell>
          <cell r="Q115">
            <v>46048</v>
          </cell>
          <cell r="AZ115" t="str">
            <v>000395958</v>
          </cell>
        </row>
        <row r="116">
          <cell r="J116">
            <v>46001</v>
          </cell>
          <cell r="Q116">
            <v>46048</v>
          </cell>
          <cell r="AZ116" t="str">
            <v>000395958</v>
          </cell>
        </row>
        <row r="117">
          <cell r="J117">
            <v>46001</v>
          </cell>
          <cell r="Q117">
            <v>46048</v>
          </cell>
          <cell r="AZ117" t="str">
            <v>000395958</v>
          </cell>
        </row>
        <row r="118">
          <cell r="J118">
            <v>46001</v>
          </cell>
          <cell r="Q118">
            <v>46048</v>
          </cell>
          <cell r="AZ118" t="str">
            <v>000395958</v>
          </cell>
        </row>
        <row r="119">
          <cell r="J119">
            <v>46001</v>
          </cell>
          <cell r="Q119">
            <v>46049</v>
          </cell>
          <cell r="AZ119" t="str">
            <v>000396252</v>
          </cell>
        </row>
        <row r="120">
          <cell r="J120">
            <v>46001</v>
          </cell>
          <cell r="Q120">
            <v>46049</v>
          </cell>
          <cell r="AZ120" t="str">
            <v>000396252</v>
          </cell>
        </row>
        <row r="121">
          <cell r="J121">
            <v>46001</v>
          </cell>
          <cell r="Q121">
            <v>46049</v>
          </cell>
          <cell r="AZ121" t="str">
            <v>000396252</v>
          </cell>
        </row>
        <row r="122">
          <cell r="J122">
            <v>46001</v>
          </cell>
          <cell r="Q122">
            <v>46049</v>
          </cell>
          <cell r="AZ122" t="str">
            <v>000396252</v>
          </cell>
        </row>
        <row r="123">
          <cell r="J123">
            <v>46001</v>
          </cell>
          <cell r="Q123">
            <v>46049</v>
          </cell>
          <cell r="AZ123" t="str">
            <v>000395947</v>
          </cell>
        </row>
        <row r="124">
          <cell r="J124">
            <v>46001</v>
          </cell>
          <cell r="Q124">
            <v>46049</v>
          </cell>
          <cell r="AZ124" t="str">
            <v>000396256</v>
          </cell>
        </row>
        <row r="125">
          <cell r="J125">
            <v>46001</v>
          </cell>
          <cell r="Q125">
            <v>46049</v>
          </cell>
          <cell r="AZ125" t="str">
            <v>000396256</v>
          </cell>
        </row>
        <row r="126">
          <cell r="J126">
            <v>46001</v>
          </cell>
          <cell r="Q126">
            <v>46049</v>
          </cell>
          <cell r="AZ126" t="str">
            <v>000396256</v>
          </cell>
        </row>
        <row r="127">
          <cell r="J127">
            <v>46001</v>
          </cell>
          <cell r="Q127">
            <v>46049</v>
          </cell>
          <cell r="AZ127" t="str">
            <v>000396256</v>
          </cell>
        </row>
        <row r="128">
          <cell r="J128">
            <v>46001</v>
          </cell>
          <cell r="Q128">
            <v>46049</v>
          </cell>
          <cell r="AZ128" t="str">
            <v>000395948</v>
          </cell>
        </row>
        <row r="129">
          <cell r="J129">
            <v>46001</v>
          </cell>
          <cell r="Q129">
            <v>46051</v>
          </cell>
          <cell r="AZ129" t="str">
            <v>000395939</v>
          </cell>
        </row>
        <row r="130">
          <cell r="J130">
            <v>46001</v>
          </cell>
          <cell r="Q130">
            <v>46051</v>
          </cell>
          <cell r="AZ130" t="str">
            <v>000395937</v>
          </cell>
        </row>
        <row r="131">
          <cell r="J131">
            <v>46001</v>
          </cell>
          <cell r="Q131">
            <v>46051</v>
          </cell>
          <cell r="AZ131" t="str">
            <v>000395953</v>
          </cell>
        </row>
        <row r="132">
          <cell r="J132">
            <v>46001</v>
          </cell>
          <cell r="Q132">
            <v>46051</v>
          </cell>
          <cell r="AZ132" t="str">
            <v>000395953</v>
          </cell>
        </row>
        <row r="133">
          <cell r="J133">
            <v>46001</v>
          </cell>
          <cell r="Q133">
            <v>46051</v>
          </cell>
          <cell r="AZ133" t="str">
            <v>000395953</v>
          </cell>
        </row>
        <row r="134">
          <cell r="J134">
            <v>46043</v>
          </cell>
          <cell r="Q134">
            <v>46055</v>
          </cell>
          <cell r="AZ134" t="str">
            <v>000384260</v>
          </cell>
        </row>
        <row r="135">
          <cell r="J135">
            <v>46043</v>
          </cell>
          <cell r="Q135">
            <v>46055</v>
          </cell>
          <cell r="AZ135" t="str">
            <v>000386911</v>
          </cell>
        </row>
        <row r="136">
          <cell r="J136">
            <v>46001</v>
          </cell>
          <cell r="Q136">
            <v>46055</v>
          </cell>
          <cell r="AZ136" t="str">
            <v>000396264</v>
          </cell>
        </row>
        <row r="137">
          <cell r="J137">
            <v>46001</v>
          </cell>
          <cell r="Q137">
            <v>46055</v>
          </cell>
          <cell r="AZ137" t="str">
            <v>000396264</v>
          </cell>
        </row>
        <row r="138">
          <cell r="J138">
            <v>46001</v>
          </cell>
          <cell r="Q138">
            <v>46055</v>
          </cell>
          <cell r="AZ138" t="str">
            <v>000396264</v>
          </cell>
        </row>
        <row r="139">
          <cell r="J139">
            <v>46001</v>
          </cell>
          <cell r="Q139">
            <v>46055</v>
          </cell>
          <cell r="AZ139" t="str">
            <v>000396264</v>
          </cell>
        </row>
        <row r="140">
          <cell r="J140">
            <v>46044</v>
          </cell>
          <cell r="Q140">
            <v>46056</v>
          </cell>
          <cell r="AZ140" t="str">
            <v>000377934</v>
          </cell>
        </row>
        <row r="141">
          <cell r="J141">
            <v>46001</v>
          </cell>
          <cell r="Q141">
            <v>46056</v>
          </cell>
          <cell r="AZ141" t="str">
            <v>000396258</v>
          </cell>
        </row>
        <row r="142">
          <cell r="J142">
            <v>46001</v>
          </cell>
          <cell r="Q142">
            <v>46056</v>
          </cell>
          <cell r="AZ142" t="str">
            <v>000396258</v>
          </cell>
        </row>
        <row r="143">
          <cell r="J143">
            <v>46001</v>
          </cell>
          <cell r="Q143">
            <v>46056</v>
          </cell>
          <cell r="AZ143" t="str">
            <v>000396258</v>
          </cell>
        </row>
        <row r="144">
          <cell r="J144">
            <v>46001</v>
          </cell>
          <cell r="Q144">
            <v>46056</v>
          </cell>
          <cell r="AZ144" t="str">
            <v>000396258</v>
          </cell>
        </row>
        <row r="145">
          <cell r="J145">
            <v>46001</v>
          </cell>
          <cell r="Q145">
            <v>46056</v>
          </cell>
          <cell r="AZ145" t="str">
            <v>000396258</v>
          </cell>
        </row>
        <row r="146">
          <cell r="J146">
            <v>46001</v>
          </cell>
          <cell r="Q146">
            <v>46057</v>
          </cell>
          <cell r="AZ146" t="str">
            <v>000396259</v>
          </cell>
        </row>
        <row r="147">
          <cell r="J147">
            <v>46001</v>
          </cell>
          <cell r="Q147">
            <v>46057</v>
          </cell>
          <cell r="AZ147" t="str">
            <v>000396259</v>
          </cell>
        </row>
        <row r="148">
          <cell r="J148">
            <v>46001</v>
          </cell>
          <cell r="Q148">
            <v>46057</v>
          </cell>
          <cell r="AZ148" t="str">
            <v>000396259</v>
          </cell>
        </row>
        <row r="149">
          <cell r="J149">
            <v>46001</v>
          </cell>
          <cell r="Q149">
            <v>46057</v>
          </cell>
          <cell r="AZ149" t="str">
            <v>000396259</v>
          </cell>
        </row>
        <row r="150">
          <cell r="J150">
            <v>46001</v>
          </cell>
          <cell r="Q150">
            <v>46057</v>
          </cell>
          <cell r="AZ150" t="str">
            <v>000396259</v>
          </cell>
        </row>
        <row r="151">
          <cell r="J151">
            <v>46001</v>
          </cell>
          <cell r="Q151">
            <v>46058</v>
          </cell>
          <cell r="AZ151" t="str">
            <v>000396261</v>
          </cell>
        </row>
        <row r="152">
          <cell r="J152">
            <v>46001</v>
          </cell>
          <cell r="Q152">
            <v>46058</v>
          </cell>
          <cell r="AZ152" t="str">
            <v>000396261</v>
          </cell>
        </row>
        <row r="153">
          <cell r="J153">
            <v>46001</v>
          </cell>
          <cell r="Q153">
            <v>46058</v>
          </cell>
          <cell r="AZ153" t="str">
            <v>000396261</v>
          </cell>
        </row>
        <row r="154">
          <cell r="J154">
            <v>46001</v>
          </cell>
          <cell r="Q154">
            <v>46058</v>
          </cell>
          <cell r="AZ154" t="str">
            <v>000396261</v>
          </cell>
        </row>
        <row r="155">
          <cell r="J155">
            <v>46001</v>
          </cell>
          <cell r="Q155">
            <v>46058</v>
          </cell>
          <cell r="AZ155" t="str">
            <v>000396261</v>
          </cell>
        </row>
        <row r="156">
          <cell r="J156">
            <v>46001</v>
          </cell>
          <cell r="Q156">
            <v>46059</v>
          </cell>
          <cell r="AZ156" t="str">
            <v>000395941</v>
          </cell>
        </row>
        <row r="157">
          <cell r="J157">
            <v>46001</v>
          </cell>
          <cell r="Q157">
            <v>46059</v>
          </cell>
          <cell r="AZ157" t="str">
            <v>000395941</v>
          </cell>
        </row>
        <row r="158">
          <cell r="J158">
            <v>46001</v>
          </cell>
          <cell r="Q158">
            <v>46059</v>
          </cell>
          <cell r="AZ158" t="str">
            <v>000395941</v>
          </cell>
        </row>
        <row r="159">
          <cell r="J159">
            <v>46001</v>
          </cell>
          <cell r="Q159">
            <v>46059</v>
          </cell>
          <cell r="AZ159" t="str">
            <v>000395941</v>
          </cell>
        </row>
        <row r="160">
          <cell r="J160">
            <v>46001</v>
          </cell>
          <cell r="Q160">
            <v>46059</v>
          </cell>
          <cell r="AZ160" t="str">
            <v>000395941</v>
          </cell>
        </row>
        <row r="161">
          <cell r="J161">
            <v>46036</v>
          </cell>
          <cell r="Q161">
            <v>46062</v>
          </cell>
          <cell r="AZ161" t="str">
            <v>000395954</v>
          </cell>
        </row>
        <row r="162">
          <cell r="J162">
            <v>46036</v>
          </cell>
          <cell r="Q162">
            <v>46062</v>
          </cell>
          <cell r="AZ162" t="str">
            <v>000395954</v>
          </cell>
        </row>
        <row r="163">
          <cell r="J163">
            <v>46036</v>
          </cell>
          <cell r="Q163">
            <v>46062</v>
          </cell>
          <cell r="AZ163" t="str">
            <v>000395954</v>
          </cell>
        </row>
        <row r="164">
          <cell r="J164">
            <v>46051</v>
          </cell>
          <cell r="Q164">
            <v>46063</v>
          </cell>
          <cell r="AZ164" t="str">
            <v>000382606</v>
          </cell>
        </row>
        <row r="165">
          <cell r="J165">
            <v>46037</v>
          </cell>
          <cell r="Q165">
            <v>46063</v>
          </cell>
          <cell r="AZ165" t="str">
            <v>000395970</v>
          </cell>
        </row>
        <row r="166">
          <cell r="J166">
            <v>46037</v>
          </cell>
          <cell r="Q166">
            <v>46063</v>
          </cell>
          <cell r="AZ166" t="str">
            <v>000395957</v>
          </cell>
        </row>
        <row r="167">
          <cell r="J167">
            <v>46037</v>
          </cell>
          <cell r="Q167">
            <v>46063</v>
          </cell>
          <cell r="AZ167" t="str">
            <v>000395957</v>
          </cell>
        </row>
        <row r="168">
          <cell r="J168">
            <v>46037</v>
          </cell>
          <cell r="Q168">
            <v>46063</v>
          </cell>
          <cell r="AZ168" t="str">
            <v>000395971</v>
          </cell>
        </row>
        <row r="169">
          <cell r="J169">
            <v>46037</v>
          </cell>
          <cell r="Q169">
            <v>46063</v>
          </cell>
          <cell r="AZ169" t="str">
            <v>000395971</v>
          </cell>
        </row>
        <row r="170">
          <cell r="J170">
            <v>46037</v>
          </cell>
          <cell r="Q170">
            <v>46063</v>
          </cell>
          <cell r="AZ170" t="str">
            <v>000395950</v>
          </cell>
        </row>
        <row r="171">
          <cell r="J171">
            <v>46037</v>
          </cell>
          <cell r="Q171">
            <v>46063</v>
          </cell>
          <cell r="AZ171" t="str">
            <v>000395938</v>
          </cell>
        </row>
        <row r="172">
          <cell r="J172">
            <v>46037</v>
          </cell>
          <cell r="Q172">
            <v>46063</v>
          </cell>
          <cell r="AZ172" t="str">
            <v>000395956</v>
          </cell>
        </row>
        <row r="173">
          <cell r="J173">
            <v>46037</v>
          </cell>
          <cell r="Q173">
            <v>46063</v>
          </cell>
          <cell r="AZ173" t="str">
            <v>000395956</v>
          </cell>
        </row>
        <row r="174">
          <cell r="J174">
            <v>46037</v>
          </cell>
          <cell r="Q174">
            <v>46063</v>
          </cell>
          <cell r="AZ174" t="str">
            <v>000395974</v>
          </cell>
        </row>
        <row r="175">
          <cell r="J175">
            <v>46037</v>
          </cell>
          <cell r="Q175">
            <v>46063</v>
          </cell>
          <cell r="AZ175" t="str">
            <v>000395974</v>
          </cell>
        </row>
        <row r="176">
          <cell r="J176">
            <v>46037</v>
          </cell>
          <cell r="Q176">
            <v>46063</v>
          </cell>
          <cell r="AZ176" t="str">
            <v>000395965</v>
          </cell>
        </row>
        <row r="177">
          <cell r="J177">
            <v>46037</v>
          </cell>
          <cell r="Q177">
            <v>46063</v>
          </cell>
          <cell r="AZ177" t="str">
            <v>000395972</v>
          </cell>
        </row>
        <row r="178">
          <cell r="J178">
            <v>46037</v>
          </cell>
          <cell r="Q178">
            <v>46063</v>
          </cell>
          <cell r="AZ178" t="str">
            <v>000395972</v>
          </cell>
        </row>
        <row r="179">
          <cell r="J179">
            <v>46037</v>
          </cell>
          <cell r="Q179">
            <v>46063</v>
          </cell>
          <cell r="AZ179" t="str">
            <v>000395976</v>
          </cell>
        </row>
        <row r="180">
          <cell r="J180">
            <v>46037</v>
          </cell>
          <cell r="Q180">
            <v>46063</v>
          </cell>
          <cell r="AZ180" t="str">
            <v>000395976</v>
          </cell>
        </row>
        <row r="181">
          <cell r="J181">
            <v>46037</v>
          </cell>
          <cell r="Q181">
            <v>46063</v>
          </cell>
          <cell r="AZ181" t="str">
            <v>000395975</v>
          </cell>
        </row>
        <row r="182">
          <cell r="J182">
            <v>46037</v>
          </cell>
          <cell r="Q182">
            <v>46063</v>
          </cell>
          <cell r="AZ182" t="str">
            <v>000395975</v>
          </cell>
        </row>
        <row r="183">
          <cell r="J183">
            <v>46037</v>
          </cell>
          <cell r="Q183">
            <v>46063</v>
          </cell>
          <cell r="AZ183" t="str">
            <v>000395969</v>
          </cell>
        </row>
        <row r="184">
          <cell r="J184">
            <v>46037</v>
          </cell>
          <cell r="Q184">
            <v>46063</v>
          </cell>
          <cell r="AZ184" t="str">
            <v>000395969</v>
          </cell>
        </row>
        <row r="185">
          <cell r="J185">
            <v>46038</v>
          </cell>
          <cell r="Q185">
            <v>46065</v>
          </cell>
          <cell r="AZ185" t="str">
            <v>000395966</v>
          </cell>
        </row>
        <row r="186">
          <cell r="J186">
            <v>46038</v>
          </cell>
          <cell r="Q186">
            <v>46065</v>
          </cell>
          <cell r="AZ186" t="str">
            <v>000395966</v>
          </cell>
        </row>
        <row r="187">
          <cell r="J187">
            <v>46038</v>
          </cell>
          <cell r="Q187">
            <v>46065</v>
          </cell>
          <cell r="AZ187" t="str">
            <v>000395973</v>
          </cell>
        </row>
        <row r="188">
          <cell r="J188">
            <v>46038</v>
          </cell>
          <cell r="Q188">
            <v>46065</v>
          </cell>
          <cell r="AZ188" t="str">
            <v>000395973</v>
          </cell>
        </row>
        <row r="189">
          <cell r="J189">
            <v>46038</v>
          </cell>
          <cell r="Q189">
            <v>46066</v>
          </cell>
          <cell r="AZ189" t="str">
            <v>000395960</v>
          </cell>
        </row>
        <row r="190">
          <cell r="J190">
            <v>46038</v>
          </cell>
          <cell r="Q190">
            <v>46066</v>
          </cell>
          <cell r="AZ190" t="str">
            <v>000395960</v>
          </cell>
        </row>
        <row r="191">
          <cell r="J191">
            <v>46038</v>
          </cell>
          <cell r="Q191">
            <v>46066</v>
          </cell>
          <cell r="AZ191" t="str">
            <v>000395960</v>
          </cell>
        </row>
        <row r="192">
          <cell r="J192">
            <v>46042</v>
          </cell>
          <cell r="Q192">
            <v>46069</v>
          </cell>
          <cell r="AZ192" t="str">
            <v>000395961</v>
          </cell>
        </row>
        <row r="193">
          <cell r="J193">
            <v>46042</v>
          </cell>
          <cell r="Q193">
            <v>46069</v>
          </cell>
          <cell r="AZ193" t="str">
            <v>000395961</v>
          </cell>
        </row>
        <row r="194">
          <cell r="J194">
            <v>46042</v>
          </cell>
          <cell r="Q194">
            <v>46069</v>
          </cell>
          <cell r="AZ194" t="str">
            <v>000395961</v>
          </cell>
        </row>
        <row r="195">
          <cell r="J195">
            <v>46042</v>
          </cell>
          <cell r="Q195">
            <v>46069</v>
          </cell>
          <cell r="AZ195" t="str">
            <v>000394043</v>
          </cell>
        </row>
        <row r="196">
          <cell r="J196">
            <v>46042</v>
          </cell>
          <cell r="Q196">
            <v>46069</v>
          </cell>
          <cell r="AZ196" t="str">
            <v>000394043</v>
          </cell>
        </row>
        <row r="197">
          <cell r="J197">
            <v>46042</v>
          </cell>
          <cell r="Q197">
            <v>46070</v>
          </cell>
          <cell r="AZ197" t="str">
            <v>000395967</v>
          </cell>
        </row>
        <row r="198">
          <cell r="J198">
            <v>46042</v>
          </cell>
          <cell r="Q198">
            <v>46070</v>
          </cell>
          <cell r="AZ198" t="str">
            <v>000395967</v>
          </cell>
        </row>
        <row r="199">
          <cell r="J199">
            <v>46042</v>
          </cell>
          <cell r="Q199">
            <v>46070</v>
          </cell>
          <cell r="AZ199" t="str">
            <v>000395967</v>
          </cell>
        </row>
        <row r="200">
          <cell r="J200">
            <v>46042</v>
          </cell>
          <cell r="Q200">
            <v>46070</v>
          </cell>
          <cell r="AZ200" t="str">
            <v>000395967</v>
          </cell>
        </row>
        <row r="201">
          <cell r="J201">
            <v>46042</v>
          </cell>
          <cell r="Q201">
            <v>46070</v>
          </cell>
          <cell r="AZ201" t="str">
            <v>000395967</v>
          </cell>
        </row>
        <row r="202">
          <cell r="J202">
            <v>46058</v>
          </cell>
          <cell r="Q202">
            <v>46071</v>
          </cell>
          <cell r="AZ202" t="str">
            <v>000371350</v>
          </cell>
        </row>
        <row r="203">
          <cell r="J203">
            <v>46044</v>
          </cell>
          <cell r="Q203">
            <v>46071</v>
          </cell>
          <cell r="AZ203" t="str">
            <v>000395968</v>
          </cell>
        </row>
        <row r="204">
          <cell r="J204">
            <v>46044</v>
          </cell>
          <cell r="Q204">
            <v>46071</v>
          </cell>
          <cell r="AZ204" t="str">
            <v>000395968</v>
          </cell>
        </row>
        <row r="205">
          <cell r="J205">
            <v>46044</v>
          </cell>
          <cell r="Q205">
            <v>46071</v>
          </cell>
          <cell r="AZ205" t="str">
            <v>000395968</v>
          </cell>
        </row>
        <row r="206">
          <cell r="J206">
            <v>46044</v>
          </cell>
          <cell r="Q206">
            <v>46071</v>
          </cell>
          <cell r="AZ206" t="str">
            <v>000395968</v>
          </cell>
        </row>
        <row r="207">
          <cell r="J207">
            <v>46044</v>
          </cell>
          <cell r="Q207">
            <v>46071</v>
          </cell>
          <cell r="AZ207" t="str">
            <v>000395968</v>
          </cell>
        </row>
        <row r="208">
          <cell r="J208">
            <v>46059</v>
          </cell>
          <cell r="Q208">
            <v>46072</v>
          </cell>
          <cell r="AZ208" t="str">
            <v>000385311</v>
          </cell>
        </row>
        <row r="209">
          <cell r="J209">
            <v>46056</v>
          </cell>
          <cell r="Q209">
            <v>46084</v>
          </cell>
          <cell r="AZ209" t="str">
            <v>000397016</v>
          </cell>
        </row>
        <row r="210">
          <cell r="J210">
            <v>46056</v>
          </cell>
          <cell r="Q210">
            <v>46084</v>
          </cell>
          <cell r="AZ210" t="str">
            <v>000397016</v>
          </cell>
        </row>
        <row r="211">
          <cell r="J211">
            <v>46072</v>
          </cell>
          <cell r="Q211">
            <v>46085</v>
          </cell>
          <cell r="AZ211" t="str">
            <v>000398704</v>
          </cell>
        </row>
        <row r="212">
          <cell r="J212">
            <v>46073</v>
          </cell>
          <cell r="Q212">
            <v>46086</v>
          </cell>
          <cell r="AZ212" t="str">
            <v>000398707</v>
          </cell>
        </row>
        <row r="213">
          <cell r="J213">
            <v>46077</v>
          </cell>
          <cell r="Q213">
            <v>46087</v>
          </cell>
          <cell r="AZ213" t="str">
            <v>000398709</v>
          </cell>
        </row>
        <row r="214">
          <cell r="J214">
            <v>46078</v>
          </cell>
          <cell r="Q214">
            <v>46090</v>
          </cell>
          <cell r="AZ214" t="str">
            <v>000398706</v>
          </cell>
        </row>
        <row r="215">
          <cell r="J215">
            <v>46079</v>
          </cell>
          <cell r="Q215">
            <v>46091</v>
          </cell>
          <cell r="AZ215" t="str">
            <v>000389162</v>
          </cell>
        </row>
        <row r="216">
          <cell r="J216">
            <v>46063</v>
          </cell>
          <cell r="Q216">
            <v>46091</v>
          </cell>
          <cell r="AZ216" t="str">
            <v>000398422</v>
          </cell>
        </row>
        <row r="217">
          <cell r="J217">
            <v>46063</v>
          </cell>
          <cell r="Q217">
            <v>46091</v>
          </cell>
          <cell r="AZ217" t="str">
            <v>000398422</v>
          </cell>
        </row>
        <row r="218">
          <cell r="J218">
            <v>46080</v>
          </cell>
          <cell r="Q218">
            <v>46092</v>
          </cell>
          <cell r="AZ218" t="str">
            <v>000398705</v>
          </cell>
        </row>
        <row r="219">
          <cell r="J219">
            <v>46080</v>
          </cell>
          <cell r="Q219">
            <v>46092</v>
          </cell>
          <cell r="AZ219" t="str">
            <v>000397524</v>
          </cell>
        </row>
        <row r="220">
          <cell r="J220">
            <v>46083</v>
          </cell>
          <cell r="Q220">
            <v>46093</v>
          </cell>
          <cell r="AZ220" t="str">
            <v>000398708</v>
          </cell>
        </row>
        <row r="221">
          <cell r="J221">
            <v>46083</v>
          </cell>
          <cell r="Q221">
            <v>46093</v>
          </cell>
          <cell r="AZ221" t="str">
            <v>000397525</v>
          </cell>
        </row>
        <row r="222">
          <cell r="J222">
            <v>46085</v>
          </cell>
          <cell r="Q222">
            <v>46097</v>
          </cell>
          <cell r="AZ222" t="str">
            <v>000397523</v>
          </cell>
        </row>
        <row r="223">
          <cell r="J223">
            <v>46087</v>
          </cell>
          <cell r="Q223">
            <v>46099</v>
          </cell>
          <cell r="AZ223" t="str">
            <v>000390898</v>
          </cell>
        </row>
        <row r="224">
          <cell r="J224">
            <v>46087</v>
          </cell>
          <cell r="Q224">
            <v>46099</v>
          </cell>
          <cell r="AZ224" t="str">
            <v>000389155</v>
          </cell>
        </row>
        <row r="225">
          <cell r="J225">
            <v>46090</v>
          </cell>
          <cell r="Q225">
            <v>46100</v>
          </cell>
          <cell r="AZ225" t="str">
            <v>000390886</v>
          </cell>
        </row>
        <row r="226">
          <cell r="J226">
            <v>46091</v>
          </cell>
          <cell r="Q226">
            <v>46104</v>
          </cell>
          <cell r="AZ226" t="str">
            <v>000390892</v>
          </cell>
        </row>
        <row r="227">
          <cell r="J227">
            <v>46092</v>
          </cell>
          <cell r="Q227">
            <v>46105</v>
          </cell>
          <cell r="AZ227" t="str">
            <v>000390904</v>
          </cell>
        </row>
        <row r="228">
          <cell r="J228">
            <v>46093</v>
          </cell>
          <cell r="Q228">
            <v>46106</v>
          </cell>
          <cell r="AZ228" t="str">
            <v>000394157</v>
          </cell>
        </row>
        <row r="229">
          <cell r="J229">
            <v>46093</v>
          </cell>
          <cell r="Q229">
            <v>46113</v>
          </cell>
          <cell r="AZ229" t="str">
            <v>000385304</v>
          </cell>
        </row>
        <row r="230">
          <cell r="J230">
            <v>46094</v>
          </cell>
          <cell r="Q230">
            <v>46114</v>
          </cell>
          <cell r="AZ230" t="str">
            <v>000393688</v>
          </cell>
        </row>
        <row r="231">
          <cell r="J231">
            <v>46097</v>
          </cell>
          <cell r="Q231">
            <v>46115</v>
          </cell>
          <cell r="AZ231" t="str">
            <v>000397526</v>
          </cell>
        </row>
        <row r="232">
          <cell r="J232">
            <v>46098</v>
          </cell>
          <cell r="Q232">
            <v>46118</v>
          </cell>
          <cell r="AZ232" t="str">
            <v>000397527</v>
          </cell>
        </row>
        <row r="233">
          <cell r="J233">
            <v>46112</v>
          </cell>
          <cell r="Q233">
            <v>46127</v>
          </cell>
          <cell r="AZ233" t="str">
            <v>000397529</v>
          </cell>
        </row>
        <row r="234">
          <cell r="J234">
            <v>46118</v>
          </cell>
          <cell r="Q234">
            <v>46128</v>
          </cell>
          <cell r="AZ234" t="str">
            <v>000394163</v>
          </cell>
        </row>
        <row r="235">
          <cell r="J235">
            <v>46118</v>
          </cell>
          <cell r="Q235">
            <v>46128</v>
          </cell>
          <cell r="AZ235" t="str">
            <v>000394169</v>
          </cell>
        </row>
        <row r="236">
          <cell r="J236">
            <v>46118</v>
          </cell>
          <cell r="Q236">
            <v>46128</v>
          </cell>
          <cell r="AZ236" t="str">
            <v>000394175</v>
          </cell>
        </row>
        <row r="237">
          <cell r="J237">
            <v>46118</v>
          </cell>
          <cell r="Q237">
            <v>46128</v>
          </cell>
          <cell r="AZ237" t="str">
            <v>000394181</v>
          </cell>
        </row>
        <row r="238">
          <cell r="J238">
            <v>46115</v>
          </cell>
          <cell r="Q238">
            <v>46132</v>
          </cell>
          <cell r="AZ238" t="str">
            <v>000397528</v>
          </cell>
        </row>
        <row r="239">
          <cell r="J239">
            <v>46118</v>
          </cell>
          <cell r="Q239">
            <v>46133</v>
          </cell>
          <cell r="AZ239" t="str">
            <v>000390814</v>
          </cell>
        </row>
        <row r="240">
          <cell r="J240">
            <v>46118</v>
          </cell>
          <cell r="Q240">
            <v>46133</v>
          </cell>
          <cell r="AZ240" t="str">
            <v>000395227</v>
          </cell>
        </row>
        <row r="241">
          <cell r="J241">
            <v>46120</v>
          </cell>
          <cell r="Q241">
            <v>46135</v>
          </cell>
          <cell r="AZ241" t="str">
            <v>000391333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各社カレンダー一覧表"/>
      <sheetName val="光真稼働日早見表"/>
      <sheetName val="OSS稼働日早見表"/>
      <sheetName val="ホリゾン稼働日早見表"/>
      <sheetName val="イシダ稼働日早見表"/>
      <sheetName val="年度マトリックス"/>
      <sheetName val="光真2022ｶﾚﾝﾀﾞ-"/>
      <sheetName val="光真-OSS卓上ｶﾚﾝﾀﾞ"/>
    </sheetNames>
    <sheetDataSet>
      <sheetData sheetId="0"/>
      <sheetData sheetId="1">
        <row r="1">
          <cell r="M1">
            <v>0</v>
          </cell>
          <cell r="N1">
            <v>0</v>
          </cell>
          <cell r="Q1">
            <v>0</v>
          </cell>
        </row>
        <row r="2">
          <cell r="M2">
            <v>12</v>
          </cell>
          <cell r="N2">
            <v>13</v>
          </cell>
          <cell r="Q2">
            <v>16</v>
          </cell>
        </row>
        <row r="3">
          <cell r="M3" t="str">
            <v>ｎ-4</v>
          </cell>
          <cell r="N3" t="str">
            <v>ｎ-3</v>
          </cell>
          <cell r="Q3" t="str">
            <v>当日</v>
          </cell>
        </row>
        <row r="4">
          <cell r="M4">
            <v>42458</v>
          </cell>
          <cell r="N4">
            <v>42459</v>
          </cell>
          <cell r="Q4">
            <v>42464</v>
          </cell>
        </row>
        <row r="5">
          <cell r="M5">
            <v>42459</v>
          </cell>
          <cell r="N5">
            <v>42460</v>
          </cell>
          <cell r="Q5">
            <v>42465</v>
          </cell>
        </row>
        <row r="6">
          <cell r="M6">
            <v>42460</v>
          </cell>
          <cell r="N6">
            <v>42461</v>
          </cell>
          <cell r="Q6">
            <v>42466</v>
          </cell>
        </row>
        <row r="7">
          <cell r="M7">
            <v>42461</v>
          </cell>
          <cell r="N7">
            <v>42464</v>
          </cell>
          <cell r="Q7">
            <v>42467</v>
          </cell>
        </row>
        <row r="8">
          <cell r="M8">
            <v>42464</v>
          </cell>
          <cell r="N8">
            <v>42465</v>
          </cell>
          <cell r="Q8">
            <v>42468</v>
          </cell>
        </row>
        <row r="9">
          <cell r="M9">
            <v>42465</v>
          </cell>
          <cell r="N9">
            <v>42466</v>
          </cell>
          <cell r="Q9">
            <v>42471</v>
          </cell>
        </row>
        <row r="10">
          <cell r="M10">
            <v>42466</v>
          </cell>
          <cell r="N10">
            <v>42467</v>
          </cell>
          <cell r="Q10">
            <v>42472</v>
          </cell>
        </row>
        <row r="11">
          <cell r="M11">
            <v>42467</v>
          </cell>
          <cell r="N11">
            <v>42468</v>
          </cell>
          <cell r="Q11">
            <v>42473</v>
          </cell>
        </row>
        <row r="12">
          <cell r="M12">
            <v>42468</v>
          </cell>
          <cell r="N12">
            <v>42471</v>
          </cell>
          <cell r="Q12">
            <v>42474</v>
          </cell>
        </row>
        <row r="13">
          <cell r="M13">
            <v>42471</v>
          </cell>
          <cell r="N13">
            <v>42472</v>
          </cell>
          <cell r="Q13">
            <v>42475</v>
          </cell>
        </row>
        <row r="14">
          <cell r="M14">
            <v>42472</v>
          </cell>
          <cell r="N14">
            <v>42473</v>
          </cell>
          <cell r="Q14">
            <v>42478</v>
          </cell>
        </row>
        <row r="15">
          <cell r="M15">
            <v>42473</v>
          </cell>
          <cell r="N15">
            <v>42474</v>
          </cell>
          <cell r="Q15">
            <v>42479</v>
          </cell>
        </row>
        <row r="16">
          <cell r="M16">
            <v>42474</v>
          </cell>
          <cell r="N16">
            <v>42475</v>
          </cell>
          <cell r="Q16">
            <v>42480</v>
          </cell>
        </row>
        <row r="17">
          <cell r="M17">
            <v>42475</v>
          </cell>
          <cell r="N17">
            <v>42478</v>
          </cell>
          <cell r="Q17">
            <v>42481</v>
          </cell>
        </row>
        <row r="18">
          <cell r="M18">
            <v>42478</v>
          </cell>
          <cell r="N18">
            <v>42479</v>
          </cell>
          <cell r="Q18">
            <v>42482</v>
          </cell>
        </row>
        <row r="19">
          <cell r="M19">
            <v>42479</v>
          </cell>
          <cell r="N19">
            <v>42480</v>
          </cell>
          <cell r="Q19">
            <v>42485</v>
          </cell>
        </row>
        <row r="20">
          <cell r="M20">
            <v>42480</v>
          </cell>
          <cell r="N20">
            <v>42481</v>
          </cell>
          <cell r="Q20">
            <v>42486</v>
          </cell>
        </row>
        <row r="21">
          <cell r="M21">
            <v>42481</v>
          </cell>
          <cell r="N21">
            <v>42482</v>
          </cell>
          <cell r="Q21">
            <v>42487</v>
          </cell>
        </row>
        <row r="22">
          <cell r="M22">
            <v>42482</v>
          </cell>
          <cell r="N22">
            <v>42485</v>
          </cell>
          <cell r="Q22">
            <v>42488</v>
          </cell>
        </row>
        <row r="23">
          <cell r="M23">
            <v>42485</v>
          </cell>
          <cell r="N23">
            <v>42486</v>
          </cell>
          <cell r="Q23">
            <v>42496</v>
          </cell>
        </row>
        <row r="24">
          <cell r="M24">
            <v>42486</v>
          </cell>
          <cell r="N24">
            <v>42487</v>
          </cell>
          <cell r="Q24">
            <v>42497</v>
          </cell>
        </row>
        <row r="25">
          <cell r="M25">
            <v>42487</v>
          </cell>
          <cell r="N25">
            <v>42488</v>
          </cell>
          <cell r="Q25">
            <v>42499</v>
          </cell>
        </row>
        <row r="26">
          <cell r="M26">
            <v>42488</v>
          </cell>
          <cell r="N26">
            <v>42496</v>
          </cell>
          <cell r="Q26">
            <v>42500</v>
          </cell>
        </row>
        <row r="27">
          <cell r="M27">
            <v>42496</v>
          </cell>
          <cell r="N27">
            <v>42497</v>
          </cell>
          <cell r="Q27">
            <v>42501</v>
          </cell>
        </row>
        <row r="28">
          <cell r="M28">
            <v>42497</v>
          </cell>
          <cell r="N28">
            <v>42499</v>
          </cell>
          <cell r="Q28">
            <v>42502</v>
          </cell>
        </row>
        <row r="29">
          <cell r="M29">
            <v>42499</v>
          </cell>
          <cell r="N29">
            <v>42500</v>
          </cell>
          <cell r="Q29">
            <v>42503</v>
          </cell>
        </row>
        <row r="30">
          <cell r="M30">
            <v>42500</v>
          </cell>
          <cell r="N30">
            <v>42501</v>
          </cell>
          <cell r="Q30">
            <v>42506</v>
          </cell>
        </row>
        <row r="31">
          <cell r="M31">
            <v>42501</v>
          </cell>
          <cell r="N31">
            <v>42502</v>
          </cell>
          <cell r="Q31">
            <v>42507</v>
          </cell>
        </row>
        <row r="32">
          <cell r="M32">
            <v>42502</v>
          </cell>
          <cell r="N32">
            <v>42503</v>
          </cell>
          <cell r="Q32">
            <v>42508</v>
          </cell>
        </row>
        <row r="33">
          <cell r="M33">
            <v>42503</v>
          </cell>
          <cell r="N33">
            <v>42506</v>
          </cell>
          <cell r="Q33">
            <v>42509</v>
          </cell>
        </row>
        <row r="34">
          <cell r="M34">
            <v>42506</v>
          </cell>
          <cell r="N34">
            <v>42507</v>
          </cell>
          <cell r="Q34">
            <v>42510</v>
          </cell>
        </row>
        <row r="35">
          <cell r="M35">
            <v>42507</v>
          </cell>
          <cell r="N35">
            <v>42508</v>
          </cell>
          <cell r="Q35">
            <v>42513</v>
          </cell>
        </row>
        <row r="36">
          <cell r="M36">
            <v>42508</v>
          </cell>
          <cell r="N36">
            <v>42509</v>
          </cell>
          <cell r="Q36">
            <v>42514</v>
          </cell>
        </row>
        <row r="37">
          <cell r="M37">
            <v>42509</v>
          </cell>
          <cell r="N37">
            <v>42510</v>
          </cell>
          <cell r="Q37">
            <v>42515</v>
          </cell>
        </row>
        <row r="38">
          <cell r="M38">
            <v>42510</v>
          </cell>
          <cell r="N38">
            <v>42513</v>
          </cell>
          <cell r="Q38">
            <v>42516</v>
          </cell>
        </row>
        <row r="39">
          <cell r="M39">
            <v>42513</v>
          </cell>
          <cell r="N39">
            <v>42514</v>
          </cell>
          <cell r="Q39">
            <v>42517</v>
          </cell>
        </row>
        <row r="40">
          <cell r="M40">
            <v>42514</v>
          </cell>
          <cell r="N40">
            <v>42515</v>
          </cell>
          <cell r="Q40">
            <v>42520</v>
          </cell>
        </row>
        <row r="41">
          <cell r="M41">
            <v>42515</v>
          </cell>
          <cell r="N41">
            <v>42516</v>
          </cell>
          <cell r="Q41">
            <v>42521</v>
          </cell>
        </row>
        <row r="42">
          <cell r="M42">
            <v>42516</v>
          </cell>
          <cell r="N42">
            <v>42517</v>
          </cell>
          <cell r="Q42">
            <v>42522</v>
          </cell>
        </row>
        <row r="43">
          <cell r="M43">
            <v>42517</v>
          </cell>
          <cell r="N43">
            <v>42520</v>
          </cell>
          <cell r="Q43">
            <v>42523</v>
          </cell>
        </row>
        <row r="44">
          <cell r="M44">
            <v>42520</v>
          </cell>
          <cell r="N44">
            <v>42521</v>
          </cell>
          <cell r="Q44">
            <v>42524</v>
          </cell>
        </row>
        <row r="45">
          <cell r="M45">
            <v>42521</v>
          </cell>
          <cell r="N45">
            <v>42522</v>
          </cell>
          <cell r="Q45">
            <v>42527</v>
          </cell>
        </row>
        <row r="46">
          <cell r="M46">
            <v>42522</v>
          </cell>
          <cell r="N46">
            <v>42523</v>
          </cell>
          <cell r="Q46">
            <v>42528</v>
          </cell>
        </row>
        <row r="47">
          <cell r="M47">
            <v>42523</v>
          </cell>
          <cell r="N47">
            <v>42524</v>
          </cell>
          <cell r="Q47">
            <v>42529</v>
          </cell>
        </row>
        <row r="48">
          <cell r="M48">
            <v>42524</v>
          </cell>
          <cell r="N48">
            <v>42527</v>
          </cell>
          <cell r="Q48">
            <v>42530</v>
          </cell>
        </row>
        <row r="49">
          <cell r="M49">
            <v>42527</v>
          </cell>
          <cell r="N49">
            <v>42528</v>
          </cell>
          <cell r="Q49">
            <v>42531</v>
          </cell>
        </row>
        <row r="50">
          <cell r="M50">
            <v>42528</v>
          </cell>
          <cell r="N50">
            <v>42529</v>
          </cell>
          <cell r="Q50">
            <v>42534</v>
          </cell>
        </row>
        <row r="51">
          <cell r="M51">
            <v>42529</v>
          </cell>
          <cell r="N51">
            <v>42530</v>
          </cell>
          <cell r="Q51">
            <v>42535</v>
          </cell>
        </row>
        <row r="52">
          <cell r="M52">
            <v>42530</v>
          </cell>
          <cell r="N52">
            <v>42531</v>
          </cell>
          <cell r="Q52">
            <v>42536</v>
          </cell>
        </row>
        <row r="53">
          <cell r="M53">
            <v>42531</v>
          </cell>
          <cell r="N53">
            <v>42534</v>
          </cell>
          <cell r="Q53">
            <v>42537</v>
          </cell>
        </row>
        <row r="54">
          <cell r="M54">
            <v>42534</v>
          </cell>
          <cell r="N54">
            <v>42535</v>
          </cell>
          <cell r="Q54">
            <v>42538</v>
          </cell>
        </row>
        <row r="55">
          <cell r="M55">
            <v>42535</v>
          </cell>
          <cell r="N55">
            <v>42536</v>
          </cell>
          <cell r="Q55">
            <v>42541</v>
          </cell>
        </row>
        <row r="56">
          <cell r="M56">
            <v>42536</v>
          </cell>
          <cell r="N56">
            <v>42537</v>
          </cell>
          <cell r="Q56">
            <v>42542</v>
          </cell>
        </row>
        <row r="57">
          <cell r="M57">
            <v>42537</v>
          </cell>
          <cell r="N57">
            <v>42538</v>
          </cell>
          <cell r="Q57">
            <v>42543</v>
          </cell>
        </row>
        <row r="58">
          <cell r="M58">
            <v>42538</v>
          </cell>
          <cell r="N58">
            <v>42541</v>
          </cell>
          <cell r="Q58">
            <v>42544</v>
          </cell>
        </row>
        <row r="59">
          <cell r="M59">
            <v>42541</v>
          </cell>
          <cell r="N59">
            <v>42542</v>
          </cell>
          <cell r="Q59">
            <v>42545</v>
          </cell>
        </row>
        <row r="60">
          <cell r="M60">
            <v>42542</v>
          </cell>
          <cell r="N60">
            <v>42543</v>
          </cell>
          <cell r="Q60">
            <v>42548</v>
          </cell>
        </row>
        <row r="61">
          <cell r="M61">
            <v>42543</v>
          </cell>
          <cell r="N61">
            <v>42544</v>
          </cell>
          <cell r="Q61">
            <v>42549</v>
          </cell>
        </row>
        <row r="62">
          <cell r="M62">
            <v>42544</v>
          </cell>
          <cell r="N62">
            <v>42545</v>
          </cell>
          <cell r="Q62">
            <v>42550</v>
          </cell>
        </row>
        <row r="63">
          <cell r="M63">
            <v>42545</v>
          </cell>
          <cell r="N63">
            <v>42548</v>
          </cell>
          <cell r="Q63">
            <v>42551</v>
          </cell>
        </row>
        <row r="64">
          <cell r="M64">
            <v>42548</v>
          </cell>
          <cell r="N64">
            <v>42549</v>
          </cell>
          <cell r="Q64">
            <v>42552</v>
          </cell>
        </row>
        <row r="65">
          <cell r="M65">
            <v>42549</v>
          </cell>
          <cell r="N65">
            <v>42550</v>
          </cell>
          <cell r="Q65">
            <v>42555</v>
          </cell>
        </row>
        <row r="66">
          <cell r="M66">
            <v>42550</v>
          </cell>
          <cell r="N66">
            <v>42551</v>
          </cell>
          <cell r="Q66">
            <v>42556</v>
          </cell>
        </row>
        <row r="67">
          <cell r="M67">
            <v>42551</v>
          </cell>
          <cell r="N67">
            <v>42552</v>
          </cell>
          <cell r="Q67">
            <v>42557</v>
          </cell>
        </row>
        <row r="68">
          <cell r="M68">
            <v>42552</v>
          </cell>
          <cell r="N68">
            <v>42555</v>
          </cell>
          <cell r="Q68">
            <v>42558</v>
          </cell>
        </row>
        <row r="69">
          <cell r="M69">
            <v>42555</v>
          </cell>
          <cell r="N69">
            <v>42556</v>
          </cell>
          <cell r="Q69">
            <v>42559</v>
          </cell>
        </row>
        <row r="70">
          <cell r="M70">
            <v>42556</v>
          </cell>
          <cell r="N70">
            <v>42557</v>
          </cell>
          <cell r="Q70">
            <v>42562</v>
          </cell>
        </row>
        <row r="71">
          <cell r="M71">
            <v>42557</v>
          </cell>
          <cell r="N71">
            <v>42558</v>
          </cell>
          <cell r="Q71">
            <v>42563</v>
          </cell>
        </row>
        <row r="72">
          <cell r="M72">
            <v>42558</v>
          </cell>
          <cell r="N72">
            <v>42559</v>
          </cell>
          <cell r="Q72">
            <v>42564</v>
          </cell>
        </row>
        <row r="73">
          <cell r="M73">
            <v>42559</v>
          </cell>
          <cell r="N73">
            <v>42562</v>
          </cell>
          <cell r="Q73">
            <v>42565</v>
          </cell>
        </row>
        <row r="74">
          <cell r="M74">
            <v>42562</v>
          </cell>
          <cell r="N74">
            <v>42563</v>
          </cell>
          <cell r="Q74">
            <v>42566</v>
          </cell>
        </row>
        <row r="75">
          <cell r="M75">
            <v>42563</v>
          </cell>
          <cell r="N75">
            <v>42564</v>
          </cell>
          <cell r="Q75">
            <v>42570</v>
          </cell>
        </row>
        <row r="76">
          <cell r="M76">
            <v>42564</v>
          </cell>
          <cell r="N76">
            <v>42565</v>
          </cell>
          <cell r="Q76">
            <v>42571</v>
          </cell>
        </row>
        <row r="77">
          <cell r="M77">
            <v>42565</v>
          </cell>
          <cell r="N77">
            <v>42566</v>
          </cell>
          <cell r="Q77">
            <v>42572</v>
          </cell>
        </row>
        <row r="78">
          <cell r="M78">
            <v>42566</v>
          </cell>
          <cell r="N78">
            <v>42570</v>
          </cell>
          <cell r="Q78">
            <v>42573</v>
          </cell>
        </row>
        <row r="79">
          <cell r="M79">
            <v>42570</v>
          </cell>
          <cell r="N79">
            <v>42571</v>
          </cell>
          <cell r="Q79">
            <v>42574</v>
          </cell>
        </row>
        <row r="80">
          <cell r="M80">
            <v>42571</v>
          </cell>
          <cell r="N80">
            <v>42572</v>
          </cell>
          <cell r="Q80">
            <v>42576</v>
          </cell>
        </row>
        <row r="81">
          <cell r="M81">
            <v>42572</v>
          </cell>
          <cell r="N81">
            <v>42573</v>
          </cell>
          <cell r="Q81">
            <v>42577</v>
          </cell>
        </row>
        <row r="82">
          <cell r="M82">
            <v>42573</v>
          </cell>
          <cell r="N82">
            <v>42574</v>
          </cell>
          <cell r="Q82">
            <v>42578</v>
          </cell>
        </row>
        <row r="83">
          <cell r="M83">
            <v>42574</v>
          </cell>
          <cell r="N83">
            <v>42576</v>
          </cell>
          <cell r="Q83">
            <v>42579</v>
          </cell>
        </row>
        <row r="84">
          <cell r="M84">
            <v>42576</v>
          </cell>
          <cell r="N84">
            <v>42577</v>
          </cell>
          <cell r="Q84">
            <v>42580</v>
          </cell>
        </row>
        <row r="85">
          <cell r="M85">
            <v>42577</v>
          </cell>
          <cell r="N85">
            <v>42578</v>
          </cell>
          <cell r="Q85">
            <v>42583</v>
          </cell>
        </row>
        <row r="86">
          <cell r="M86">
            <v>42578</v>
          </cell>
          <cell r="N86">
            <v>42579</v>
          </cell>
          <cell r="Q86">
            <v>42584</v>
          </cell>
        </row>
        <row r="87">
          <cell r="M87">
            <v>42579</v>
          </cell>
          <cell r="N87">
            <v>42580</v>
          </cell>
          <cell r="Q87">
            <v>42585</v>
          </cell>
        </row>
        <row r="88">
          <cell r="M88">
            <v>42580</v>
          </cell>
          <cell r="N88">
            <v>42583</v>
          </cell>
          <cell r="Q88">
            <v>42586</v>
          </cell>
        </row>
        <row r="89">
          <cell r="M89">
            <v>42583</v>
          </cell>
          <cell r="N89">
            <v>42584</v>
          </cell>
          <cell r="Q89">
            <v>42587</v>
          </cell>
        </row>
        <row r="90">
          <cell r="M90">
            <v>42584</v>
          </cell>
          <cell r="N90">
            <v>42585</v>
          </cell>
          <cell r="Q90">
            <v>42590</v>
          </cell>
        </row>
        <row r="91">
          <cell r="M91">
            <v>42585</v>
          </cell>
          <cell r="N91">
            <v>42586</v>
          </cell>
          <cell r="Q91">
            <v>42591</v>
          </cell>
        </row>
        <row r="92">
          <cell r="M92">
            <v>42586</v>
          </cell>
          <cell r="N92">
            <v>42587</v>
          </cell>
          <cell r="Q92">
            <v>42592</v>
          </cell>
        </row>
        <row r="93">
          <cell r="M93">
            <v>42587</v>
          </cell>
          <cell r="N93">
            <v>42590</v>
          </cell>
          <cell r="Q93">
            <v>42594</v>
          </cell>
        </row>
        <row r="94">
          <cell r="M94">
            <v>42590</v>
          </cell>
          <cell r="N94">
            <v>42591</v>
          </cell>
          <cell r="Q94">
            <v>42601</v>
          </cell>
        </row>
        <row r="95">
          <cell r="M95">
            <v>42591</v>
          </cell>
          <cell r="N95">
            <v>42592</v>
          </cell>
          <cell r="Q95">
            <v>42602</v>
          </cell>
        </row>
        <row r="96">
          <cell r="M96">
            <v>42592</v>
          </cell>
          <cell r="N96">
            <v>42594</v>
          </cell>
          <cell r="Q96">
            <v>42604</v>
          </cell>
        </row>
        <row r="97">
          <cell r="M97">
            <v>42594</v>
          </cell>
          <cell r="N97">
            <v>42601</v>
          </cell>
          <cell r="Q97">
            <v>42605</v>
          </cell>
        </row>
        <row r="98">
          <cell r="M98">
            <v>42601</v>
          </cell>
          <cell r="N98">
            <v>42602</v>
          </cell>
          <cell r="Q98">
            <v>42606</v>
          </cell>
        </row>
        <row r="99">
          <cell r="M99">
            <v>42602</v>
          </cell>
          <cell r="N99">
            <v>42604</v>
          </cell>
          <cell r="Q99">
            <v>42607</v>
          </cell>
        </row>
        <row r="100">
          <cell r="M100">
            <v>42604</v>
          </cell>
          <cell r="N100">
            <v>42605</v>
          </cell>
          <cell r="Q100">
            <v>42608</v>
          </cell>
        </row>
        <row r="101">
          <cell r="M101">
            <v>42605</v>
          </cell>
          <cell r="N101">
            <v>42606</v>
          </cell>
          <cell r="Q101">
            <v>42611</v>
          </cell>
        </row>
        <row r="102">
          <cell r="M102">
            <v>42606</v>
          </cell>
          <cell r="N102">
            <v>42607</v>
          </cell>
          <cell r="Q102">
            <v>42612</v>
          </cell>
        </row>
        <row r="103">
          <cell r="M103">
            <v>42607</v>
          </cell>
          <cell r="N103">
            <v>42608</v>
          </cell>
          <cell r="Q103">
            <v>42613</v>
          </cell>
        </row>
        <row r="104">
          <cell r="M104">
            <v>42608</v>
          </cell>
          <cell r="N104">
            <v>42611</v>
          </cell>
          <cell r="Q104">
            <v>42614</v>
          </cell>
        </row>
        <row r="105">
          <cell r="M105">
            <v>42611</v>
          </cell>
          <cell r="N105">
            <v>42612</v>
          </cell>
          <cell r="Q105">
            <v>42615</v>
          </cell>
        </row>
        <row r="106">
          <cell r="M106">
            <v>42612</v>
          </cell>
          <cell r="N106">
            <v>42613</v>
          </cell>
          <cell r="Q106">
            <v>42618</v>
          </cell>
        </row>
        <row r="107">
          <cell r="M107">
            <v>42613</v>
          </cell>
          <cell r="N107">
            <v>42614</v>
          </cell>
          <cell r="Q107">
            <v>42619</v>
          </cell>
        </row>
        <row r="108">
          <cell r="M108">
            <v>42614</v>
          </cell>
          <cell r="N108">
            <v>42615</v>
          </cell>
          <cell r="Q108">
            <v>42620</v>
          </cell>
        </row>
        <row r="109">
          <cell r="M109">
            <v>42615</v>
          </cell>
          <cell r="N109">
            <v>42618</v>
          </cell>
          <cell r="Q109">
            <v>42621</v>
          </cell>
        </row>
        <row r="110">
          <cell r="M110">
            <v>42618</v>
          </cell>
          <cell r="N110">
            <v>42619</v>
          </cell>
          <cell r="Q110">
            <v>42622</v>
          </cell>
        </row>
        <row r="111">
          <cell r="M111">
            <v>42619</v>
          </cell>
          <cell r="N111">
            <v>42620</v>
          </cell>
          <cell r="Q111">
            <v>42625</v>
          </cell>
        </row>
        <row r="112">
          <cell r="M112">
            <v>42620</v>
          </cell>
          <cell r="N112">
            <v>42621</v>
          </cell>
          <cell r="Q112">
            <v>42626</v>
          </cell>
        </row>
        <row r="113">
          <cell r="M113">
            <v>42621</v>
          </cell>
          <cell r="N113">
            <v>42622</v>
          </cell>
          <cell r="Q113">
            <v>42627</v>
          </cell>
        </row>
        <row r="114">
          <cell r="M114">
            <v>42622</v>
          </cell>
          <cell r="N114">
            <v>42625</v>
          </cell>
          <cell r="Q114">
            <v>42628</v>
          </cell>
        </row>
        <row r="115">
          <cell r="M115">
            <v>42625</v>
          </cell>
          <cell r="N115">
            <v>42626</v>
          </cell>
          <cell r="Q115">
            <v>42629</v>
          </cell>
        </row>
        <row r="116">
          <cell r="M116">
            <v>42626</v>
          </cell>
          <cell r="N116">
            <v>42627</v>
          </cell>
          <cell r="Q116">
            <v>42633</v>
          </cell>
        </row>
        <row r="117">
          <cell r="M117">
            <v>42627</v>
          </cell>
          <cell r="N117">
            <v>42628</v>
          </cell>
          <cell r="Q117">
            <v>42634</v>
          </cell>
        </row>
        <row r="118">
          <cell r="M118">
            <v>42628</v>
          </cell>
          <cell r="N118">
            <v>42629</v>
          </cell>
          <cell r="Q118">
            <v>42636</v>
          </cell>
        </row>
        <row r="119">
          <cell r="M119">
            <v>42629</v>
          </cell>
          <cell r="N119">
            <v>42633</v>
          </cell>
          <cell r="Q119">
            <v>42637</v>
          </cell>
        </row>
        <row r="120">
          <cell r="M120">
            <v>42633</v>
          </cell>
          <cell r="N120">
            <v>42634</v>
          </cell>
          <cell r="Q120">
            <v>42639</v>
          </cell>
        </row>
        <row r="121">
          <cell r="M121">
            <v>42634</v>
          </cell>
          <cell r="N121">
            <v>42636</v>
          </cell>
          <cell r="Q121">
            <v>42640</v>
          </cell>
        </row>
        <row r="122">
          <cell r="M122">
            <v>42636</v>
          </cell>
          <cell r="N122">
            <v>42637</v>
          </cell>
          <cell r="Q122">
            <v>42641</v>
          </cell>
        </row>
        <row r="123">
          <cell r="M123">
            <v>42637</v>
          </cell>
          <cell r="N123">
            <v>42639</v>
          </cell>
          <cell r="Q123">
            <v>42642</v>
          </cell>
        </row>
        <row r="124">
          <cell r="M124">
            <v>42639</v>
          </cell>
          <cell r="N124">
            <v>42640</v>
          </cell>
          <cell r="Q124">
            <v>42643</v>
          </cell>
        </row>
        <row r="125">
          <cell r="M125">
            <v>42640</v>
          </cell>
          <cell r="N125">
            <v>42641</v>
          </cell>
          <cell r="Q125">
            <v>42646</v>
          </cell>
        </row>
        <row r="126">
          <cell r="M126">
            <v>42641</v>
          </cell>
          <cell r="N126">
            <v>42642</v>
          </cell>
          <cell r="Q126">
            <v>42647</v>
          </cell>
        </row>
        <row r="127">
          <cell r="M127">
            <v>42642</v>
          </cell>
          <cell r="N127">
            <v>42643</v>
          </cell>
          <cell r="Q127">
            <v>42648</v>
          </cell>
        </row>
        <row r="128">
          <cell r="M128">
            <v>42643</v>
          </cell>
          <cell r="N128">
            <v>42646</v>
          </cell>
          <cell r="Q128">
            <v>42649</v>
          </cell>
        </row>
        <row r="129">
          <cell r="M129">
            <v>42646</v>
          </cell>
          <cell r="N129">
            <v>42647</v>
          </cell>
          <cell r="Q129">
            <v>42650</v>
          </cell>
        </row>
        <row r="130">
          <cell r="M130">
            <v>42647</v>
          </cell>
          <cell r="N130">
            <v>42648</v>
          </cell>
          <cell r="Q130">
            <v>42654</v>
          </cell>
        </row>
        <row r="131">
          <cell r="M131">
            <v>42648</v>
          </cell>
          <cell r="N131">
            <v>42649</v>
          </cell>
          <cell r="Q131">
            <v>42655</v>
          </cell>
        </row>
        <row r="132">
          <cell r="M132">
            <v>42649</v>
          </cell>
          <cell r="N132">
            <v>42650</v>
          </cell>
          <cell r="Q132">
            <v>42656</v>
          </cell>
        </row>
        <row r="133">
          <cell r="M133">
            <v>42650</v>
          </cell>
          <cell r="N133">
            <v>42654</v>
          </cell>
          <cell r="Q133">
            <v>42657</v>
          </cell>
        </row>
        <row r="134">
          <cell r="M134">
            <v>42654</v>
          </cell>
          <cell r="N134">
            <v>42655</v>
          </cell>
          <cell r="Q134">
            <v>42658</v>
          </cell>
        </row>
        <row r="135">
          <cell r="M135">
            <v>42655</v>
          </cell>
          <cell r="N135">
            <v>42656</v>
          </cell>
          <cell r="Q135">
            <v>42660</v>
          </cell>
        </row>
        <row r="136">
          <cell r="M136">
            <v>42656</v>
          </cell>
          <cell r="N136">
            <v>42657</v>
          </cell>
          <cell r="Q136">
            <v>42661</v>
          </cell>
        </row>
        <row r="137">
          <cell r="M137">
            <v>42657</v>
          </cell>
          <cell r="N137">
            <v>42658</v>
          </cell>
          <cell r="Q137">
            <v>42662</v>
          </cell>
        </row>
        <row r="138">
          <cell r="M138">
            <v>42658</v>
          </cell>
          <cell r="N138">
            <v>42660</v>
          </cell>
          <cell r="Q138">
            <v>42663</v>
          </cell>
        </row>
        <row r="139">
          <cell r="M139">
            <v>42660</v>
          </cell>
          <cell r="N139">
            <v>42661</v>
          </cell>
          <cell r="Q139">
            <v>42664</v>
          </cell>
        </row>
        <row r="140">
          <cell r="M140">
            <v>42661</v>
          </cell>
          <cell r="N140">
            <v>42662</v>
          </cell>
          <cell r="Q140">
            <v>42667</v>
          </cell>
        </row>
        <row r="141">
          <cell r="M141">
            <v>42662</v>
          </cell>
          <cell r="N141">
            <v>42663</v>
          </cell>
          <cell r="Q141">
            <v>42668</v>
          </cell>
        </row>
        <row r="142">
          <cell r="M142">
            <v>42663</v>
          </cell>
          <cell r="N142">
            <v>42664</v>
          </cell>
          <cell r="Q142">
            <v>42669</v>
          </cell>
        </row>
        <row r="143">
          <cell r="M143">
            <v>42664</v>
          </cell>
          <cell r="N143">
            <v>42667</v>
          </cell>
          <cell r="Q143">
            <v>42670</v>
          </cell>
        </row>
        <row r="144">
          <cell r="M144">
            <v>42667</v>
          </cell>
          <cell r="N144">
            <v>42668</v>
          </cell>
          <cell r="Q144">
            <v>42671</v>
          </cell>
        </row>
        <row r="145">
          <cell r="M145">
            <v>42668</v>
          </cell>
          <cell r="N145">
            <v>42669</v>
          </cell>
          <cell r="Q145">
            <v>42674</v>
          </cell>
        </row>
        <row r="146">
          <cell r="M146">
            <v>42669</v>
          </cell>
          <cell r="N146">
            <v>42670</v>
          </cell>
          <cell r="Q146">
            <v>42675</v>
          </cell>
        </row>
        <row r="147">
          <cell r="M147">
            <v>42670</v>
          </cell>
          <cell r="N147">
            <v>42671</v>
          </cell>
          <cell r="Q147">
            <v>42676</v>
          </cell>
        </row>
        <row r="148">
          <cell r="M148">
            <v>42671</v>
          </cell>
          <cell r="N148">
            <v>42674</v>
          </cell>
          <cell r="Q148">
            <v>42678</v>
          </cell>
        </row>
        <row r="149">
          <cell r="M149">
            <v>42674</v>
          </cell>
          <cell r="N149">
            <v>42675</v>
          </cell>
          <cell r="Q149">
            <v>42679</v>
          </cell>
        </row>
        <row r="150">
          <cell r="M150">
            <v>42675</v>
          </cell>
          <cell r="N150">
            <v>42676</v>
          </cell>
          <cell r="Q150">
            <v>42681</v>
          </cell>
        </row>
        <row r="151">
          <cell r="M151">
            <v>42676</v>
          </cell>
          <cell r="N151">
            <v>42678</v>
          </cell>
          <cell r="Q151">
            <v>42682</v>
          </cell>
        </row>
        <row r="152">
          <cell r="M152">
            <v>42678</v>
          </cell>
          <cell r="N152">
            <v>42679</v>
          </cell>
          <cell r="Q152">
            <v>42683</v>
          </cell>
        </row>
        <row r="153">
          <cell r="M153">
            <v>42679</v>
          </cell>
          <cell r="N153">
            <v>42681</v>
          </cell>
          <cell r="Q153">
            <v>42684</v>
          </cell>
        </row>
        <row r="154">
          <cell r="M154">
            <v>42681</v>
          </cell>
          <cell r="N154">
            <v>42682</v>
          </cell>
          <cell r="Q154">
            <v>42685</v>
          </cell>
        </row>
        <row r="155">
          <cell r="M155">
            <v>42682</v>
          </cell>
          <cell r="N155">
            <v>42683</v>
          </cell>
          <cell r="Q155">
            <v>42688</v>
          </cell>
        </row>
        <row r="156">
          <cell r="M156">
            <v>42683</v>
          </cell>
          <cell r="N156">
            <v>42684</v>
          </cell>
          <cell r="Q156">
            <v>42689</v>
          </cell>
        </row>
        <row r="157">
          <cell r="M157">
            <v>42684</v>
          </cell>
          <cell r="N157">
            <v>42685</v>
          </cell>
          <cell r="Q157">
            <v>42690</v>
          </cell>
        </row>
        <row r="158">
          <cell r="M158">
            <v>42685</v>
          </cell>
          <cell r="N158">
            <v>42688</v>
          </cell>
          <cell r="Q158">
            <v>42691</v>
          </cell>
        </row>
        <row r="159">
          <cell r="M159">
            <v>42688</v>
          </cell>
          <cell r="N159">
            <v>42689</v>
          </cell>
          <cell r="Q159">
            <v>42692</v>
          </cell>
        </row>
        <row r="160">
          <cell r="M160">
            <v>42689</v>
          </cell>
          <cell r="N160">
            <v>42690</v>
          </cell>
          <cell r="Q160">
            <v>42695</v>
          </cell>
        </row>
        <row r="161">
          <cell r="M161">
            <v>42690</v>
          </cell>
          <cell r="N161">
            <v>42691</v>
          </cell>
          <cell r="Q161">
            <v>42696</v>
          </cell>
        </row>
        <row r="162">
          <cell r="M162">
            <v>42691</v>
          </cell>
          <cell r="N162">
            <v>42692</v>
          </cell>
          <cell r="Q162">
            <v>42698</v>
          </cell>
        </row>
        <row r="163">
          <cell r="M163">
            <v>42692</v>
          </cell>
          <cell r="N163">
            <v>42695</v>
          </cell>
          <cell r="Q163">
            <v>42699</v>
          </cell>
        </row>
        <row r="164">
          <cell r="M164">
            <v>42695</v>
          </cell>
          <cell r="N164">
            <v>42696</v>
          </cell>
          <cell r="Q164">
            <v>42702</v>
          </cell>
        </row>
        <row r="165">
          <cell r="M165">
            <v>42696</v>
          </cell>
          <cell r="N165">
            <v>42698</v>
          </cell>
          <cell r="Q165">
            <v>42703</v>
          </cell>
        </row>
        <row r="166">
          <cell r="M166">
            <v>42698</v>
          </cell>
          <cell r="N166">
            <v>42699</v>
          </cell>
          <cell r="Q166">
            <v>42704</v>
          </cell>
        </row>
        <row r="167">
          <cell r="M167">
            <v>42699</v>
          </cell>
          <cell r="N167">
            <v>42702</v>
          </cell>
          <cell r="Q167">
            <v>42705</v>
          </cell>
        </row>
        <row r="168">
          <cell r="M168">
            <v>42702</v>
          </cell>
          <cell r="N168">
            <v>42703</v>
          </cell>
          <cell r="Q168">
            <v>42706</v>
          </cell>
        </row>
        <row r="169">
          <cell r="M169">
            <v>42703</v>
          </cell>
          <cell r="N169">
            <v>42704</v>
          </cell>
          <cell r="Q169">
            <v>42709</v>
          </cell>
        </row>
        <row r="170">
          <cell r="M170">
            <v>42704</v>
          </cell>
          <cell r="N170">
            <v>42705</v>
          </cell>
          <cell r="Q170">
            <v>42710</v>
          </cell>
        </row>
        <row r="171">
          <cell r="M171">
            <v>42705</v>
          </cell>
          <cell r="N171">
            <v>42706</v>
          </cell>
          <cell r="Q171">
            <v>42711</v>
          </cell>
        </row>
        <row r="172">
          <cell r="M172">
            <v>42706</v>
          </cell>
          <cell r="N172">
            <v>42709</v>
          </cell>
          <cell r="Q172">
            <v>42712</v>
          </cell>
        </row>
        <row r="173">
          <cell r="M173">
            <v>42709</v>
          </cell>
          <cell r="N173">
            <v>42710</v>
          </cell>
          <cell r="Q173">
            <v>42713</v>
          </cell>
        </row>
        <row r="174">
          <cell r="M174">
            <v>42710</v>
          </cell>
          <cell r="N174">
            <v>42711</v>
          </cell>
          <cell r="Q174">
            <v>42716</v>
          </cell>
        </row>
        <row r="175">
          <cell r="M175">
            <v>42711</v>
          </cell>
          <cell r="N175">
            <v>42712</v>
          </cell>
          <cell r="Q175">
            <v>42717</v>
          </cell>
        </row>
        <row r="176">
          <cell r="M176">
            <v>42712</v>
          </cell>
          <cell r="N176">
            <v>42713</v>
          </cell>
          <cell r="Q176">
            <v>42718</v>
          </cell>
        </row>
        <row r="177">
          <cell r="M177">
            <v>42713</v>
          </cell>
          <cell r="N177">
            <v>42716</v>
          </cell>
          <cell r="Q177">
            <v>42719</v>
          </cell>
        </row>
        <row r="178">
          <cell r="M178">
            <v>42716</v>
          </cell>
          <cell r="N178">
            <v>42717</v>
          </cell>
          <cell r="Q178">
            <v>42720</v>
          </cell>
        </row>
        <row r="179">
          <cell r="M179">
            <v>42717</v>
          </cell>
          <cell r="N179">
            <v>42718</v>
          </cell>
          <cell r="Q179">
            <v>42723</v>
          </cell>
        </row>
        <row r="180">
          <cell r="M180">
            <v>42718</v>
          </cell>
          <cell r="N180">
            <v>42719</v>
          </cell>
          <cell r="Q180">
            <v>42724</v>
          </cell>
        </row>
        <row r="181">
          <cell r="M181">
            <v>42719</v>
          </cell>
          <cell r="N181">
            <v>42720</v>
          </cell>
          <cell r="Q181">
            <v>42725</v>
          </cell>
        </row>
        <row r="182">
          <cell r="M182">
            <v>42720</v>
          </cell>
          <cell r="N182">
            <v>42723</v>
          </cell>
          <cell r="Q182">
            <v>42726</v>
          </cell>
        </row>
        <row r="183">
          <cell r="M183">
            <v>42723</v>
          </cell>
          <cell r="N183">
            <v>42724</v>
          </cell>
          <cell r="Q183">
            <v>42730</v>
          </cell>
        </row>
        <row r="184">
          <cell r="M184">
            <v>42724</v>
          </cell>
          <cell r="N184">
            <v>42725</v>
          </cell>
          <cell r="Q184">
            <v>42731</v>
          </cell>
        </row>
        <row r="185">
          <cell r="M185">
            <v>42725</v>
          </cell>
          <cell r="N185">
            <v>42726</v>
          </cell>
          <cell r="Q185">
            <v>42732</v>
          </cell>
        </row>
        <row r="186">
          <cell r="M186">
            <v>42726</v>
          </cell>
          <cell r="N186">
            <v>42730</v>
          </cell>
          <cell r="Q186">
            <v>42740</v>
          </cell>
        </row>
        <row r="187">
          <cell r="M187">
            <v>42730</v>
          </cell>
          <cell r="N187">
            <v>42731</v>
          </cell>
          <cell r="Q187">
            <v>42741</v>
          </cell>
        </row>
        <row r="188">
          <cell r="M188">
            <v>42731</v>
          </cell>
          <cell r="N188">
            <v>42732</v>
          </cell>
          <cell r="Q188">
            <v>42745</v>
          </cell>
        </row>
        <row r="189">
          <cell r="M189">
            <v>42732</v>
          </cell>
          <cell r="N189">
            <v>42740</v>
          </cell>
          <cell r="Q189">
            <v>42746</v>
          </cell>
        </row>
        <row r="190">
          <cell r="M190">
            <v>42740</v>
          </cell>
          <cell r="N190">
            <v>42741</v>
          </cell>
          <cell r="Q190">
            <v>42747</v>
          </cell>
        </row>
        <row r="191">
          <cell r="M191">
            <v>42741</v>
          </cell>
          <cell r="N191">
            <v>42745</v>
          </cell>
          <cell r="Q191">
            <v>42748</v>
          </cell>
        </row>
        <row r="192">
          <cell r="M192">
            <v>42745</v>
          </cell>
          <cell r="N192">
            <v>42746</v>
          </cell>
          <cell r="Q192">
            <v>42751</v>
          </cell>
        </row>
        <row r="193">
          <cell r="M193">
            <v>42746</v>
          </cell>
          <cell r="N193">
            <v>42747</v>
          </cell>
          <cell r="Q193">
            <v>42752</v>
          </cell>
        </row>
        <row r="194">
          <cell r="M194">
            <v>42747</v>
          </cell>
          <cell r="N194">
            <v>42748</v>
          </cell>
          <cell r="Q194">
            <v>42753</v>
          </cell>
        </row>
        <row r="195">
          <cell r="M195">
            <v>42748</v>
          </cell>
          <cell r="N195">
            <v>42751</v>
          </cell>
          <cell r="Q195">
            <v>42754</v>
          </cell>
        </row>
        <row r="196">
          <cell r="M196">
            <v>42751</v>
          </cell>
          <cell r="N196">
            <v>42752</v>
          </cell>
          <cell r="Q196">
            <v>42755</v>
          </cell>
        </row>
        <row r="197">
          <cell r="M197">
            <v>42752</v>
          </cell>
          <cell r="N197">
            <v>42753</v>
          </cell>
          <cell r="Q197">
            <v>42758</v>
          </cell>
        </row>
        <row r="198">
          <cell r="M198">
            <v>42753</v>
          </cell>
          <cell r="N198">
            <v>42754</v>
          </cell>
          <cell r="Q198">
            <v>42759</v>
          </cell>
        </row>
        <row r="199">
          <cell r="M199">
            <v>42754</v>
          </cell>
          <cell r="N199">
            <v>42755</v>
          </cell>
          <cell r="Q199">
            <v>42760</v>
          </cell>
        </row>
        <row r="200">
          <cell r="M200">
            <v>42755</v>
          </cell>
          <cell r="N200">
            <v>42758</v>
          </cell>
          <cell r="Q200">
            <v>42761</v>
          </cell>
        </row>
        <row r="201">
          <cell r="M201">
            <v>42758</v>
          </cell>
          <cell r="N201">
            <v>42759</v>
          </cell>
          <cell r="Q201">
            <v>42762</v>
          </cell>
        </row>
        <row r="202">
          <cell r="M202">
            <v>42759</v>
          </cell>
          <cell r="N202">
            <v>42760</v>
          </cell>
          <cell r="Q202">
            <v>42765</v>
          </cell>
        </row>
        <row r="203">
          <cell r="M203">
            <v>42760</v>
          </cell>
          <cell r="N203">
            <v>42761</v>
          </cell>
          <cell r="Q203">
            <v>42766</v>
          </cell>
        </row>
        <row r="204">
          <cell r="M204">
            <v>42761</v>
          </cell>
          <cell r="N204">
            <v>42762</v>
          </cell>
          <cell r="Q204">
            <v>42767</v>
          </cell>
        </row>
        <row r="205">
          <cell r="M205">
            <v>42762</v>
          </cell>
          <cell r="N205">
            <v>42765</v>
          </cell>
          <cell r="Q205">
            <v>42768</v>
          </cell>
        </row>
        <row r="206">
          <cell r="M206">
            <v>42765</v>
          </cell>
          <cell r="N206">
            <v>42766</v>
          </cell>
          <cell r="Q206">
            <v>42769</v>
          </cell>
        </row>
        <row r="207">
          <cell r="M207">
            <v>42766</v>
          </cell>
          <cell r="N207">
            <v>42767</v>
          </cell>
          <cell r="Q207">
            <v>42772</v>
          </cell>
        </row>
        <row r="208">
          <cell r="M208">
            <v>42767</v>
          </cell>
          <cell r="N208">
            <v>42768</v>
          </cell>
          <cell r="Q208">
            <v>42773</v>
          </cell>
        </row>
        <row r="209">
          <cell r="M209">
            <v>42768</v>
          </cell>
          <cell r="N209">
            <v>42769</v>
          </cell>
          <cell r="Q209">
            <v>42774</v>
          </cell>
        </row>
        <row r="210">
          <cell r="M210">
            <v>42769</v>
          </cell>
          <cell r="N210">
            <v>42772</v>
          </cell>
          <cell r="Q210">
            <v>42775</v>
          </cell>
        </row>
        <row r="211">
          <cell r="M211">
            <v>42772</v>
          </cell>
          <cell r="N211">
            <v>42773</v>
          </cell>
          <cell r="Q211">
            <v>42776</v>
          </cell>
        </row>
        <row r="212">
          <cell r="M212">
            <v>42773</v>
          </cell>
          <cell r="N212">
            <v>42774</v>
          </cell>
          <cell r="Q212">
            <v>42779</v>
          </cell>
        </row>
        <row r="213">
          <cell r="M213">
            <v>42774</v>
          </cell>
          <cell r="N213">
            <v>42775</v>
          </cell>
          <cell r="Q213">
            <v>42780</v>
          </cell>
        </row>
        <row r="214">
          <cell r="M214">
            <v>42775</v>
          </cell>
          <cell r="N214">
            <v>42776</v>
          </cell>
          <cell r="Q214">
            <v>42781</v>
          </cell>
        </row>
        <row r="215">
          <cell r="M215">
            <v>42776</v>
          </cell>
          <cell r="N215">
            <v>42779</v>
          </cell>
          <cell r="Q215">
            <v>42782</v>
          </cell>
        </row>
        <row r="216">
          <cell r="M216">
            <v>42779</v>
          </cell>
          <cell r="N216">
            <v>42780</v>
          </cell>
          <cell r="Q216">
            <v>42783</v>
          </cell>
        </row>
        <row r="217">
          <cell r="M217">
            <v>42780</v>
          </cell>
          <cell r="N217">
            <v>42781</v>
          </cell>
          <cell r="Q217">
            <v>42786</v>
          </cell>
        </row>
        <row r="218">
          <cell r="M218">
            <v>42781</v>
          </cell>
          <cell r="N218">
            <v>42782</v>
          </cell>
          <cell r="Q218">
            <v>42787</v>
          </cell>
        </row>
        <row r="219">
          <cell r="M219">
            <v>42782</v>
          </cell>
          <cell r="N219">
            <v>42783</v>
          </cell>
          <cell r="Q219">
            <v>42788</v>
          </cell>
        </row>
        <row r="220">
          <cell r="M220">
            <v>42783</v>
          </cell>
          <cell r="N220">
            <v>42786</v>
          </cell>
          <cell r="Q220">
            <v>42789</v>
          </cell>
        </row>
        <row r="221">
          <cell r="M221">
            <v>42786</v>
          </cell>
          <cell r="N221">
            <v>42787</v>
          </cell>
          <cell r="Q221">
            <v>42790</v>
          </cell>
        </row>
        <row r="222">
          <cell r="M222">
            <v>42787</v>
          </cell>
          <cell r="N222">
            <v>42788</v>
          </cell>
          <cell r="Q222">
            <v>42793</v>
          </cell>
        </row>
        <row r="223">
          <cell r="M223">
            <v>42788</v>
          </cell>
          <cell r="N223">
            <v>42789</v>
          </cell>
          <cell r="Q223">
            <v>42794</v>
          </cell>
        </row>
        <row r="224">
          <cell r="M224">
            <v>42789</v>
          </cell>
          <cell r="N224">
            <v>42790</v>
          </cell>
          <cell r="Q224">
            <v>42795</v>
          </cell>
        </row>
        <row r="225">
          <cell r="M225">
            <v>42790</v>
          </cell>
          <cell r="N225">
            <v>42793</v>
          </cell>
          <cell r="Q225">
            <v>42796</v>
          </cell>
        </row>
        <row r="226">
          <cell r="M226">
            <v>42793</v>
          </cell>
          <cell r="N226">
            <v>42794</v>
          </cell>
          <cell r="Q226">
            <v>42797</v>
          </cell>
        </row>
        <row r="227">
          <cell r="M227">
            <v>42794</v>
          </cell>
          <cell r="N227">
            <v>42795</v>
          </cell>
          <cell r="Q227">
            <v>42800</v>
          </cell>
        </row>
        <row r="228">
          <cell r="M228">
            <v>42795</v>
          </cell>
          <cell r="N228">
            <v>42796</v>
          </cell>
          <cell r="Q228">
            <v>42801</v>
          </cell>
        </row>
        <row r="229">
          <cell r="M229">
            <v>42796</v>
          </cell>
          <cell r="N229">
            <v>42797</v>
          </cell>
          <cell r="Q229">
            <v>42802</v>
          </cell>
        </row>
        <row r="230">
          <cell r="M230">
            <v>42797</v>
          </cell>
          <cell r="N230">
            <v>42800</v>
          </cell>
          <cell r="Q230">
            <v>42803</v>
          </cell>
        </row>
        <row r="231">
          <cell r="M231">
            <v>42800</v>
          </cell>
          <cell r="N231">
            <v>42801</v>
          </cell>
          <cell r="Q231">
            <v>42804</v>
          </cell>
        </row>
        <row r="232">
          <cell r="M232">
            <v>42801</v>
          </cell>
          <cell r="N232">
            <v>42802</v>
          </cell>
          <cell r="Q232">
            <v>42807</v>
          </cell>
        </row>
        <row r="233">
          <cell r="M233">
            <v>42802</v>
          </cell>
          <cell r="N233">
            <v>42803</v>
          </cell>
          <cell r="Q233">
            <v>42808</v>
          </cell>
        </row>
        <row r="234">
          <cell r="M234">
            <v>42803</v>
          </cell>
          <cell r="N234">
            <v>42804</v>
          </cell>
          <cell r="Q234">
            <v>42809</v>
          </cell>
        </row>
        <row r="235">
          <cell r="M235">
            <v>42804</v>
          </cell>
          <cell r="N235">
            <v>42807</v>
          </cell>
          <cell r="Q235">
            <v>42810</v>
          </cell>
        </row>
        <row r="236">
          <cell r="M236">
            <v>42807</v>
          </cell>
          <cell r="N236">
            <v>42808</v>
          </cell>
          <cell r="Q236">
            <v>42811</v>
          </cell>
        </row>
        <row r="237">
          <cell r="M237">
            <v>42808</v>
          </cell>
          <cell r="N237">
            <v>42809</v>
          </cell>
          <cell r="Q237">
            <v>42815</v>
          </cell>
        </row>
        <row r="238">
          <cell r="M238">
            <v>42809</v>
          </cell>
          <cell r="N238">
            <v>42810</v>
          </cell>
          <cell r="Q238">
            <v>42816</v>
          </cell>
        </row>
        <row r="239">
          <cell r="M239">
            <v>42810</v>
          </cell>
          <cell r="N239">
            <v>42811</v>
          </cell>
          <cell r="Q239">
            <v>42817</v>
          </cell>
        </row>
        <row r="240">
          <cell r="M240">
            <v>42811</v>
          </cell>
          <cell r="N240">
            <v>42815</v>
          </cell>
          <cell r="Q240">
            <v>42818</v>
          </cell>
        </row>
        <row r="241">
          <cell r="M241">
            <v>42815</v>
          </cell>
          <cell r="N241">
            <v>42816</v>
          </cell>
          <cell r="Q241">
            <v>42821</v>
          </cell>
        </row>
        <row r="242">
          <cell r="M242">
            <v>42816</v>
          </cell>
          <cell r="N242">
            <v>42817</v>
          </cell>
          <cell r="Q242">
            <v>42822</v>
          </cell>
        </row>
        <row r="243">
          <cell r="M243">
            <v>42817</v>
          </cell>
          <cell r="N243">
            <v>42818</v>
          </cell>
          <cell r="Q243">
            <v>42823</v>
          </cell>
        </row>
        <row r="244">
          <cell r="M244">
            <v>42818</v>
          </cell>
          <cell r="N244">
            <v>42821</v>
          </cell>
          <cell r="Q244">
            <v>42824</v>
          </cell>
        </row>
        <row r="245">
          <cell r="M245">
            <v>42821</v>
          </cell>
          <cell r="N245">
            <v>42822</v>
          </cell>
          <cell r="Q245">
            <v>42825</v>
          </cell>
        </row>
        <row r="246">
          <cell r="M246">
            <v>42822</v>
          </cell>
          <cell r="N246">
            <v>42823</v>
          </cell>
          <cell r="Q246">
            <v>42828</v>
          </cell>
        </row>
        <row r="247">
          <cell r="M247">
            <v>42823</v>
          </cell>
          <cell r="N247">
            <v>42824</v>
          </cell>
          <cell r="Q247">
            <v>42829</v>
          </cell>
        </row>
        <row r="248">
          <cell r="M248">
            <v>42824</v>
          </cell>
          <cell r="N248">
            <v>42825</v>
          </cell>
          <cell r="Q248">
            <v>42830</v>
          </cell>
        </row>
        <row r="249">
          <cell r="M249">
            <v>42825</v>
          </cell>
          <cell r="N249">
            <v>42828</v>
          </cell>
          <cell r="Q249">
            <v>42831</v>
          </cell>
        </row>
        <row r="250">
          <cell r="M250">
            <v>42828</v>
          </cell>
          <cell r="N250">
            <v>42829</v>
          </cell>
          <cell r="Q250">
            <v>42832</v>
          </cell>
        </row>
        <row r="251">
          <cell r="M251">
            <v>42829</v>
          </cell>
          <cell r="N251">
            <v>42830</v>
          </cell>
          <cell r="Q251">
            <v>42835</v>
          </cell>
        </row>
        <row r="252">
          <cell r="M252">
            <v>42830</v>
          </cell>
          <cell r="N252">
            <v>42831</v>
          </cell>
          <cell r="Q252">
            <v>42836</v>
          </cell>
        </row>
        <row r="253">
          <cell r="M253">
            <v>42831</v>
          </cell>
          <cell r="N253">
            <v>42832</v>
          </cell>
          <cell r="Q253">
            <v>42837</v>
          </cell>
        </row>
        <row r="254">
          <cell r="M254">
            <v>42832</v>
          </cell>
          <cell r="N254">
            <v>42835</v>
          </cell>
          <cell r="Q254">
            <v>42838</v>
          </cell>
        </row>
        <row r="255">
          <cell r="M255">
            <v>42835</v>
          </cell>
          <cell r="N255">
            <v>42836</v>
          </cell>
          <cell r="Q255">
            <v>42839</v>
          </cell>
        </row>
        <row r="256">
          <cell r="M256">
            <v>42836</v>
          </cell>
          <cell r="N256">
            <v>42837</v>
          </cell>
          <cell r="Q256">
            <v>42842</v>
          </cell>
        </row>
        <row r="257">
          <cell r="M257">
            <v>42837</v>
          </cell>
          <cell r="N257">
            <v>42838</v>
          </cell>
          <cell r="Q257">
            <v>42843</v>
          </cell>
        </row>
        <row r="258">
          <cell r="M258">
            <v>42838</v>
          </cell>
          <cell r="N258">
            <v>42839</v>
          </cell>
          <cell r="Q258">
            <v>42844</v>
          </cell>
        </row>
        <row r="259">
          <cell r="M259">
            <v>42839</v>
          </cell>
          <cell r="N259">
            <v>42842</v>
          </cell>
          <cell r="Q259">
            <v>42845</v>
          </cell>
        </row>
        <row r="260">
          <cell r="M260">
            <v>42842</v>
          </cell>
          <cell r="N260">
            <v>42843</v>
          </cell>
          <cell r="Q260">
            <v>42846</v>
          </cell>
        </row>
        <row r="261">
          <cell r="M261">
            <v>42843</v>
          </cell>
          <cell r="N261">
            <v>42844</v>
          </cell>
          <cell r="Q261">
            <v>42849</v>
          </cell>
        </row>
        <row r="262">
          <cell r="M262">
            <v>42844</v>
          </cell>
          <cell r="N262">
            <v>42845</v>
          </cell>
          <cell r="Q262">
            <v>42850</v>
          </cell>
        </row>
        <row r="263">
          <cell r="M263">
            <v>42845</v>
          </cell>
          <cell r="N263">
            <v>42846</v>
          </cell>
          <cell r="Q263">
            <v>42851</v>
          </cell>
        </row>
        <row r="264">
          <cell r="M264">
            <v>42846</v>
          </cell>
          <cell r="N264">
            <v>42849</v>
          </cell>
          <cell r="Q264">
            <v>42852</v>
          </cell>
        </row>
        <row r="265">
          <cell r="M265">
            <v>42849</v>
          </cell>
          <cell r="N265">
            <v>42850</v>
          </cell>
          <cell r="Q265">
            <v>42853</v>
          </cell>
        </row>
        <row r="266">
          <cell r="M266">
            <v>42850</v>
          </cell>
          <cell r="N266">
            <v>42851</v>
          </cell>
          <cell r="Q266">
            <v>42863</v>
          </cell>
        </row>
        <row r="267">
          <cell r="M267">
            <v>42851</v>
          </cell>
          <cell r="N267">
            <v>42852</v>
          </cell>
          <cell r="Q267">
            <v>42864</v>
          </cell>
        </row>
        <row r="268">
          <cell r="M268">
            <v>42852</v>
          </cell>
          <cell r="N268">
            <v>42853</v>
          </cell>
          <cell r="Q268">
            <v>42865</v>
          </cell>
        </row>
        <row r="269">
          <cell r="M269">
            <v>42853</v>
          </cell>
          <cell r="N269">
            <v>42863</v>
          </cell>
          <cell r="Q269">
            <v>42866</v>
          </cell>
        </row>
        <row r="270">
          <cell r="M270">
            <v>42863</v>
          </cell>
          <cell r="N270">
            <v>42864</v>
          </cell>
          <cell r="Q270">
            <v>42867</v>
          </cell>
        </row>
        <row r="271">
          <cell r="M271">
            <v>42864</v>
          </cell>
          <cell r="N271">
            <v>42865</v>
          </cell>
          <cell r="Q271">
            <v>42870</v>
          </cell>
        </row>
        <row r="272">
          <cell r="M272">
            <v>42865</v>
          </cell>
          <cell r="N272">
            <v>42866</v>
          </cell>
          <cell r="Q272">
            <v>42871</v>
          </cell>
        </row>
        <row r="273">
          <cell r="M273">
            <v>42866</v>
          </cell>
          <cell r="N273">
            <v>42867</v>
          </cell>
          <cell r="Q273">
            <v>42872</v>
          </cell>
        </row>
        <row r="274">
          <cell r="M274">
            <v>42867</v>
          </cell>
          <cell r="N274">
            <v>42870</v>
          </cell>
          <cell r="Q274">
            <v>42873</v>
          </cell>
        </row>
        <row r="275">
          <cell r="M275">
            <v>42870</v>
          </cell>
          <cell r="N275">
            <v>42871</v>
          </cell>
          <cell r="Q275">
            <v>42874</v>
          </cell>
        </row>
        <row r="276">
          <cell r="M276">
            <v>42871</v>
          </cell>
          <cell r="N276">
            <v>42872</v>
          </cell>
          <cell r="Q276">
            <v>42877</v>
          </cell>
        </row>
        <row r="277">
          <cell r="M277">
            <v>42872</v>
          </cell>
          <cell r="N277">
            <v>42873</v>
          </cell>
          <cell r="Q277">
            <v>42878</v>
          </cell>
        </row>
        <row r="278">
          <cell r="M278">
            <v>42873</v>
          </cell>
          <cell r="N278">
            <v>42874</v>
          </cell>
          <cell r="Q278">
            <v>42879</v>
          </cell>
        </row>
        <row r="279">
          <cell r="M279">
            <v>42874</v>
          </cell>
          <cell r="N279">
            <v>42877</v>
          </cell>
          <cell r="Q279">
            <v>42880</v>
          </cell>
        </row>
        <row r="280">
          <cell r="M280">
            <v>42877</v>
          </cell>
          <cell r="N280">
            <v>42878</v>
          </cell>
          <cell r="Q280">
            <v>42881</v>
          </cell>
        </row>
        <row r="281">
          <cell r="M281">
            <v>42878</v>
          </cell>
          <cell r="N281">
            <v>42879</v>
          </cell>
          <cell r="Q281">
            <v>42884</v>
          </cell>
        </row>
        <row r="282">
          <cell r="M282">
            <v>42879</v>
          </cell>
          <cell r="N282">
            <v>42880</v>
          </cell>
          <cell r="Q282">
            <v>42885</v>
          </cell>
        </row>
        <row r="283">
          <cell r="M283">
            <v>42880</v>
          </cell>
          <cell r="N283">
            <v>42881</v>
          </cell>
          <cell r="Q283">
            <v>42886</v>
          </cell>
        </row>
        <row r="284">
          <cell r="M284">
            <v>42881</v>
          </cell>
          <cell r="N284">
            <v>42884</v>
          </cell>
          <cell r="Q284">
            <v>42887</v>
          </cell>
        </row>
        <row r="285">
          <cell r="M285">
            <v>42884</v>
          </cell>
          <cell r="N285">
            <v>42885</v>
          </cell>
          <cell r="Q285">
            <v>42888</v>
          </cell>
        </row>
        <row r="286">
          <cell r="M286">
            <v>42885</v>
          </cell>
          <cell r="N286">
            <v>42886</v>
          </cell>
          <cell r="Q286">
            <v>42891</v>
          </cell>
        </row>
        <row r="287">
          <cell r="M287">
            <v>42886</v>
          </cell>
          <cell r="N287">
            <v>42887</v>
          </cell>
          <cell r="Q287">
            <v>42892</v>
          </cell>
        </row>
        <row r="288">
          <cell r="M288">
            <v>42887</v>
          </cell>
          <cell r="N288">
            <v>42888</v>
          </cell>
          <cell r="Q288">
            <v>42893</v>
          </cell>
        </row>
        <row r="289">
          <cell r="M289">
            <v>42888</v>
          </cell>
          <cell r="N289">
            <v>42891</v>
          </cell>
          <cell r="Q289">
            <v>42894</v>
          </cell>
        </row>
        <row r="290">
          <cell r="M290">
            <v>42891</v>
          </cell>
          <cell r="N290">
            <v>42892</v>
          </cell>
          <cell r="Q290">
            <v>42895</v>
          </cell>
        </row>
        <row r="291">
          <cell r="M291">
            <v>42892</v>
          </cell>
          <cell r="N291">
            <v>42893</v>
          </cell>
          <cell r="Q291">
            <v>42898</v>
          </cell>
        </row>
        <row r="292">
          <cell r="M292">
            <v>42893</v>
          </cell>
          <cell r="N292">
            <v>42894</v>
          </cell>
          <cell r="Q292">
            <v>42899</v>
          </cell>
        </row>
        <row r="293">
          <cell r="M293">
            <v>42894</v>
          </cell>
          <cell r="N293">
            <v>42895</v>
          </cell>
          <cell r="Q293">
            <v>42900</v>
          </cell>
        </row>
        <row r="294">
          <cell r="M294">
            <v>42895</v>
          </cell>
          <cell r="N294">
            <v>42898</v>
          </cell>
          <cell r="Q294">
            <v>42901</v>
          </cell>
        </row>
        <row r="295">
          <cell r="M295">
            <v>42898</v>
          </cell>
          <cell r="N295">
            <v>42899</v>
          </cell>
          <cell r="Q295">
            <v>42902</v>
          </cell>
        </row>
        <row r="296">
          <cell r="M296">
            <v>42899</v>
          </cell>
          <cell r="N296">
            <v>42900</v>
          </cell>
          <cell r="Q296">
            <v>42905</v>
          </cell>
        </row>
        <row r="297">
          <cell r="M297">
            <v>42900</v>
          </cell>
          <cell r="N297">
            <v>42901</v>
          </cell>
          <cell r="Q297">
            <v>42906</v>
          </cell>
        </row>
        <row r="298">
          <cell r="M298">
            <v>42901</v>
          </cell>
          <cell r="N298">
            <v>42902</v>
          </cell>
          <cell r="Q298">
            <v>42907</v>
          </cell>
        </row>
        <row r="299">
          <cell r="M299">
            <v>42902</v>
          </cell>
          <cell r="N299">
            <v>42905</v>
          </cell>
          <cell r="Q299">
            <v>42908</v>
          </cell>
        </row>
        <row r="300">
          <cell r="M300">
            <v>42905</v>
          </cell>
          <cell r="N300">
            <v>42906</v>
          </cell>
          <cell r="Q300">
            <v>42909</v>
          </cell>
        </row>
        <row r="301">
          <cell r="M301">
            <v>42906</v>
          </cell>
          <cell r="N301">
            <v>42907</v>
          </cell>
          <cell r="Q301">
            <v>42912</v>
          </cell>
        </row>
        <row r="302">
          <cell r="M302">
            <v>42907</v>
          </cell>
          <cell r="N302">
            <v>42908</v>
          </cell>
          <cell r="Q302">
            <v>42913</v>
          </cell>
        </row>
        <row r="303">
          <cell r="M303">
            <v>42908</v>
          </cell>
          <cell r="N303">
            <v>42909</v>
          </cell>
          <cell r="Q303">
            <v>42914</v>
          </cell>
        </row>
        <row r="304">
          <cell r="M304">
            <v>42909</v>
          </cell>
          <cell r="N304">
            <v>42912</v>
          </cell>
          <cell r="Q304">
            <v>42915</v>
          </cell>
        </row>
        <row r="305">
          <cell r="M305">
            <v>42912</v>
          </cell>
          <cell r="N305">
            <v>42913</v>
          </cell>
          <cell r="Q305">
            <v>42916</v>
          </cell>
        </row>
        <row r="306">
          <cell r="M306">
            <v>42913</v>
          </cell>
          <cell r="N306">
            <v>42914</v>
          </cell>
          <cell r="Q306">
            <v>42919</v>
          </cell>
        </row>
        <row r="307">
          <cell r="M307">
            <v>42914</v>
          </cell>
          <cell r="N307">
            <v>42915</v>
          </cell>
          <cell r="Q307">
            <v>42920</v>
          </cell>
        </row>
        <row r="308">
          <cell r="M308">
            <v>42915</v>
          </cell>
          <cell r="N308">
            <v>42916</v>
          </cell>
          <cell r="Q308">
            <v>42921</v>
          </cell>
        </row>
        <row r="309">
          <cell r="M309">
            <v>42916</v>
          </cell>
          <cell r="N309">
            <v>42919</v>
          </cell>
          <cell r="Q309">
            <v>42922</v>
          </cell>
        </row>
        <row r="310">
          <cell r="M310">
            <v>42919</v>
          </cell>
          <cell r="N310">
            <v>42920</v>
          </cell>
          <cell r="Q310">
            <v>42923</v>
          </cell>
        </row>
        <row r="311">
          <cell r="M311">
            <v>42920</v>
          </cell>
          <cell r="N311">
            <v>42921</v>
          </cell>
          <cell r="Q311">
            <v>42926</v>
          </cell>
        </row>
        <row r="312">
          <cell r="M312">
            <v>42921</v>
          </cell>
          <cell r="N312">
            <v>42922</v>
          </cell>
          <cell r="Q312">
            <v>42927</v>
          </cell>
        </row>
        <row r="313">
          <cell r="M313">
            <v>42922</v>
          </cell>
          <cell r="N313">
            <v>42923</v>
          </cell>
          <cell r="Q313">
            <v>42928</v>
          </cell>
        </row>
        <row r="314">
          <cell r="M314">
            <v>42923</v>
          </cell>
          <cell r="N314">
            <v>42926</v>
          </cell>
          <cell r="Q314">
            <v>42929</v>
          </cell>
        </row>
        <row r="315">
          <cell r="M315">
            <v>42926</v>
          </cell>
          <cell r="N315">
            <v>42927</v>
          </cell>
          <cell r="Q315">
            <v>42930</v>
          </cell>
        </row>
        <row r="316">
          <cell r="M316">
            <v>42927</v>
          </cell>
          <cell r="N316">
            <v>42928</v>
          </cell>
          <cell r="Q316">
            <v>42934</v>
          </cell>
        </row>
        <row r="317">
          <cell r="M317">
            <v>42928</v>
          </cell>
          <cell r="N317">
            <v>42929</v>
          </cell>
          <cell r="Q317">
            <v>42935</v>
          </cell>
        </row>
        <row r="318">
          <cell r="M318">
            <v>42929</v>
          </cell>
          <cell r="N318">
            <v>42930</v>
          </cell>
          <cell r="Q318">
            <v>42936</v>
          </cell>
        </row>
        <row r="319">
          <cell r="M319">
            <v>42930</v>
          </cell>
          <cell r="N319">
            <v>42934</v>
          </cell>
          <cell r="Q319">
            <v>42937</v>
          </cell>
        </row>
        <row r="320">
          <cell r="M320">
            <v>42934</v>
          </cell>
          <cell r="N320">
            <v>42935</v>
          </cell>
          <cell r="Q320">
            <v>42940</v>
          </cell>
        </row>
        <row r="321">
          <cell r="M321">
            <v>42935</v>
          </cell>
          <cell r="N321">
            <v>42936</v>
          </cell>
          <cell r="Q321">
            <v>42941</v>
          </cell>
        </row>
        <row r="322">
          <cell r="M322">
            <v>42936</v>
          </cell>
          <cell r="N322">
            <v>42937</v>
          </cell>
          <cell r="Q322">
            <v>42942</v>
          </cell>
        </row>
        <row r="323">
          <cell r="M323">
            <v>42937</v>
          </cell>
          <cell r="N323">
            <v>42940</v>
          </cell>
          <cell r="Q323">
            <v>42943</v>
          </cell>
        </row>
        <row r="324">
          <cell r="M324">
            <v>42940</v>
          </cell>
          <cell r="N324">
            <v>42941</v>
          </cell>
          <cell r="Q324">
            <v>42944</v>
          </cell>
        </row>
        <row r="325">
          <cell r="M325">
            <v>42941</v>
          </cell>
          <cell r="N325">
            <v>42942</v>
          </cell>
          <cell r="Q325">
            <v>42947</v>
          </cell>
        </row>
        <row r="326">
          <cell r="M326">
            <v>42942</v>
          </cell>
          <cell r="N326">
            <v>42943</v>
          </cell>
          <cell r="Q326">
            <v>42948</v>
          </cell>
        </row>
        <row r="327">
          <cell r="M327">
            <v>42943</v>
          </cell>
          <cell r="N327">
            <v>42944</v>
          </cell>
          <cell r="Q327">
            <v>42949</v>
          </cell>
        </row>
        <row r="328">
          <cell r="M328">
            <v>42944</v>
          </cell>
          <cell r="N328">
            <v>42947</v>
          </cell>
          <cell r="Q328">
            <v>42950</v>
          </cell>
        </row>
        <row r="329">
          <cell r="M329">
            <v>42947</v>
          </cell>
          <cell r="N329">
            <v>42948</v>
          </cell>
          <cell r="Q329">
            <v>42951</v>
          </cell>
        </row>
        <row r="330">
          <cell r="M330">
            <v>42948</v>
          </cell>
          <cell r="N330">
            <v>42949</v>
          </cell>
          <cell r="Q330">
            <v>42954</v>
          </cell>
        </row>
        <row r="331">
          <cell r="M331">
            <v>42949</v>
          </cell>
          <cell r="N331">
            <v>42950</v>
          </cell>
          <cell r="Q331">
            <v>42955</v>
          </cell>
        </row>
        <row r="332">
          <cell r="M332">
            <v>42950</v>
          </cell>
          <cell r="N332">
            <v>42951</v>
          </cell>
          <cell r="Q332">
            <v>42956</v>
          </cell>
        </row>
        <row r="333">
          <cell r="M333">
            <v>42951</v>
          </cell>
          <cell r="N333">
            <v>42954</v>
          </cell>
          <cell r="Q333">
            <v>42957</v>
          </cell>
        </row>
        <row r="334">
          <cell r="M334">
            <v>42954</v>
          </cell>
          <cell r="N334">
            <v>42955</v>
          </cell>
          <cell r="Q334">
            <v>42968</v>
          </cell>
        </row>
        <row r="335">
          <cell r="M335">
            <v>42955</v>
          </cell>
          <cell r="N335">
            <v>42956</v>
          </cell>
          <cell r="Q335">
            <v>42969</v>
          </cell>
        </row>
        <row r="336">
          <cell r="M336">
            <v>42956</v>
          </cell>
          <cell r="N336">
            <v>42957</v>
          </cell>
          <cell r="Q336">
            <v>42970</v>
          </cell>
        </row>
        <row r="337">
          <cell r="M337">
            <v>42957</v>
          </cell>
          <cell r="N337">
            <v>42968</v>
          </cell>
          <cell r="Q337">
            <v>42971</v>
          </cell>
        </row>
        <row r="338">
          <cell r="M338">
            <v>42968</v>
          </cell>
          <cell r="N338">
            <v>42969</v>
          </cell>
          <cell r="Q338">
            <v>42972</v>
          </cell>
        </row>
        <row r="339">
          <cell r="M339">
            <v>42969</v>
          </cell>
          <cell r="N339">
            <v>42970</v>
          </cell>
          <cell r="Q339">
            <v>42975</v>
          </cell>
        </row>
        <row r="340">
          <cell r="M340">
            <v>42970</v>
          </cell>
          <cell r="N340">
            <v>42971</v>
          </cell>
          <cell r="Q340">
            <v>42976</v>
          </cell>
        </row>
        <row r="341">
          <cell r="M341">
            <v>42971</v>
          </cell>
          <cell r="N341">
            <v>42972</v>
          </cell>
          <cell r="Q341">
            <v>42977</v>
          </cell>
        </row>
        <row r="342">
          <cell r="M342">
            <v>42972</v>
          </cell>
          <cell r="N342">
            <v>42975</v>
          </cell>
          <cell r="Q342">
            <v>42978</v>
          </cell>
        </row>
        <row r="343">
          <cell r="M343">
            <v>42975</v>
          </cell>
          <cell r="N343">
            <v>42976</v>
          </cell>
          <cell r="Q343">
            <v>42979</v>
          </cell>
        </row>
        <row r="344">
          <cell r="M344">
            <v>42976</v>
          </cell>
          <cell r="N344">
            <v>42977</v>
          </cell>
          <cell r="Q344">
            <v>42982</v>
          </cell>
        </row>
        <row r="345">
          <cell r="M345">
            <v>42977</v>
          </cell>
          <cell r="N345">
            <v>42978</v>
          </cell>
          <cell r="Q345">
            <v>42983</v>
          </cell>
        </row>
        <row r="346">
          <cell r="M346">
            <v>42978</v>
          </cell>
          <cell r="N346">
            <v>42979</v>
          </cell>
          <cell r="Q346">
            <v>42984</v>
          </cell>
        </row>
        <row r="347">
          <cell r="M347">
            <v>42979</v>
          </cell>
          <cell r="N347">
            <v>42982</v>
          </cell>
          <cell r="Q347">
            <v>42985</v>
          </cell>
        </row>
        <row r="348">
          <cell r="M348">
            <v>42982</v>
          </cell>
          <cell r="N348">
            <v>42983</v>
          </cell>
          <cell r="Q348">
            <v>42986</v>
          </cell>
        </row>
        <row r="349">
          <cell r="M349">
            <v>42983</v>
          </cell>
          <cell r="N349">
            <v>42984</v>
          </cell>
          <cell r="Q349">
            <v>42989</v>
          </cell>
        </row>
        <row r="350">
          <cell r="M350">
            <v>42984</v>
          </cell>
          <cell r="N350">
            <v>42985</v>
          </cell>
          <cell r="Q350">
            <v>42990</v>
          </cell>
        </row>
        <row r="351">
          <cell r="M351">
            <v>42985</v>
          </cell>
          <cell r="N351">
            <v>42986</v>
          </cell>
          <cell r="Q351">
            <v>42991</v>
          </cell>
        </row>
        <row r="352">
          <cell r="M352">
            <v>42986</v>
          </cell>
          <cell r="N352">
            <v>42989</v>
          </cell>
          <cell r="Q352">
            <v>42992</v>
          </cell>
        </row>
        <row r="353">
          <cell r="M353">
            <v>42989</v>
          </cell>
          <cell r="N353">
            <v>42990</v>
          </cell>
          <cell r="Q353">
            <v>42993</v>
          </cell>
        </row>
        <row r="354">
          <cell r="M354">
            <v>42990</v>
          </cell>
          <cell r="N354">
            <v>42991</v>
          </cell>
          <cell r="Q354">
            <v>42997</v>
          </cell>
        </row>
        <row r="355">
          <cell r="M355">
            <v>42991</v>
          </cell>
          <cell r="N355">
            <v>42992</v>
          </cell>
          <cell r="Q355">
            <v>42998</v>
          </cell>
        </row>
        <row r="356">
          <cell r="M356">
            <v>42992</v>
          </cell>
          <cell r="N356">
            <v>42993</v>
          </cell>
          <cell r="Q356">
            <v>42999</v>
          </cell>
        </row>
        <row r="357">
          <cell r="M357">
            <v>42993</v>
          </cell>
          <cell r="N357">
            <v>42997</v>
          </cell>
          <cell r="Q357">
            <v>43000</v>
          </cell>
        </row>
        <row r="358">
          <cell r="M358">
            <v>42997</v>
          </cell>
          <cell r="N358">
            <v>42998</v>
          </cell>
          <cell r="Q358">
            <v>43003</v>
          </cell>
        </row>
        <row r="359">
          <cell r="M359">
            <v>42998</v>
          </cell>
          <cell r="N359">
            <v>42999</v>
          </cell>
          <cell r="Q359">
            <v>43004</v>
          </cell>
        </row>
        <row r="360">
          <cell r="M360">
            <v>42999</v>
          </cell>
          <cell r="N360">
            <v>43000</v>
          </cell>
          <cell r="Q360">
            <v>43005</v>
          </cell>
        </row>
        <row r="361">
          <cell r="M361">
            <v>43000</v>
          </cell>
          <cell r="N361">
            <v>43003</v>
          </cell>
          <cell r="Q361">
            <v>43006</v>
          </cell>
        </row>
        <row r="362">
          <cell r="M362">
            <v>43003</v>
          </cell>
          <cell r="N362">
            <v>43004</v>
          </cell>
          <cell r="Q362">
            <v>43007</v>
          </cell>
        </row>
        <row r="363">
          <cell r="M363">
            <v>43004</v>
          </cell>
          <cell r="N363">
            <v>43005</v>
          </cell>
          <cell r="Q363">
            <v>43010</v>
          </cell>
        </row>
        <row r="364">
          <cell r="M364">
            <v>43005</v>
          </cell>
          <cell r="N364">
            <v>43006</v>
          </cell>
          <cell r="Q364">
            <v>43011</v>
          </cell>
        </row>
        <row r="365">
          <cell r="M365">
            <v>43006</v>
          </cell>
          <cell r="N365">
            <v>43007</v>
          </cell>
          <cell r="Q365">
            <v>43012</v>
          </cell>
        </row>
        <row r="366">
          <cell r="M366">
            <v>43007</v>
          </cell>
          <cell r="N366">
            <v>43010</v>
          </cell>
          <cell r="Q366">
            <v>43013</v>
          </cell>
        </row>
        <row r="367">
          <cell r="M367">
            <v>43010</v>
          </cell>
          <cell r="N367">
            <v>43011</v>
          </cell>
          <cell r="Q367">
            <v>43014</v>
          </cell>
        </row>
        <row r="368">
          <cell r="M368">
            <v>43011</v>
          </cell>
          <cell r="N368">
            <v>43012</v>
          </cell>
          <cell r="Q368">
            <v>43018</v>
          </cell>
        </row>
        <row r="369">
          <cell r="M369">
            <v>43012</v>
          </cell>
          <cell r="N369">
            <v>43013</v>
          </cell>
          <cell r="Q369">
            <v>43019</v>
          </cell>
        </row>
        <row r="370">
          <cell r="M370">
            <v>43013</v>
          </cell>
          <cell r="N370">
            <v>43014</v>
          </cell>
          <cell r="Q370">
            <v>43020</v>
          </cell>
        </row>
        <row r="371">
          <cell r="M371">
            <v>43014</v>
          </cell>
          <cell r="N371">
            <v>43018</v>
          </cell>
          <cell r="Q371">
            <v>43021</v>
          </cell>
        </row>
        <row r="372">
          <cell r="M372">
            <v>43018</v>
          </cell>
          <cell r="N372">
            <v>43019</v>
          </cell>
          <cell r="Q372">
            <v>43024</v>
          </cell>
        </row>
        <row r="373">
          <cell r="M373">
            <v>43019</v>
          </cell>
          <cell r="N373">
            <v>43020</v>
          </cell>
          <cell r="Q373">
            <v>43025</v>
          </cell>
        </row>
        <row r="374">
          <cell r="M374">
            <v>43020</v>
          </cell>
          <cell r="N374">
            <v>43021</v>
          </cell>
          <cell r="Q374">
            <v>43026</v>
          </cell>
        </row>
        <row r="375">
          <cell r="M375">
            <v>43021</v>
          </cell>
          <cell r="N375">
            <v>43024</v>
          </cell>
          <cell r="Q375">
            <v>43027</v>
          </cell>
        </row>
        <row r="376">
          <cell r="M376">
            <v>43024</v>
          </cell>
          <cell r="N376">
            <v>43025</v>
          </cell>
          <cell r="Q376">
            <v>43028</v>
          </cell>
        </row>
        <row r="377">
          <cell r="M377">
            <v>43025</v>
          </cell>
          <cell r="N377">
            <v>43026</v>
          </cell>
          <cell r="Q377">
            <v>43031</v>
          </cell>
        </row>
        <row r="378">
          <cell r="M378">
            <v>43026</v>
          </cell>
          <cell r="N378">
            <v>43027</v>
          </cell>
          <cell r="Q378">
            <v>43032</v>
          </cell>
        </row>
        <row r="379">
          <cell r="M379">
            <v>43027</v>
          </cell>
          <cell r="N379">
            <v>43028</v>
          </cell>
          <cell r="Q379">
            <v>43033</v>
          </cell>
        </row>
        <row r="380">
          <cell r="M380">
            <v>43028</v>
          </cell>
          <cell r="N380">
            <v>43031</v>
          </cell>
          <cell r="Q380">
            <v>43034</v>
          </cell>
        </row>
        <row r="381">
          <cell r="M381">
            <v>43031</v>
          </cell>
          <cell r="N381">
            <v>43032</v>
          </cell>
          <cell r="Q381">
            <v>43035</v>
          </cell>
        </row>
        <row r="382">
          <cell r="M382">
            <v>43032</v>
          </cell>
          <cell r="N382">
            <v>43033</v>
          </cell>
          <cell r="Q382">
            <v>43038</v>
          </cell>
        </row>
        <row r="383">
          <cell r="M383">
            <v>43033</v>
          </cell>
          <cell r="N383">
            <v>43034</v>
          </cell>
          <cell r="Q383">
            <v>43039</v>
          </cell>
        </row>
        <row r="384">
          <cell r="M384">
            <v>43034</v>
          </cell>
          <cell r="N384">
            <v>43035</v>
          </cell>
          <cell r="Q384">
            <v>43040</v>
          </cell>
        </row>
        <row r="385">
          <cell r="M385">
            <v>43035</v>
          </cell>
          <cell r="N385">
            <v>43038</v>
          </cell>
          <cell r="Q385">
            <v>43041</v>
          </cell>
        </row>
        <row r="386">
          <cell r="M386">
            <v>43038</v>
          </cell>
          <cell r="N386">
            <v>43039</v>
          </cell>
          <cell r="Q386">
            <v>43045</v>
          </cell>
        </row>
        <row r="387">
          <cell r="M387">
            <v>43039</v>
          </cell>
          <cell r="N387">
            <v>43040</v>
          </cell>
          <cell r="Q387">
            <v>43046</v>
          </cell>
        </row>
        <row r="388">
          <cell r="M388">
            <v>43040</v>
          </cell>
          <cell r="N388">
            <v>43041</v>
          </cell>
          <cell r="Q388">
            <v>43047</v>
          </cell>
        </row>
        <row r="389">
          <cell r="M389">
            <v>43041</v>
          </cell>
          <cell r="N389">
            <v>43045</v>
          </cell>
          <cell r="Q389">
            <v>43048</v>
          </cell>
        </row>
        <row r="390">
          <cell r="M390">
            <v>43045</v>
          </cell>
          <cell r="N390">
            <v>43046</v>
          </cell>
          <cell r="Q390">
            <v>43049</v>
          </cell>
        </row>
        <row r="391">
          <cell r="M391">
            <v>43046</v>
          </cell>
          <cell r="N391">
            <v>43047</v>
          </cell>
          <cell r="Q391">
            <v>43052</v>
          </cell>
        </row>
        <row r="392">
          <cell r="M392">
            <v>43047</v>
          </cell>
          <cell r="N392">
            <v>43048</v>
          </cell>
          <cell r="Q392">
            <v>43053</v>
          </cell>
        </row>
        <row r="393">
          <cell r="M393">
            <v>43048</v>
          </cell>
          <cell r="N393">
            <v>43049</v>
          </cell>
          <cell r="Q393">
            <v>43054</v>
          </cell>
        </row>
        <row r="394">
          <cell r="M394">
            <v>43049</v>
          </cell>
          <cell r="N394">
            <v>43052</v>
          </cell>
          <cell r="Q394">
            <v>43055</v>
          </cell>
        </row>
        <row r="395">
          <cell r="M395">
            <v>43052</v>
          </cell>
          <cell r="N395">
            <v>43053</v>
          </cell>
          <cell r="Q395">
            <v>43056</v>
          </cell>
        </row>
        <row r="396">
          <cell r="M396">
            <v>43053</v>
          </cell>
          <cell r="N396">
            <v>43054</v>
          </cell>
          <cell r="Q396">
            <v>43059</v>
          </cell>
        </row>
        <row r="397">
          <cell r="M397">
            <v>43054</v>
          </cell>
          <cell r="N397">
            <v>43055</v>
          </cell>
          <cell r="Q397">
            <v>43060</v>
          </cell>
        </row>
        <row r="398">
          <cell r="M398">
            <v>43055</v>
          </cell>
          <cell r="N398">
            <v>43056</v>
          </cell>
          <cell r="Q398">
            <v>43061</v>
          </cell>
        </row>
        <row r="399">
          <cell r="M399">
            <v>43056</v>
          </cell>
          <cell r="N399">
            <v>43059</v>
          </cell>
          <cell r="Q399">
            <v>43063</v>
          </cell>
        </row>
        <row r="400">
          <cell r="M400">
            <v>43059</v>
          </cell>
          <cell r="N400">
            <v>43060</v>
          </cell>
          <cell r="Q400">
            <v>43066</v>
          </cell>
        </row>
        <row r="401">
          <cell r="M401">
            <v>43060</v>
          </cell>
          <cell r="N401">
            <v>43061</v>
          </cell>
          <cell r="Q401">
            <v>43067</v>
          </cell>
        </row>
        <row r="402">
          <cell r="M402">
            <v>43061</v>
          </cell>
          <cell r="N402">
            <v>43063</v>
          </cell>
          <cell r="Q402">
            <v>43068</v>
          </cell>
        </row>
        <row r="403">
          <cell r="M403">
            <v>43063</v>
          </cell>
          <cell r="N403">
            <v>43066</v>
          </cell>
          <cell r="Q403">
            <v>43069</v>
          </cell>
        </row>
        <row r="404">
          <cell r="M404">
            <v>43066</v>
          </cell>
          <cell r="N404">
            <v>43067</v>
          </cell>
          <cell r="Q404">
            <v>43070</v>
          </cell>
        </row>
        <row r="405">
          <cell r="M405">
            <v>43067</v>
          </cell>
          <cell r="N405">
            <v>43068</v>
          </cell>
          <cell r="Q405">
            <v>43073</v>
          </cell>
        </row>
        <row r="406">
          <cell r="M406">
            <v>43068</v>
          </cell>
          <cell r="N406">
            <v>43069</v>
          </cell>
          <cell r="Q406">
            <v>43074</v>
          </cell>
        </row>
        <row r="407">
          <cell r="M407">
            <v>43069</v>
          </cell>
          <cell r="N407">
            <v>43070</v>
          </cell>
          <cell r="Q407">
            <v>43075</v>
          </cell>
        </row>
        <row r="408">
          <cell r="M408">
            <v>43070</v>
          </cell>
          <cell r="N408">
            <v>43073</v>
          </cell>
          <cell r="Q408">
            <v>43076</v>
          </cell>
        </row>
        <row r="409">
          <cell r="M409">
            <v>43073</v>
          </cell>
          <cell r="N409">
            <v>43074</v>
          </cell>
          <cell r="Q409">
            <v>43077</v>
          </cell>
        </row>
        <row r="410">
          <cell r="M410">
            <v>43074</v>
          </cell>
          <cell r="N410">
            <v>43075</v>
          </cell>
          <cell r="Q410">
            <v>43080</v>
          </cell>
        </row>
        <row r="411">
          <cell r="M411">
            <v>43075</v>
          </cell>
          <cell r="N411">
            <v>43076</v>
          </cell>
          <cell r="Q411">
            <v>43081</v>
          </cell>
        </row>
        <row r="412">
          <cell r="M412">
            <v>43076</v>
          </cell>
          <cell r="N412">
            <v>43077</v>
          </cell>
          <cell r="Q412">
            <v>43082</v>
          </cell>
        </row>
        <row r="413">
          <cell r="M413">
            <v>43077</v>
          </cell>
          <cell r="N413">
            <v>43080</v>
          </cell>
          <cell r="Q413">
            <v>43083</v>
          </cell>
        </row>
        <row r="414">
          <cell r="M414">
            <v>43080</v>
          </cell>
          <cell r="N414">
            <v>43081</v>
          </cell>
          <cell r="Q414">
            <v>43084</v>
          </cell>
        </row>
        <row r="415">
          <cell r="M415">
            <v>43081</v>
          </cell>
          <cell r="N415">
            <v>43082</v>
          </cell>
          <cell r="Q415">
            <v>43087</v>
          </cell>
        </row>
        <row r="416">
          <cell r="M416">
            <v>43082</v>
          </cell>
          <cell r="N416">
            <v>43083</v>
          </cell>
          <cell r="Q416">
            <v>43088</v>
          </cell>
        </row>
        <row r="417">
          <cell r="M417">
            <v>43083</v>
          </cell>
          <cell r="N417">
            <v>43084</v>
          </cell>
          <cell r="Q417">
            <v>43089</v>
          </cell>
        </row>
        <row r="418">
          <cell r="M418">
            <v>43084</v>
          </cell>
          <cell r="N418">
            <v>43087</v>
          </cell>
          <cell r="Q418">
            <v>43090</v>
          </cell>
        </row>
        <row r="419">
          <cell r="M419">
            <v>43087</v>
          </cell>
          <cell r="N419">
            <v>43088</v>
          </cell>
          <cell r="Q419">
            <v>43091</v>
          </cell>
        </row>
        <row r="420">
          <cell r="M420">
            <v>43088</v>
          </cell>
          <cell r="N420">
            <v>43089</v>
          </cell>
          <cell r="Q420">
            <v>43094</v>
          </cell>
        </row>
        <row r="421">
          <cell r="M421">
            <v>43089</v>
          </cell>
          <cell r="N421">
            <v>43090</v>
          </cell>
          <cell r="Q421">
            <v>43095</v>
          </cell>
        </row>
        <row r="422">
          <cell r="M422">
            <v>43090</v>
          </cell>
          <cell r="N422">
            <v>43091</v>
          </cell>
          <cell r="Q422">
            <v>43096</v>
          </cell>
        </row>
        <row r="423">
          <cell r="M423">
            <v>43091</v>
          </cell>
          <cell r="N423">
            <v>43094</v>
          </cell>
          <cell r="Q423">
            <v>43097</v>
          </cell>
        </row>
        <row r="424">
          <cell r="M424">
            <v>43094</v>
          </cell>
          <cell r="N424">
            <v>43095</v>
          </cell>
          <cell r="Q424">
            <v>43105</v>
          </cell>
        </row>
        <row r="425">
          <cell r="M425">
            <v>43095</v>
          </cell>
          <cell r="N425">
            <v>43096</v>
          </cell>
          <cell r="Q425">
            <v>43106</v>
          </cell>
        </row>
        <row r="426">
          <cell r="M426">
            <v>43096</v>
          </cell>
          <cell r="N426">
            <v>43097</v>
          </cell>
          <cell r="Q426">
            <v>43109</v>
          </cell>
        </row>
        <row r="427">
          <cell r="M427">
            <v>43097</v>
          </cell>
          <cell r="N427">
            <v>43105</v>
          </cell>
          <cell r="Q427">
            <v>43110</v>
          </cell>
        </row>
        <row r="428">
          <cell r="M428">
            <v>43105</v>
          </cell>
          <cell r="N428">
            <v>43106</v>
          </cell>
          <cell r="Q428">
            <v>43111</v>
          </cell>
        </row>
        <row r="429">
          <cell r="M429">
            <v>43106</v>
          </cell>
          <cell r="N429">
            <v>43109</v>
          </cell>
          <cell r="Q429">
            <v>43112</v>
          </cell>
        </row>
        <row r="430">
          <cell r="M430">
            <v>43109</v>
          </cell>
          <cell r="N430">
            <v>43110</v>
          </cell>
          <cell r="Q430">
            <v>43115</v>
          </cell>
        </row>
        <row r="431">
          <cell r="M431">
            <v>43110</v>
          </cell>
          <cell r="N431">
            <v>43111</v>
          </cell>
          <cell r="Q431">
            <v>43116</v>
          </cell>
        </row>
        <row r="432">
          <cell r="M432">
            <v>43111</v>
          </cell>
          <cell r="N432">
            <v>43112</v>
          </cell>
          <cell r="Q432">
            <v>43117</v>
          </cell>
        </row>
        <row r="433">
          <cell r="M433">
            <v>43112</v>
          </cell>
          <cell r="N433">
            <v>43115</v>
          </cell>
          <cell r="Q433">
            <v>43118</v>
          </cell>
        </row>
        <row r="434">
          <cell r="M434">
            <v>43115</v>
          </cell>
          <cell r="N434">
            <v>43116</v>
          </cell>
          <cell r="Q434">
            <v>43119</v>
          </cell>
        </row>
        <row r="435">
          <cell r="M435">
            <v>43116</v>
          </cell>
          <cell r="N435">
            <v>43117</v>
          </cell>
          <cell r="Q435">
            <v>43122</v>
          </cell>
        </row>
        <row r="436">
          <cell r="M436">
            <v>43117</v>
          </cell>
          <cell r="N436">
            <v>43118</v>
          </cell>
          <cell r="Q436">
            <v>43123</v>
          </cell>
        </row>
        <row r="437">
          <cell r="M437">
            <v>43118</v>
          </cell>
          <cell r="N437">
            <v>43119</v>
          </cell>
          <cell r="Q437">
            <v>43124</v>
          </cell>
        </row>
        <row r="438">
          <cell r="M438">
            <v>43119</v>
          </cell>
          <cell r="N438">
            <v>43122</v>
          </cell>
          <cell r="Q438">
            <v>43125</v>
          </cell>
        </row>
        <row r="439">
          <cell r="M439">
            <v>43122</v>
          </cell>
          <cell r="N439">
            <v>43123</v>
          </cell>
          <cell r="Q439">
            <v>43126</v>
          </cell>
        </row>
        <row r="440">
          <cell r="M440">
            <v>43123</v>
          </cell>
          <cell r="N440">
            <v>43124</v>
          </cell>
          <cell r="Q440">
            <v>43129</v>
          </cell>
        </row>
        <row r="441">
          <cell r="M441">
            <v>43124</v>
          </cell>
          <cell r="N441">
            <v>43125</v>
          </cell>
          <cell r="Q441">
            <v>43130</v>
          </cell>
        </row>
        <row r="442">
          <cell r="M442">
            <v>43125</v>
          </cell>
          <cell r="N442">
            <v>43126</v>
          </cell>
          <cell r="Q442">
            <v>43131</v>
          </cell>
        </row>
        <row r="443">
          <cell r="M443">
            <v>43126</v>
          </cell>
          <cell r="N443">
            <v>43129</v>
          </cell>
          <cell r="Q443">
            <v>43132</v>
          </cell>
        </row>
        <row r="444">
          <cell r="M444">
            <v>43129</v>
          </cell>
          <cell r="N444">
            <v>43130</v>
          </cell>
          <cell r="Q444">
            <v>43133</v>
          </cell>
        </row>
        <row r="445">
          <cell r="M445">
            <v>43130</v>
          </cell>
          <cell r="N445">
            <v>43131</v>
          </cell>
          <cell r="Q445">
            <v>43136</v>
          </cell>
        </row>
        <row r="446">
          <cell r="M446">
            <v>43131</v>
          </cell>
          <cell r="N446">
            <v>43132</v>
          </cell>
          <cell r="Q446">
            <v>43137</v>
          </cell>
        </row>
        <row r="447">
          <cell r="M447">
            <v>43132</v>
          </cell>
          <cell r="N447">
            <v>43133</v>
          </cell>
          <cell r="Q447">
            <v>43138</v>
          </cell>
        </row>
        <row r="448">
          <cell r="M448">
            <v>43133</v>
          </cell>
          <cell r="N448">
            <v>43136</v>
          </cell>
          <cell r="Q448">
            <v>43139</v>
          </cell>
        </row>
        <row r="449">
          <cell r="M449">
            <v>43136</v>
          </cell>
          <cell r="N449">
            <v>43137</v>
          </cell>
          <cell r="Q449">
            <v>43140</v>
          </cell>
        </row>
        <row r="450">
          <cell r="M450">
            <v>43137</v>
          </cell>
          <cell r="N450">
            <v>43138</v>
          </cell>
          <cell r="Q450">
            <v>43144</v>
          </cell>
        </row>
        <row r="451">
          <cell r="M451">
            <v>43138</v>
          </cell>
          <cell r="N451">
            <v>43139</v>
          </cell>
          <cell r="Q451">
            <v>43145</v>
          </cell>
        </row>
        <row r="452">
          <cell r="M452">
            <v>43139</v>
          </cell>
          <cell r="N452">
            <v>43140</v>
          </cell>
          <cell r="Q452">
            <v>43146</v>
          </cell>
        </row>
        <row r="453">
          <cell r="M453">
            <v>43140</v>
          </cell>
          <cell r="N453">
            <v>43144</v>
          </cell>
          <cell r="Q453">
            <v>43147</v>
          </cell>
        </row>
        <row r="454">
          <cell r="M454">
            <v>43144</v>
          </cell>
          <cell r="N454">
            <v>43145</v>
          </cell>
          <cell r="Q454">
            <v>43150</v>
          </cell>
        </row>
        <row r="455">
          <cell r="M455">
            <v>43145</v>
          </cell>
          <cell r="N455">
            <v>43146</v>
          </cell>
          <cell r="Q455">
            <v>43151</v>
          </cell>
        </row>
        <row r="456">
          <cell r="M456">
            <v>43146</v>
          </cell>
          <cell r="N456">
            <v>43147</v>
          </cell>
          <cell r="Q456">
            <v>43152</v>
          </cell>
        </row>
        <row r="457">
          <cell r="M457">
            <v>43147</v>
          </cell>
          <cell r="N457">
            <v>43150</v>
          </cell>
          <cell r="Q457">
            <v>43153</v>
          </cell>
        </row>
        <row r="458">
          <cell r="M458">
            <v>43150</v>
          </cell>
          <cell r="N458">
            <v>43151</v>
          </cell>
          <cell r="Q458">
            <v>43154</v>
          </cell>
        </row>
        <row r="459">
          <cell r="M459">
            <v>43151</v>
          </cell>
          <cell r="N459">
            <v>43152</v>
          </cell>
          <cell r="Q459">
            <v>43157</v>
          </cell>
        </row>
        <row r="460">
          <cell r="M460">
            <v>43152</v>
          </cell>
          <cell r="N460">
            <v>43153</v>
          </cell>
          <cell r="Q460">
            <v>43158</v>
          </cell>
        </row>
        <row r="461">
          <cell r="M461">
            <v>43153</v>
          </cell>
          <cell r="N461">
            <v>43154</v>
          </cell>
          <cell r="Q461">
            <v>43159</v>
          </cell>
        </row>
        <row r="462">
          <cell r="M462">
            <v>43154</v>
          </cell>
          <cell r="N462">
            <v>43157</v>
          </cell>
          <cell r="Q462">
            <v>43160</v>
          </cell>
        </row>
        <row r="463">
          <cell r="M463">
            <v>43157</v>
          </cell>
          <cell r="N463">
            <v>43158</v>
          </cell>
          <cell r="Q463">
            <v>43161</v>
          </cell>
        </row>
        <row r="464">
          <cell r="M464">
            <v>43158</v>
          </cell>
          <cell r="N464">
            <v>43159</v>
          </cell>
          <cell r="Q464">
            <v>43164</v>
          </cell>
        </row>
        <row r="465">
          <cell r="M465">
            <v>43159</v>
          </cell>
          <cell r="N465">
            <v>43160</v>
          </cell>
          <cell r="Q465">
            <v>43165</v>
          </cell>
        </row>
        <row r="466">
          <cell r="M466">
            <v>43160</v>
          </cell>
          <cell r="N466">
            <v>43161</v>
          </cell>
          <cell r="Q466">
            <v>43166</v>
          </cell>
        </row>
        <row r="467">
          <cell r="M467">
            <v>43161</v>
          </cell>
          <cell r="N467">
            <v>43164</v>
          </cell>
          <cell r="Q467">
            <v>43167</v>
          </cell>
        </row>
        <row r="468">
          <cell r="M468">
            <v>43164</v>
          </cell>
          <cell r="N468">
            <v>43165</v>
          </cell>
          <cell r="Q468">
            <v>43168</v>
          </cell>
        </row>
        <row r="469">
          <cell r="M469">
            <v>43165</v>
          </cell>
          <cell r="N469">
            <v>43166</v>
          </cell>
          <cell r="Q469">
            <v>43171</v>
          </cell>
        </row>
        <row r="470">
          <cell r="M470">
            <v>43166</v>
          </cell>
          <cell r="N470">
            <v>43167</v>
          </cell>
          <cell r="Q470">
            <v>43172</v>
          </cell>
        </row>
        <row r="471">
          <cell r="M471">
            <v>43167</v>
          </cell>
          <cell r="N471">
            <v>43168</v>
          </cell>
          <cell r="Q471">
            <v>43173</v>
          </cell>
        </row>
        <row r="472">
          <cell r="M472">
            <v>43168</v>
          </cell>
          <cell r="N472">
            <v>43171</v>
          </cell>
          <cell r="Q472">
            <v>43174</v>
          </cell>
        </row>
        <row r="473">
          <cell r="M473">
            <v>43171</v>
          </cell>
          <cell r="N473">
            <v>43172</v>
          </cell>
          <cell r="Q473">
            <v>43175</v>
          </cell>
        </row>
        <row r="474">
          <cell r="M474">
            <v>43172</v>
          </cell>
          <cell r="N474">
            <v>43173</v>
          </cell>
          <cell r="Q474">
            <v>43178</v>
          </cell>
        </row>
        <row r="475">
          <cell r="M475">
            <v>43173</v>
          </cell>
          <cell r="N475">
            <v>43174</v>
          </cell>
          <cell r="Q475">
            <v>43179</v>
          </cell>
        </row>
        <row r="476">
          <cell r="M476">
            <v>43174</v>
          </cell>
          <cell r="N476">
            <v>43175</v>
          </cell>
          <cell r="Q476">
            <v>43181</v>
          </cell>
        </row>
        <row r="477">
          <cell r="M477">
            <v>43175</v>
          </cell>
          <cell r="N477">
            <v>43178</v>
          </cell>
          <cell r="Q477">
            <v>43182</v>
          </cell>
        </row>
        <row r="478">
          <cell r="M478">
            <v>43178</v>
          </cell>
          <cell r="N478">
            <v>43179</v>
          </cell>
          <cell r="Q478">
            <v>43185</v>
          </cell>
        </row>
        <row r="479">
          <cell r="M479">
            <v>43179</v>
          </cell>
          <cell r="N479">
            <v>43181</v>
          </cell>
          <cell r="Q479">
            <v>43186</v>
          </cell>
        </row>
        <row r="480">
          <cell r="M480">
            <v>43181</v>
          </cell>
          <cell r="N480">
            <v>43182</v>
          </cell>
          <cell r="Q480">
            <v>43187</v>
          </cell>
        </row>
        <row r="481">
          <cell r="M481">
            <v>43182</v>
          </cell>
          <cell r="N481">
            <v>43185</v>
          </cell>
          <cell r="Q481">
            <v>43188</v>
          </cell>
        </row>
        <row r="482">
          <cell r="M482">
            <v>43185</v>
          </cell>
          <cell r="N482">
            <v>43186</v>
          </cell>
          <cell r="Q482">
            <v>43189</v>
          </cell>
        </row>
        <row r="483">
          <cell r="M483">
            <v>43186</v>
          </cell>
          <cell r="N483">
            <v>43187</v>
          </cell>
          <cell r="Q483">
            <v>43192</v>
          </cell>
        </row>
        <row r="484">
          <cell r="M484">
            <v>43187</v>
          </cell>
          <cell r="N484">
            <v>43188</v>
          </cell>
          <cell r="Q484">
            <v>43193</v>
          </cell>
        </row>
        <row r="485">
          <cell r="M485">
            <v>43188</v>
          </cell>
          <cell r="N485">
            <v>43189</v>
          </cell>
          <cell r="Q485">
            <v>43194</v>
          </cell>
        </row>
        <row r="486">
          <cell r="M486">
            <v>43189</v>
          </cell>
          <cell r="N486">
            <v>43192</v>
          </cell>
          <cell r="Q486">
            <v>43195</v>
          </cell>
        </row>
        <row r="487">
          <cell r="M487">
            <v>43192</v>
          </cell>
          <cell r="N487">
            <v>43193</v>
          </cell>
          <cell r="Q487">
            <v>43196</v>
          </cell>
        </row>
        <row r="488">
          <cell r="M488">
            <v>43193</v>
          </cell>
          <cell r="N488">
            <v>43194</v>
          </cell>
          <cell r="Q488">
            <v>43199</v>
          </cell>
        </row>
        <row r="489">
          <cell r="M489">
            <v>43194</v>
          </cell>
          <cell r="N489">
            <v>43195</v>
          </cell>
          <cell r="Q489">
            <v>43200</v>
          </cell>
        </row>
        <row r="490">
          <cell r="M490">
            <v>43195</v>
          </cell>
          <cell r="N490">
            <v>43196</v>
          </cell>
          <cell r="Q490">
            <v>43201</v>
          </cell>
        </row>
        <row r="491">
          <cell r="M491">
            <v>43196</v>
          </cell>
          <cell r="N491">
            <v>43199</v>
          </cell>
          <cell r="Q491">
            <v>43202</v>
          </cell>
        </row>
        <row r="492">
          <cell r="M492">
            <v>43199</v>
          </cell>
          <cell r="N492">
            <v>43200</v>
          </cell>
          <cell r="Q492">
            <v>43203</v>
          </cell>
        </row>
        <row r="493">
          <cell r="M493">
            <v>43200</v>
          </cell>
          <cell r="N493">
            <v>43201</v>
          </cell>
          <cell r="Q493">
            <v>43206</v>
          </cell>
        </row>
        <row r="494">
          <cell r="M494">
            <v>43201</v>
          </cell>
          <cell r="N494">
            <v>43202</v>
          </cell>
          <cell r="Q494">
            <v>43207</v>
          </cell>
        </row>
        <row r="495">
          <cell r="M495">
            <v>43202</v>
          </cell>
          <cell r="N495">
            <v>43203</v>
          </cell>
          <cell r="Q495">
            <v>43208</v>
          </cell>
        </row>
        <row r="496">
          <cell r="M496">
            <v>43203</v>
          </cell>
          <cell r="N496">
            <v>43206</v>
          </cell>
          <cell r="Q496">
            <v>43209</v>
          </cell>
        </row>
        <row r="497">
          <cell r="M497">
            <v>43206</v>
          </cell>
          <cell r="N497">
            <v>43207</v>
          </cell>
          <cell r="Q497">
            <v>43210</v>
          </cell>
        </row>
        <row r="498">
          <cell r="M498">
            <v>43207</v>
          </cell>
          <cell r="N498">
            <v>43208</v>
          </cell>
          <cell r="Q498">
            <v>43213</v>
          </cell>
        </row>
        <row r="499">
          <cell r="M499">
            <v>43208</v>
          </cell>
          <cell r="N499">
            <v>43209</v>
          </cell>
          <cell r="Q499">
            <v>43214</v>
          </cell>
        </row>
        <row r="500">
          <cell r="M500">
            <v>43209</v>
          </cell>
          <cell r="N500">
            <v>43210</v>
          </cell>
          <cell r="Q500">
            <v>43215</v>
          </cell>
        </row>
        <row r="501">
          <cell r="M501">
            <v>43210</v>
          </cell>
          <cell r="N501">
            <v>43213</v>
          </cell>
          <cell r="Q501">
            <v>43216</v>
          </cell>
        </row>
        <row r="502">
          <cell r="M502">
            <v>43213</v>
          </cell>
          <cell r="N502">
            <v>43214</v>
          </cell>
          <cell r="Q502">
            <v>43217</v>
          </cell>
        </row>
        <row r="503">
          <cell r="M503">
            <v>43214</v>
          </cell>
          <cell r="N503">
            <v>43215</v>
          </cell>
          <cell r="Q503">
            <v>43227</v>
          </cell>
        </row>
        <row r="504">
          <cell r="M504">
            <v>43215</v>
          </cell>
          <cell r="N504">
            <v>43216</v>
          </cell>
          <cell r="Q504">
            <v>43228</v>
          </cell>
        </row>
        <row r="505">
          <cell r="M505">
            <v>43216</v>
          </cell>
          <cell r="N505">
            <v>43217</v>
          </cell>
          <cell r="Q505">
            <v>43229</v>
          </cell>
        </row>
        <row r="506">
          <cell r="M506">
            <v>43217</v>
          </cell>
          <cell r="N506">
            <v>43227</v>
          </cell>
          <cell r="Q506">
            <v>43230</v>
          </cell>
        </row>
        <row r="507">
          <cell r="M507">
            <v>43227</v>
          </cell>
          <cell r="N507">
            <v>43228</v>
          </cell>
          <cell r="Q507">
            <v>43231</v>
          </cell>
        </row>
        <row r="508">
          <cell r="M508">
            <v>43228</v>
          </cell>
          <cell r="N508">
            <v>43229</v>
          </cell>
          <cell r="Q508">
            <v>43234</v>
          </cell>
        </row>
        <row r="509">
          <cell r="M509">
            <v>43229</v>
          </cell>
          <cell r="N509">
            <v>43230</v>
          </cell>
          <cell r="Q509">
            <v>43235</v>
          </cell>
        </row>
        <row r="510">
          <cell r="M510">
            <v>43230</v>
          </cell>
          <cell r="N510">
            <v>43231</v>
          </cell>
          <cell r="Q510">
            <v>43236</v>
          </cell>
        </row>
        <row r="511">
          <cell r="M511">
            <v>43231</v>
          </cell>
          <cell r="N511">
            <v>43234</v>
          </cell>
          <cell r="Q511">
            <v>43237</v>
          </cell>
        </row>
        <row r="512">
          <cell r="M512">
            <v>43234</v>
          </cell>
          <cell r="N512">
            <v>43235</v>
          </cell>
          <cell r="Q512">
            <v>43238</v>
          </cell>
        </row>
        <row r="513">
          <cell r="M513">
            <v>43235</v>
          </cell>
          <cell r="N513">
            <v>43236</v>
          </cell>
          <cell r="Q513">
            <v>43241</v>
          </cell>
        </row>
        <row r="514">
          <cell r="M514">
            <v>43236</v>
          </cell>
          <cell r="N514">
            <v>43237</v>
          </cell>
          <cell r="Q514">
            <v>43242</v>
          </cell>
        </row>
        <row r="515">
          <cell r="M515">
            <v>43237</v>
          </cell>
          <cell r="N515">
            <v>43238</v>
          </cell>
          <cell r="Q515">
            <v>43243</v>
          </cell>
        </row>
        <row r="516">
          <cell r="M516">
            <v>43238</v>
          </cell>
          <cell r="N516">
            <v>43241</v>
          </cell>
          <cell r="Q516">
            <v>43244</v>
          </cell>
        </row>
        <row r="517">
          <cell r="M517">
            <v>43241</v>
          </cell>
          <cell r="N517">
            <v>43242</v>
          </cell>
          <cell r="Q517">
            <v>43245</v>
          </cell>
        </row>
        <row r="518">
          <cell r="M518">
            <v>43242</v>
          </cell>
          <cell r="N518">
            <v>43243</v>
          </cell>
          <cell r="Q518">
            <v>43248</v>
          </cell>
        </row>
        <row r="519">
          <cell r="M519">
            <v>43243</v>
          </cell>
          <cell r="N519">
            <v>43244</v>
          </cell>
          <cell r="Q519">
            <v>43249</v>
          </cell>
        </row>
        <row r="520">
          <cell r="M520">
            <v>43244</v>
          </cell>
          <cell r="N520">
            <v>43245</v>
          </cell>
          <cell r="Q520">
            <v>43250</v>
          </cell>
        </row>
        <row r="521">
          <cell r="M521">
            <v>43245</v>
          </cell>
          <cell r="N521">
            <v>43248</v>
          </cell>
          <cell r="Q521">
            <v>43251</v>
          </cell>
        </row>
        <row r="522">
          <cell r="M522">
            <v>43248</v>
          </cell>
          <cell r="N522">
            <v>43249</v>
          </cell>
          <cell r="Q522">
            <v>43252</v>
          </cell>
        </row>
        <row r="523">
          <cell r="M523">
            <v>43249</v>
          </cell>
          <cell r="N523">
            <v>43250</v>
          </cell>
          <cell r="Q523">
            <v>43255</v>
          </cell>
        </row>
        <row r="524">
          <cell r="M524">
            <v>43250</v>
          </cell>
          <cell r="N524">
            <v>43251</v>
          </cell>
          <cell r="Q524">
            <v>43256</v>
          </cell>
        </row>
        <row r="525">
          <cell r="M525">
            <v>43251</v>
          </cell>
          <cell r="N525">
            <v>43252</v>
          </cell>
          <cell r="Q525">
            <v>43257</v>
          </cell>
        </row>
        <row r="526">
          <cell r="M526">
            <v>43252</v>
          </cell>
          <cell r="N526">
            <v>43255</v>
          </cell>
          <cell r="Q526">
            <v>43258</v>
          </cell>
        </row>
        <row r="527">
          <cell r="M527">
            <v>43255</v>
          </cell>
          <cell r="N527">
            <v>43256</v>
          </cell>
          <cell r="Q527">
            <v>43259</v>
          </cell>
        </row>
        <row r="528">
          <cell r="M528">
            <v>43256</v>
          </cell>
          <cell r="N528">
            <v>43257</v>
          </cell>
          <cell r="Q528">
            <v>43262</v>
          </cell>
        </row>
        <row r="529">
          <cell r="M529">
            <v>43257</v>
          </cell>
          <cell r="N529">
            <v>43258</v>
          </cell>
          <cell r="Q529">
            <v>43263</v>
          </cell>
        </row>
        <row r="530">
          <cell r="M530">
            <v>43258</v>
          </cell>
          <cell r="N530">
            <v>43259</v>
          </cell>
          <cell r="Q530">
            <v>43264</v>
          </cell>
        </row>
        <row r="531">
          <cell r="M531">
            <v>43259</v>
          </cell>
          <cell r="N531">
            <v>43262</v>
          </cell>
          <cell r="Q531">
            <v>43265</v>
          </cell>
        </row>
        <row r="532">
          <cell r="M532">
            <v>43262</v>
          </cell>
          <cell r="N532">
            <v>43263</v>
          </cell>
          <cell r="Q532">
            <v>43266</v>
          </cell>
        </row>
        <row r="533">
          <cell r="M533">
            <v>43263</v>
          </cell>
          <cell r="N533">
            <v>43264</v>
          </cell>
          <cell r="Q533">
            <v>43269</v>
          </cell>
        </row>
        <row r="534">
          <cell r="M534">
            <v>43264</v>
          </cell>
          <cell r="N534">
            <v>43265</v>
          </cell>
          <cell r="Q534">
            <v>43270</v>
          </cell>
        </row>
        <row r="535">
          <cell r="M535">
            <v>43265</v>
          </cell>
          <cell r="N535">
            <v>43266</v>
          </cell>
          <cell r="Q535">
            <v>43271</v>
          </cell>
        </row>
        <row r="536">
          <cell r="M536">
            <v>43266</v>
          </cell>
          <cell r="N536">
            <v>43269</v>
          </cell>
          <cell r="Q536">
            <v>43272</v>
          </cell>
        </row>
        <row r="537">
          <cell r="M537">
            <v>43269</v>
          </cell>
          <cell r="N537">
            <v>43270</v>
          </cell>
          <cell r="Q537">
            <v>43273</v>
          </cell>
        </row>
        <row r="538">
          <cell r="M538">
            <v>43270</v>
          </cell>
          <cell r="N538">
            <v>43271</v>
          </cell>
          <cell r="Q538">
            <v>43276</v>
          </cell>
        </row>
        <row r="539">
          <cell r="M539">
            <v>43271</v>
          </cell>
          <cell r="N539">
            <v>43272</v>
          </cell>
          <cell r="Q539">
            <v>43277</v>
          </cell>
        </row>
        <row r="540">
          <cell r="M540">
            <v>43272</v>
          </cell>
          <cell r="N540">
            <v>43273</v>
          </cell>
          <cell r="Q540">
            <v>43278</v>
          </cell>
        </row>
        <row r="541">
          <cell r="M541">
            <v>43273</v>
          </cell>
          <cell r="N541">
            <v>43276</v>
          </cell>
          <cell r="Q541">
            <v>43279</v>
          </cell>
        </row>
        <row r="542">
          <cell r="M542">
            <v>43276</v>
          </cell>
          <cell r="N542">
            <v>43277</v>
          </cell>
          <cell r="Q542">
            <v>43280</v>
          </cell>
        </row>
        <row r="543">
          <cell r="M543">
            <v>43277</v>
          </cell>
          <cell r="N543">
            <v>43278</v>
          </cell>
          <cell r="Q543">
            <v>43283</v>
          </cell>
        </row>
        <row r="544">
          <cell r="M544">
            <v>43278</v>
          </cell>
          <cell r="N544">
            <v>43279</v>
          </cell>
          <cell r="Q544">
            <v>43284</v>
          </cell>
        </row>
        <row r="545">
          <cell r="M545">
            <v>43279</v>
          </cell>
          <cell r="N545">
            <v>43280</v>
          </cell>
          <cell r="Q545">
            <v>43285</v>
          </cell>
        </row>
        <row r="546">
          <cell r="M546">
            <v>43280</v>
          </cell>
          <cell r="N546">
            <v>43283</v>
          </cell>
          <cell r="Q546">
            <v>43286</v>
          </cell>
        </row>
        <row r="547">
          <cell r="M547">
            <v>43283</v>
          </cell>
          <cell r="N547">
            <v>43284</v>
          </cell>
          <cell r="Q547">
            <v>43287</v>
          </cell>
        </row>
        <row r="548">
          <cell r="M548">
            <v>43284</v>
          </cell>
          <cell r="N548">
            <v>43285</v>
          </cell>
          <cell r="Q548">
            <v>43290</v>
          </cell>
        </row>
        <row r="549">
          <cell r="M549">
            <v>43285</v>
          </cell>
          <cell r="N549">
            <v>43286</v>
          </cell>
          <cell r="Q549">
            <v>43291</v>
          </cell>
        </row>
        <row r="550">
          <cell r="M550">
            <v>43286</v>
          </cell>
          <cell r="N550">
            <v>43287</v>
          </cell>
          <cell r="Q550">
            <v>43292</v>
          </cell>
        </row>
        <row r="551">
          <cell r="M551">
            <v>43287</v>
          </cell>
          <cell r="N551">
            <v>43290</v>
          </cell>
          <cell r="Q551">
            <v>43293</v>
          </cell>
        </row>
        <row r="552">
          <cell r="M552">
            <v>43290</v>
          </cell>
          <cell r="N552">
            <v>43291</v>
          </cell>
          <cell r="Q552">
            <v>43294</v>
          </cell>
        </row>
        <row r="553">
          <cell r="M553">
            <v>43291</v>
          </cell>
          <cell r="N553">
            <v>43292</v>
          </cell>
          <cell r="Q553">
            <v>43298</v>
          </cell>
        </row>
        <row r="554">
          <cell r="M554">
            <v>43292</v>
          </cell>
          <cell r="N554">
            <v>43293</v>
          </cell>
          <cell r="Q554">
            <v>43299</v>
          </cell>
        </row>
        <row r="555">
          <cell r="M555">
            <v>43293</v>
          </cell>
          <cell r="N555">
            <v>43294</v>
          </cell>
          <cell r="Q555">
            <v>43300</v>
          </cell>
        </row>
        <row r="556">
          <cell r="M556">
            <v>43294</v>
          </cell>
          <cell r="N556">
            <v>43298</v>
          </cell>
          <cell r="Q556">
            <v>43301</v>
          </cell>
        </row>
        <row r="557">
          <cell r="M557">
            <v>43298</v>
          </cell>
          <cell r="N557">
            <v>43299</v>
          </cell>
          <cell r="Q557">
            <v>43304</v>
          </cell>
        </row>
        <row r="558">
          <cell r="M558">
            <v>43299</v>
          </cell>
          <cell r="N558">
            <v>43300</v>
          </cell>
          <cell r="Q558">
            <v>43305</v>
          </cell>
        </row>
        <row r="559">
          <cell r="M559">
            <v>43300</v>
          </cell>
          <cell r="N559">
            <v>43301</v>
          </cell>
          <cell r="Q559">
            <v>43306</v>
          </cell>
        </row>
        <row r="560">
          <cell r="M560">
            <v>43301</v>
          </cell>
          <cell r="N560">
            <v>43304</v>
          </cell>
          <cell r="Q560">
            <v>43307</v>
          </cell>
        </row>
        <row r="561">
          <cell r="M561">
            <v>43304</v>
          </cell>
          <cell r="N561">
            <v>43305</v>
          </cell>
          <cell r="Q561">
            <v>43308</v>
          </cell>
        </row>
        <row r="562">
          <cell r="M562">
            <v>43305</v>
          </cell>
          <cell r="N562">
            <v>43306</v>
          </cell>
          <cell r="Q562">
            <v>43311</v>
          </cell>
        </row>
        <row r="563">
          <cell r="M563">
            <v>43306</v>
          </cell>
          <cell r="N563">
            <v>43307</v>
          </cell>
          <cell r="Q563">
            <v>43312</v>
          </cell>
        </row>
        <row r="564">
          <cell r="M564">
            <v>43307</v>
          </cell>
          <cell r="N564">
            <v>43308</v>
          </cell>
          <cell r="Q564">
            <v>43313</v>
          </cell>
        </row>
        <row r="565">
          <cell r="M565">
            <v>43308</v>
          </cell>
          <cell r="N565">
            <v>43311</v>
          </cell>
          <cell r="Q565">
            <v>43314</v>
          </cell>
        </row>
        <row r="566">
          <cell r="M566">
            <v>43311</v>
          </cell>
          <cell r="N566">
            <v>43312</v>
          </cell>
          <cell r="Q566">
            <v>43315</v>
          </cell>
        </row>
        <row r="567">
          <cell r="M567">
            <v>43312</v>
          </cell>
          <cell r="N567">
            <v>43313</v>
          </cell>
          <cell r="Q567">
            <v>43318</v>
          </cell>
        </row>
        <row r="568">
          <cell r="M568">
            <v>43313</v>
          </cell>
          <cell r="N568">
            <v>43314</v>
          </cell>
          <cell r="Q568">
            <v>43319</v>
          </cell>
        </row>
        <row r="569">
          <cell r="M569">
            <v>43314</v>
          </cell>
          <cell r="N569">
            <v>43315</v>
          </cell>
          <cell r="Q569">
            <v>43320</v>
          </cell>
        </row>
        <row r="570">
          <cell r="M570">
            <v>43315</v>
          </cell>
          <cell r="N570">
            <v>43318</v>
          </cell>
          <cell r="Q570">
            <v>43321</v>
          </cell>
        </row>
        <row r="571">
          <cell r="M571">
            <v>43318</v>
          </cell>
          <cell r="N571">
            <v>43319</v>
          </cell>
          <cell r="Q571">
            <v>43322</v>
          </cell>
        </row>
        <row r="572">
          <cell r="M572">
            <v>43319</v>
          </cell>
          <cell r="N572">
            <v>43320</v>
          </cell>
          <cell r="Q572">
            <v>43332</v>
          </cell>
        </row>
        <row r="573">
          <cell r="M573">
            <v>43320</v>
          </cell>
          <cell r="N573">
            <v>43321</v>
          </cell>
          <cell r="Q573">
            <v>43333</v>
          </cell>
        </row>
        <row r="574">
          <cell r="M574">
            <v>43321</v>
          </cell>
          <cell r="N574">
            <v>43322</v>
          </cell>
          <cell r="Q574">
            <v>43334</v>
          </cell>
        </row>
        <row r="575">
          <cell r="M575">
            <v>43322</v>
          </cell>
          <cell r="N575">
            <v>43332</v>
          </cell>
          <cell r="Q575">
            <v>43335</v>
          </cell>
        </row>
        <row r="576">
          <cell r="M576">
            <v>43332</v>
          </cell>
          <cell r="N576">
            <v>43333</v>
          </cell>
          <cell r="Q576">
            <v>43336</v>
          </cell>
        </row>
        <row r="577">
          <cell r="M577">
            <v>43333</v>
          </cell>
          <cell r="N577">
            <v>43334</v>
          </cell>
          <cell r="Q577">
            <v>43339</v>
          </cell>
        </row>
        <row r="578">
          <cell r="M578">
            <v>43334</v>
          </cell>
          <cell r="N578">
            <v>43335</v>
          </cell>
          <cell r="Q578">
            <v>43340</v>
          </cell>
        </row>
        <row r="579">
          <cell r="M579">
            <v>43335</v>
          </cell>
          <cell r="N579">
            <v>43336</v>
          </cell>
          <cell r="Q579">
            <v>43341</v>
          </cell>
        </row>
        <row r="580">
          <cell r="M580">
            <v>43336</v>
          </cell>
          <cell r="N580">
            <v>43339</v>
          </cell>
          <cell r="Q580">
            <v>43342</v>
          </cell>
        </row>
        <row r="581">
          <cell r="M581">
            <v>43339</v>
          </cell>
          <cell r="N581">
            <v>43340</v>
          </cell>
          <cell r="Q581">
            <v>43343</v>
          </cell>
        </row>
        <row r="582">
          <cell r="M582">
            <v>43340</v>
          </cell>
          <cell r="N582">
            <v>43341</v>
          </cell>
          <cell r="Q582">
            <v>43346</v>
          </cell>
        </row>
        <row r="583">
          <cell r="M583">
            <v>43341</v>
          </cell>
          <cell r="N583">
            <v>43342</v>
          </cell>
          <cell r="Q583">
            <v>43347</v>
          </cell>
        </row>
        <row r="584">
          <cell r="M584">
            <v>43342</v>
          </cell>
          <cell r="N584">
            <v>43343</v>
          </cell>
          <cell r="Q584">
            <v>43348</v>
          </cell>
        </row>
        <row r="585">
          <cell r="M585">
            <v>43343</v>
          </cell>
          <cell r="N585">
            <v>43346</v>
          </cell>
          <cell r="Q585">
            <v>43349</v>
          </cell>
        </row>
        <row r="586">
          <cell r="M586">
            <v>43346</v>
          </cell>
          <cell r="N586">
            <v>43347</v>
          </cell>
          <cell r="Q586">
            <v>43350</v>
          </cell>
        </row>
        <row r="587">
          <cell r="M587">
            <v>43347</v>
          </cell>
          <cell r="N587">
            <v>43348</v>
          </cell>
          <cell r="Q587">
            <v>43353</v>
          </cell>
        </row>
        <row r="588">
          <cell r="M588">
            <v>43348</v>
          </cell>
          <cell r="N588">
            <v>43349</v>
          </cell>
          <cell r="Q588">
            <v>43354</v>
          </cell>
        </row>
        <row r="589">
          <cell r="M589">
            <v>43349</v>
          </cell>
          <cell r="N589">
            <v>43350</v>
          </cell>
          <cell r="Q589">
            <v>43355</v>
          </cell>
        </row>
        <row r="590">
          <cell r="M590">
            <v>43350</v>
          </cell>
          <cell r="N590">
            <v>43353</v>
          </cell>
          <cell r="Q590">
            <v>43356</v>
          </cell>
        </row>
        <row r="591">
          <cell r="M591">
            <v>43353</v>
          </cell>
          <cell r="N591">
            <v>43354</v>
          </cell>
          <cell r="Q591">
            <v>43357</v>
          </cell>
        </row>
        <row r="592">
          <cell r="M592">
            <v>43354</v>
          </cell>
          <cell r="N592">
            <v>43355</v>
          </cell>
          <cell r="Q592">
            <v>43361</v>
          </cell>
        </row>
        <row r="593">
          <cell r="M593">
            <v>43355</v>
          </cell>
          <cell r="N593">
            <v>43356</v>
          </cell>
          <cell r="Q593">
            <v>43362</v>
          </cell>
        </row>
        <row r="594">
          <cell r="M594">
            <v>43356</v>
          </cell>
          <cell r="N594">
            <v>43357</v>
          </cell>
          <cell r="Q594">
            <v>43363</v>
          </cell>
        </row>
        <row r="595">
          <cell r="M595">
            <v>43357</v>
          </cell>
          <cell r="N595">
            <v>43361</v>
          </cell>
          <cell r="Q595">
            <v>43364</v>
          </cell>
        </row>
        <row r="596">
          <cell r="M596">
            <v>43361</v>
          </cell>
          <cell r="N596">
            <v>43362</v>
          </cell>
          <cell r="Q596">
            <v>43368</v>
          </cell>
        </row>
        <row r="597">
          <cell r="M597">
            <v>43362</v>
          </cell>
          <cell r="N597">
            <v>43363</v>
          </cell>
          <cell r="Q597">
            <v>43369</v>
          </cell>
        </row>
        <row r="598">
          <cell r="M598">
            <v>43363</v>
          </cell>
          <cell r="N598">
            <v>43364</v>
          </cell>
          <cell r="Q598">
            <v>43370</v>
          </cell>
        </row>
        <row r="599">
          <cell r="M599">
            <v>43364</v>
          </cell>
          <cell r="N599">
            <v>43368</v>
          </cell>
          <cell r="Q599">
            <v>43371</v>
          </cell>
        </row>
        <row r="600">
          <cell r="M600">
            <v>43368</v>
          </cell>
          <cell r="N600">
            <v>43369</v>
          </cell>
          <cell r="Q600">
            <v>43372</v>
          </cell>
        </row>
        <row r="601">
          <cell r="M601">
            <v>43369</v>
          </cell>
          <cell r="N601">
            <v>43370</v>
          </cell>
          <cell r="Q601">
            <v>43374</v>
          </cell>
        </row>
        <row r="602">
          <cell r="M602">
            <v>43370</v>
          </cell>
          <cell r="N602">
            <v>43371</v>
          </cell>
          <cell r="Q602">
            <v>43375</v>
          </cell>
        </row>
        <row r="603">
          <cell r="M603">
            <v>43371</v>
          </cell>
          <cell r="N603">
            <v>43372</v>
          </cell>
          <cell r="Q603">
            <v>43376</v>
          </cell>
        </row>
        <row r="604">
          <cell r="M604">
            <v>43372</v>
          </cell>
          <cell r="N604">
            <v>43374</v>
          </cell>
          <cell r="Q604">
            <v>43377</v>
          </cell>
        </row>
        <row r="605">
          <cell r="M605">
            <v>43374</v>
          </cell>
          <cell r="N605">
            <v>43375</v>
          </cell>
          <cell r="Q605">
            <v>43378</v>
          </cell>
        </row>
        <row r="606">
          <cell r="M606">
            <v>43375</v>
          </cell>
          <cell r="N606">
            <v>43376</v>
          </cell>
          <cell r="Q606">
            <v>43382</v>
          </cell>
        </row>
        <row r="607">
          <cell r="M607">
            <v>43376</v>
          </cell>
          <cell r="N607">
            <v>43377</v>
          </cell>
          <cell r="Q607">
            <v>43383</v>
          </cell>
        </row>
        <row r="608">
          <cell r="M608">
            <v>43377</v>
          </cell>
          <cell r="N608">
            <v>43378</v>
          </cell>
          <cell r="Q608">
            <v>43384</v>
          </cell>
        </row>
        <row r="609">
          <cell r="M609">
            <v>43378</v>
          </cell>
          <cell r="N609">
            <v>43382</v>
          </cell>
          <cell r="Q609">
            <v>43385</v>
          </cell>
        </row>
        <row r="610">
          <cell r="M610">
            <v>43382</v>
          </cell>
          <cell r="N610">
            <v>43383</v>
          </cell>
          <cell r="Q610">
            <v>43386</v>
          </cell>
        </row>
        <row r="611">
          <cell r="M611">
            <v>43383</v>
          </cell>
          <cell r="N611">
            <v>43384</v>
          </cell>
          <cell r="Q611">
            <v>43388</v>
          </cell>
        </row>
        <row r="612">
          <cell r="M612">
            <v>43384</v>
          </cell>
          <cell r="N612">
            <v>43385</v>
          </cell>
          <cell r="Q612">
            <v>43389</v>
          </cell>
        </row>
        <row r="613">
          <cell r="M613">
            <v>43385</v>
          </cell>
          <cell r="N613">
            <v>43386</v>
          </cell>
          <cell r="Q613">
            <v>43390</v>
          </cell>
        </row>
        <row r="614">
          <cell r="M614">
            <v>43386</v>
          </cell>
          <cell r="N614">
            <v>43388</v>
          </cell>
          <cell r="Q614">
            <v>43391</v>
          </cell>
        </row>
        <row r="615">
          <cell r="M615">
            <v>43388</v>
          </cell>
          <cell r="N615">
            <v>43389</v>
          </cell>
          <cell r="Q615">
            <v>43392</v>
          </cell>
        </row>
        <row r="616">
          <cell r="M616">
            <v>43389</v>
          </cell>
          <cell r="N616">
            <v>43390</v>
          </cell>
          <cell r="Q616">
            <v>43395</v>
          </cell>
        </row>
        <row r="617">
          <cell r="M617">
            <v>43390</v>
          </cell>
          <cell r="N617">
            <v>43391</v>
          </cell>
          <cell r="Q617">
            <v>43396</v>
          </cell>
        </row>
        <row r="618">
          <cell r="M618">
            <v>43391</v>
          </cell>
          <cell r="N618">
            <v>43392</v>
          </cell>
          <cell r="Q618">
            <v>43397</v>
          </cell>
        </row>
        <row r="619">
          <cell r="M619">
            <v>43392</v>
          </cell>
          <cell r="N619">
            <v>43395</v>
          </cell>
          <cell r="Q619">
            <v>43398</v>
          </cell>
        </row>
        <row r="620">
          <cell r="M620">
            <v>43395</v>
          </cell>
          <cell r="N620">
            <v>43396</v>
          </cell>
          <cell r="Q620">
            <v>43399</v>
          </cell>
        </row>
        <row r="621">
          <cell r="M621">
            <v>43396</v>
          </cell>
          <cell r="N621">
            <v>43397</v>
          </cell>
          <cell r="Q621">
            <v>43402</v>
          </cell>
        </row>
        <row r="622">
          <cell r="M622">
            <v>43397</v>
          </cell>
          <cell r="N622">
            <v>43398</v>
          </cell>
          <cell r="Q622">
            <v>43403</v>
          </cell>
        </row>
        <row r="623">
          <cell r="M623">
            <v>43398</v>
          </cell>
          <cell r="N623">
            <v>43399</v>
          </cell>
          <cell r="Q623">
            <v>43404</v>
          </cell>
        </row>
        <row r="624">
          <cell r="M624">
            <v>43399</v>
          </cell>
          <cell r="N624">
            <v>43402</v>
          </cell>
          <cell r="Q624">
            <v>43405</v>
          </cell>
        </row>
        <row r="625">
          <cell r="M625">
            <v>43402</v>
          </cell>
          <cell r="N625">
            <v>43403</v>
          </cell>
          <cell r="Q625">
            <v>43406</v>
          </cell>
        </row>
        <row r="626">
          <cell r="M626">
            <v>43403</v>
          </cell>
          <cell r="N626">
            <v>43404</v>
          </cell>
          <cell r="Q626">
            <v>43409</v>
          </cell>
        </row>
        <row r="627">
          <cell r="M627">
            <v>43404</v>
          </cell>
          <cell r="N627">
            <v>43405</v>
          </cell>
          <cell r="Q627">
            <v>43410</v>
          </cell>
        </row>
        <row r="628">
          <cell r="M628">
            <v>43405</v>
          </cell>
          <cell r="N628">
            <v>43406</v>
          </cell>
          <cell r="Q628">
            <v>43411</v>
          </cell>
        </row>
        <row r="629">
          <cell r="M629">
            <v>43406</v>
          </cell>
          <cell r="N629">
            <v>43409</v>
          </cell>
          <cell r="Q629">
            <v>43412</v>
          </cell>
        </row>
        <row r="630">
          <cell r="M630">
            <v>43409</v>
          </cell>
          <cell r="N630">
            <v>43410</v>
          </cell>
          <cell r="Q630">
            <v>43413</v>
          </cell>
        </row>
        <row r="631">
          <cell r="M631">
            <v>43410</v>
          </cell>
          <cell r="N631">
            <v>43411</v>
          </cell>
          <cell r="Q631">
            <v>43416</v>
          </cell>
        </row>
        <row r="632">
          <cell r="M632">
            <v>43411</v>
          </cell>
          <cell r="N632">
            <v>43412</v>
          </cell>
          <cell r="Q632">
            <v>43417</v>
          </cell>
        </row>
        <row r="633">
          <cell r="M633">
            <v>43412</v>
          </cell>
          <cell r="N633">
            <v>43413</v>
          </cell>
          <cell r="Q633">
            <v>43418</v>
          </cell>
        </row>
        <row r="634">
          <cell r="M634">
            <v>43413</v>
          </cell>
          <cell r="N634">
            <v>43416</v>
          </cell>
          <cell r="Q634">
            <v>43419</v>
          </cell>
        </row>
        <row r="635">
          <cell r="M635">
            <v>43416</v>
          </cell>
          <cell r="N635">
            <v>43417</v>
          </cell>
          <cell r="Q635">
            <v>43420</v>
          </cell>
        </row>
        <row r="636">
          <cell r="M636">
            <v>43417</v>
          </cell>
          <cell r="N636">
            <v>43418</v>
          </cell>
          <cell r="Q636">
            <v>43423</v>
          </cell>
        </row>
        <row r="637">
          <cell r="M637">
            <v>43418</v>
          </cell>
          <cell r="N637">
            <v>43419</v>
          </cell>
          <cell r="Q637">
            <v>43424</v>
          </cell>
        </row>
        <row r="638">
          <cell r="M638">
            <v>43419</v>
          </cell>
          <cell r="N638">
            <v>43420</v>
          </cell>
          <cell r="Q638">
            <v>43425</v>
          </cell>
        </row>
        <row r="639">
          <cell r="M639">
            <v>43420</v>
          </cell>
          <cell r="N639">
            <v>43423</v>
          </cell>
          <cell r="Q639">
            <v>43426</v>
          </cell>
        </row>
        <row r="640">
          <cell r="M640">
            <v>43423</v>
          </cell>
          <cell r="N640">
            <v>43424</v>
          </cell>
          <cell r="Q640">
            <v>43430</v>
          </cell>
        </row>
        <row r="641">
          <cell r="M641">
            <v>43424</v>
          </cell>
          <cell r="N641">
            <v>43425</v>
          </cell>
          <cell r="Q641">
            <v>43431</v>
          </cell>
        </row>
        <row r="642">
          <cell r="M642">
            <v>43425</v>
          </cell>
          <cell r="N642">
            <v>43426</v>
          </cell>
          <cell r="Q642">
            <v>43432</v>
          </cell>
        </row>
        <row r="643">
          <cell r="M643">
            <v>43426</v>
          </cell>
          <cell r="N643">
            <v>43430</v>
          </cell>
          <cell r="Q643">
            <v>43433</v>
          </cell>
        </row>
        <row r="644">
          <cell r="M644">
            <v>43430</v>
          </cell>
          <cell r="N644">
            <v>43431</v>
          </cell>
          <cell r="Q644">
            <v>43434</v>
          </cell>
        </row>
        <row r="645">
          <cell r="M645">
            <v>43431</v>
          </cell>
          <cell r="N645">
            <v>43432</v>
          </cell>
          <cell r="Q645">
            <v>43437</v>
          </cell>
        </row>
        <row r="646">
          <cell r="M646">
            <v>43432</v>
          </cell>
          <cell r="N646">
            <v>43433</v>
          </cell>
          <cell r="Q646">
            <v>43438</v>
          </cell>
        </row>
        <row r="647">
          <cell r="M647">
            <v>43433</v>
          </cell>
          <cell r="N647">
            <v>43434</v>
          </cell>
          <cell r="Q647">
            <v>43439</v>
          </cell>
        </row>
        <row r="648">
          <cell r="M648">
            <v>43434</v>
          </cell>
          <cell r="N648">
            <v>43437</v>
          </cell>
          <cell r="Q648">
            <v>43440</v>
          </cell>
        </row>
        <row r="649">
          <cell r="M649">
            <v>43437</v>
          </cell>
          <cell r="N649">
            <v>43438</v>
          </cell>
          <cell r="Q649">
            <v>43441</v>
          </cell>
        </row>
        <row r="650">
          <cell r="M650">
            <v>43438</v>
          </cell>
          <cell r="N650">
            <v>43439</v>
          </cell>
          <cell r="Q650">
            <v>43444</v>
          </cell>
        </row>
        <row r="651">
          <cell r="M651">
            <v>43439</v>
          </cell>
          <cell r="N651">
            <v>43440</v>
          </cell>
          <cell r="Q651">
            <v>43445</v>
          </cell>
        </row>
        <row r="652">
          <cell r="M652">
            <v>43440</v>
          </cell>
          <cell r="N652">
            <v>43441</v>
          </cell>
          <cell r="Q652">
            <v>43446</v>
          </cell>
        </row>
        <row r="653">
          <cell r="M653">
            <v>43441</v>
          </cell>
          <cell r="N653">
            <v>43444</v>
          </cell>
          <cell r="Q653">
            <v>43447</v>
          </cell>
        </row>
        <row r="654">
          <cell r="M654">
            <v>43444</v>
          </cell>
          <cell r="N654">
            <v>43445</v>
          </cell>
          <cell r="Q654">
            <v>43448</v>
          </cell>
        </row>
        <row r="655">
          <cell r="M655">
            <v>43445</v>
          </cell>
          <cell r="N655">
            <v>43446</v>
          </cell>
          <cell r="Q655">
            <v>43451</v>
          </cell>
        </row>
        <row r="656">
          <cell r="M656">
            <v>43446</v>
          </cell>
          <cell r="N656">
            <v>43447</v>
          </cell>
          <cell r="Q656">
            <v>43452</v>
          </cell>
        </row>
        <row r="657">
          <cell r="M657">
            <v>43447</v>
          </cell>
          <cell r="N657">
            <v>43448</v>
          </cell>
          <cell r="Q657">
            <v>43453</v>
          </cell>
        </row>
        <row r="658">
          <cell r="M658">
            <v>43448</v>
          </cell>
          <cell r="N658">
            <v>43451</v>
          </cell>
          <cell r="Q658">
            <v>43454</v>
          </cell>
        </row>
        <row r="659">
          <cell r="M659">
            <v>43451</v>
          </cell>
          <cell r="N659">
            <v>43452</v>
          </cell>
          <cell r="Q659">
            <v>43455</v>
          </cell>
        </row>
        <row r="660">
          <cell r="M660">
            <v>43452</v>
          </cell>
          <cell r="N660">
            <v>43453</v>
          </cell>
          <cell r="Q660">
            <v>43459</v>
          </cell>
        </row>
        <row r="661">
          <cell r="M661">
            <v>43453</v>
          </cell>
          <cell r="N661">
            <v>43454</v>
          </cell>
          <cell r="Q661">
            <v>43460</v>
          </cell>
        </row>
        <row r="662">
          <cell r="M662">
            <v>43454</v>
          </cell>
          <cell r="N662">
            <v>43455</v>
          </cell>
          <cell r="Q662">
            <v>43461</v>
          </cell>
        </row>
        <row r="663">
          <cell r="M663">
            <v>43455</v>
          </cell>
          <cell r="N663">
            <v>43459</v>
          </cell>
          <cell r="Q663">
            <v>43462</v>
          </cell>
        </row>
        <row r="664">
          <cell r="M664">
            <v>43459</v>
          </cell>
          <cell r="N664">
            <v>43460</v>
          </cell>
          <cell r="Q664">
            <v>43472</v>
          </cell>
        </row>
        <row r="665">
          <cell r="M665">
            <v>43460</v>
          </cell>
          <cell r="N665">
            <v>43461</v>
          </cell>
          <cell r="Q665">
            <v>43473</v>
          </cell>
        </row>
        <row r="666">
          <cell r="M666">
            <v>43461</v>
          </cell>
          <cell r="N666">
            <v>43462</v>
          </cell>
          <cell r="Q666">
            <v>43474</v>
          </cell>
        </row>
        <row r="667">
          <cell r="M667">
            <v>43462</v>
          </cell>
          <cell r="N667">
            <v>43472</v>
          </cell>
          <cell r="Q667">
            <v>43475</v>
          </cell>
        </row>
        <row r="668">
          <cell r="M668">
            <v>43472</v>
          </cell>
          <cell r="N668">
            <v>43473</v>
          </cell>
          <cell r="Q668">
            <v>43476</v>
          </cell>
        </row>
        <row r="669">
          <cell r="M669">
            <v>43473</v>
          </cell>
          <cell r="N669">
            <v>43474</v>
          </cell>
          <cell r="Q669">
            <v>43480</v>
          </cell>
        </row>
        <row r="670">
          <cell r="M670">
            <v>43474</v>
          </cell>
          <cell r="N670">
            <v>43475</v>
          </cell>
          <cell r="Q670">
            <v>43481</v>
          </cell>
        </row>
        <row r="671">
          <cell r="M671">
            <v>43475</v>
          </cell>
          <cell r="N671">
            <v>43476</v>
          </cell>
          <cell r="Q671">
            <v>43482</v>
          </cell>
        </row>
        <row r="672">
          <cell r="M672">
            <v>43476</v>
          </cell>
          <cell r="N672">
            <v>43480</v>
          </cell>
          <cell r="Q672">
            <v>43483</v>
          </cell>
        </row>
        <row r="673">
          <cell r="M673">
            <v>43480</v>
          </cell>
          <cell r="N673">
            <v>43481</v>
          </cell>
          <cell r="Q673">
            <v>43484</v>
          </cell>
        </row>
        <row r="674">
          <cell r="M674">
            <v>43481</v>
          </cell>
          <cell r="N674">
            <v>43482</v>
          </cell>
          <cell r="Q674">
            <v>43486</v>
          </cell>
        </row>
        <row r="675">
          <cell r="M675">
            <v>43482</v>
          </cell>
          <cell r="N675">
            <v>43483</v>
          </cell>
          <cell r="Q675">
            <v>43487</v>
          </cell>
        </row>
        <row r="676">
          <cell r="M676">
            <v>43483</v>
          </cell>
          <cell r="N676">
            <v>43484</v>
          </cell>
          <cell r="Q676">
            <v>43488</v>
          </cell>
        </row>
        <row r="677">
          <cell r="M677">
            <v>43484</v>
          </cell>
          <cell r="N677">
            <v>43486</v>
          </cell>
          <cell r="Q677">
            <v>43489</v>
          </cell>
        </row>
        <row r="678">
          <cell r="M678">
            <v>43486</v>
          </cell>
          <cell r="N678">
            <v>43487</v>
          </cell>
          <cell r="Q678">
            <v>43490</v>
          </cell>
        </row>
        <row r="679">
          <cell r="M679">
            <v>43487</v>
          </cell>
          <cell r="N679">
            <v>43488</v>
          </cell>
          <cell r="Q679">
            <v>43493</v>
          </cell>
        </row>
        <row r="680">
          <cell r="M680">
            <v>43488</v>
          </cell>
          <cell r="N680">
            <v>43489</v>
          </cell>
          <cell r="Q680">
            <v>43494</v>
          </cell>
        </row>
        <row r="681">
          <cell r="M681">
            <v>43489</v>
          </cell>
          <cell r="N681">
            <v>43490</v>
          </cell>
          <cell r="Q681">
            <v>43495</v>
          </cell>
        </row>
        <row r="682">
          <cell r="M682">
            <v>43490</v>
          </cell>
          <cell r="N682">
            <v>43493</v>
          </cell>
          <cell r="Q682">
            <v>43496</v>
          </cell>
        </row>
        <row r="683">
          <cell r="M683">
            <v>43493</v>
          </cell>
          <cell r="N683">
            <v>43494</v>
          </cell>
          <cell r="Q683">
            <v>43497</v>
          </cell>
        </row>
        <row r="684">
          <cell r="M684">
            <v>43494</v>
          </cell>
          <cell r="N684">
            <v>43495</v>
          </cell>
          <cell r="Q684">
            <v>43500</v>
          </cell>
        </row>
        <row r="685">
          <cell r="M685">
            <v>43495</v>
          </cell>
          <cell r="N685">
            <v>43496</v>
          </cell>
          <cell r="Q685">
            <v>43501</v>
          </cell>
        </row>
        <row r="686">
          <cell r="M686">
            <v>43496</v>
          </cell>
          <cell r="N686">
            <v>43497</v>
          </cell>
          <cell r="Q686">
            <v>43502</v>
          </cell>
        </row>
        <row r="687">
          <cell r="M687">
            <v>43497</v>
          </cell>
          <cell r="N687">
            <v>43500</v>
          </cell>
          <cell r="Q687">
            <v>43503</v>
          </cell>
        </row>
        <row r="688">
          <cell r="M688">
            <v>43500</v>
          </cell>
          <cell r="N688">
            <v>43501</v>
          </cell>
          <cell r="Q688">
            <v>43504</v>
          </cell>
        </row>
        <row r="689">
          <cell r="M689">
            <v>43501</v>
          </cell>
          <cell r="N689">
            <v>43502</v>
          </cell>
          <cell r="Q689">
            <v>43508</v>
          </cell>
        </row>
        <row r="690">
          <cell r="M690">
            <v>43502</v>
          </cell>
          <cell r="N690">
            <v>43503</v>
          </cell>
          <cell r="Q690">
            <v>43509</v>
          </cell>
        </row>
        <row r="691">
          <cell r="M691">
            <v>43503</v>
          </cell>
          <cell r="N691">
            <v>43504</v>
          </cell>
          <cell r="Q691">
            <v>43510</v>
          </cell>
        </row>
        <row r="692">
          <cell r="M692">
            <v>43504</v>
          </cell>
          <cell r="N692">
            <v>43508</v>
          </cell>
          <cell r="Q692">
            <v>43511</v>
          </cell>
        </row>
        <row r="693">
          <cell r="M693">
            <v>43508</v>
          </cell>
          <cell r="N693">
            <v>43509</v>
          </cell>
          <cell r="Q693">
            <v>43512</v>
          </cell>
        </row>
        <row r="694">
          <cell r="M694">
            <v>43509</v>
          </cell>
          <cell r="N694">
            <v>43510</v>
          </cell>
          <cell r="Q694">
            <v>43514</v>
          </cell>
        </row>
        <row r="695">
          <cell r="M695">
            <v>43510</v>
          </cell>
          <cell r="N695">
            <v>43511</v>
          </cell>
          <cell r="Q695">
            <v>43515</v>
          </cell>
        </row>
        <row r="696">
          <cell r="M696">
            <v>43511</v>
          </cell>
          <cell r="N696">
            <v>43512</v>
          </cell>
          <cell r="Q696">
            <v>43516</v>
          </cell>
        </row>
        <row r="697">
          <cell r="M697">
            <v>43512</v>
          </cell>
          <cell r="N697">
            <v>43514</v>
          </cell>
          <cell r="Q697">
            <v>43517</v>
          </cell>
        </row>
        <row r="698">
          <cell r="M698">
            <v>43514</v>
          </cell>
          <cell r="N698">
            <v>43515</v>
          </cell>
          <cell r="Q698">
            <v>43518</v>
          </cell>
        </row>
        <row r="699">
          <cell r="M699">
            <v>43515</v>
          </cell>
          <cell r="N699">
            <v>43516</v>
          </cell>
          <cell r="Q699">
            <v>43521</v>
          </cell>
        </row>
        <row r="700">
          <cell r="M700">
            <v>43516</v>
          </cell>
          <cell r="N700">
            <v>43517</v>
          </cell>
          <cell r="Q700">
            <v>43522</v>
          </cell>
        </row>
        <row r="701">
          <cell r="M701">
            <v>43517</v>
          </cell>
          <cell r="N701">
            <v>43518</v>
          </cell>
          <cell r="Q701">
            <v>43523</v>
          </cell>
        </row>
        <row r="702">
          <cell r="M702">
            <v>43518</v>
          </cell>
          <cell r="N702">
            <v>43521</v>
          </cell>
          <cell r="Q702">
            <v>43524</v>
          </cell>
        </row>
        <row r="703">
          <cell r="M703">
            <v>43521</v>
          </cell>
          <cell r="N703">
            <v>43522</v>
          </cell>
          <cell r="Q703">
            <v>43525</v>
          </cell>
        </row>
        <row r="704">
          <cell r="M704">
            <v>43522</v>
          </cell>
          <cell r="N704">
            <v>43523</v>
          </cell>
          <cell r="Q704">
            <v>43528</v>
          </cell>
        </row>
        <row r="705">
          <cell r="M705">
            <v>43523</v>
          </cell>
          <cell r="N705">
            <v>43524</v>
          </cell>
          <cell r="Q705">
            <v>43529</v>
          </cell>
        </row>
        <row r="706">
          <cell r="M706">
            <v>43524</v>
          </cell>
          <cell r="N706">
            <v>43525</v>
          </cell>
          <cell r="Q706">
            <v>43530</v>
          </cell>
        </row>
        <row r="707">
          <cell r="M707">
            <v>43525</v>
          </cell>
          <cell r="N707">
            <v>43528</v>
          </cell>
          <cell r="Q707">
            <v>43531</v>
          </cell>
        </row>
        <row r="708">
          <cell r="M708">
            <v>43528</v>
          </cell>
          <cell r="N708">
            <v>43529</v>
          </cell>
          <cell r="Q708">
            <v>43532</v>
          </cell>
        </row>
        <row r="709">
          <cell r="M709">
            <v>43529</v>
          </cell>
          <cell r="N709">
            <v>43530</v>
          </cell>
          <cell r="Q709">
            <v>43535</v>
          </cell>
        </row>
        <row r="710">
          <cell r="M710">
            <v>43530</v>
          </cell>
          <cell r="N710">
            <v>43531</v>
          </cell>
          <cell r="Q710">
            <v>43536</v>
          </cell>
        </row>
        <row r="711">
          <cell r="M711">
            <v>43531</v>
          </cell>
          <cell r="N711">
            <v>43532</v>
          </cell>
          <cell r="Q711">
            <v>43537</v>
          </cell>
        </row>
        <row r="712">
          <cell r="M712">
            <v>43532</v>
          </cell>
          <cell r="N712">
            <v>43535</v>
          </cell>
          <cell r="Q712">
            <v>43538</v>
          </cell>
        </row>
        <row r="713">
          <cell r="M713">
            <v>43535</v>
          </cell>
          <cell r="N713">
            <v>43536</v>
          </cell>
          <cell r="Q713">
            <v>43539</v>
          </cell>
        </row>
        <row r="714">
          <cell r="M714">
            <v>43536</v>
          </cell>
          <cell r="N714">
            <v>43537</v>
          </cell>
          <cell r="Q714">
            <v>43542</v>
          </cell>
        </row>
        <row r="715">
          <cell r="M715">
            <v>43537</v>
          </cell>
          <cell r="N715">
            <v>43538</v>
          </cell>
          <cell r="Q715">
            <v>43543</v>
          </cell>
        </row>
        <row r="716">
          <cell r="M716">
            <v>43538</v>
          </cell>
          <cell r="N716">
            <v>43539</v>
          </cell>
          <cell r="Q716">
            <v>43544</v>
          </cell>
        </row>
        <row r="717">
          <cell r="M717">
            <v>43539</v>
          </cell>
          <cell r="N717">
            <v>43542</v>
          </cell>
          <cell r="Q717">
            <v>43546</v>
          </cell>
        </row>
        <row r="718">
          <cell r="M718">
            <v>43542</v>
          </cell>
          <cell r="N718">
            <v>43543</v>
          </cell>
          <cell r="Q718">
            <v>43549</v>
          </cell>
        </row>
        <row r="719">
          <cell r="M719">
            <v>43543</v>
          </cell>
          <cell r="N719">
            <v>43544</v>
          </cell>
          <cell r="Q719">
            <v>43550</v>
          </cell>
        </row>
        <row r="720">
          <cell r="M720">
            <v>43544</v>
          </cell>
          <cell r="N720">
            <v>43546</v>
          </cell>
          <cell r="Q720">
            <v>43551</v>
          </cell>
        </row>
        <row r="721">
          <cell r="M721">
            <v>43546</v>
          </cell>
          <cell r="N721">
            <v>43549</v>
          </cell>
          <cell r="Q721">
            <v>43552</v>
          </cell>
        </row>
        <row r="722">
          <cell r="M722">
            <v>43549</v>
          </cell>
          <cell r="N722">
            <v>43550</v>
          </cell>
          <cell r="Q722">
            <v>43553</v>
          </cell>
        </row>
        <row r="723">
          <cell r="M723">
            <v>43550</v>
          </cell>
          <cell r="N723">
            <v>43551</v>
          </cell>
          <cell r="Q723">
            <v>43556</v>
          </cell>
        </row>
        <row r="724">
          <cell r="M724">
            <v>43551</v>
          </cell>
          <cell r="N724">
            <v>43552</v>
          </cell>
          <cell r="Q724">
            <v>43557</v>
          </cell>
        </row>
        <row r="725">
          <cell r="M725">
            <v>43552</v>
          </cell>
          <cell r="N725">
            <v>43553</v>
          </cell>
          <cell r="Q725">
            <v>43558</v>
          </cell>
        </row>
        <row r="726">
          <cell r="M726">
            <v>43553</v>
          </cell>
          <cell r="N726">
            <v>43556</v>
          </cell>
          <cell r="Q726">
            <v>43559</v>
          </cell>
        </row>
        <row r="727">
          <cell r="M727">
            <v>43556</v>
          </cell>
          <cell r="N727">
            <v>43557</v>
          </cell>
          <cell r="Q727">
            <v>43560</v>
          </cell>
        </row>
        <row r="728">
          <cell r="M728">
            <v>43557</v>
          </cell>
          <cell r="N728">
            <v>43558</v>
          </cell>
          <cell r="Q728">
            <v>43563</v>
          </cell>
        </row>
        <row r="729">
          <cell r="M729">
            <v>43558</v>
          </cell>
          <cell r="N729">
            <v>43559</v>
          </cell>
          <cell r="Q729">
            <v>43564</v>
          </cell>
        </row>
        <row r="730">
          <cell r="M730">
            <v>43559</v>
          </cell>
          <cell r="N730">
            <v>43560</v>
          </cell>
          <cell r="Q730">
            <v>43565</v>
          </cell>
        </row>
        <row r="731">
          <cell r="M731">
            <v>43560</v>
          </cell>
          <cell r="N731">
            <v>43563</v>
          </cell>
          <cell r="Q731">
            <v>43566</v>
          </cell>
        </row>
        <row r="732">
          <cell r="M732">
            <v>43563</v>
          </cell>
          <cell r="N732">
            <v>43564</v>
          </cell>
          <cell r="Q732">
            <v>43567</v>
          </cell>
        </row>
        <row r="733">
          <cell r="M733">
            <v>43564</v>
          </cell>
          <cell r="N733">
            <v>43565</v>
          </cell>
          <cell r="Q733">
            <v>43570</v>
          </cell>
        </row>
        <row r="734">
          <cell r="M734">
            <v>43565</v>
          </cell>
          <cell r="N734">
            <v>43566</v>
          </cell>
          <cell r="Q734">
            <v>43571</v>
          </cell>
        </row>
        <row r="735">
          <cell r="M735">
            <v>43566</v>
          </cell>
          <cell r="N735">
            <v>43567</v>
          </cell>
          <cell r="Q735">
            <v>43572</v>
          </cell>
        </row>
        <row r="736">
          <cell r="M736">
            <v>43567</v>
          </cell>
          <cell r="N736">
            <v>43570</v>
          </cell>
          <cell r="Q736">
            <v>43573</v>
          </cell>
        </row>
        <row r="737">
          <cell r="M737">
            <v>43570</v>
          </cell>
          <cell r="N737">
            <v>43571</v>
          </cell>
          <cell r="Q737">
            <v>43574</v>
          </cell>
        </row>
        <row r="738">
          <cell r="M738">
            <v>43571</v>
          </cell>
          <cell r="N738">
            <v>43572</v>
          </cell>
          <cell r="Q738">
            <v>43577</v>
          </cell>
        </row>
        <row r="739">
          <cell r="M739">
            <v>43572</v>
          </cell>
          <cell r="N739">
            <v>43573</v>
          </cell>
          <cell r="Q739">
            <v>43578</v>
          </cell>
        </row>
        <row r="740">
          <cell r="M740">
            <v>43573</v>
          </cell>
          <cell r="N740">
            <v>43574</v>
          </cell>
          <cell r="Q740">
            <v>43579</v>
          </cell>
        </row>
        <row r="741">
          <cell r="M741">
            <v>43574</v>
          </cell>
          <cell r="N741">
            <v>43577</v>
          </cell>
          <cell r="Q741">
            <v>43580</v>
          </cell>
        </row>
        <row r="742">
          <cell r="M742">
            <v>43577</v>
          </cell>
          <cell r="N742">
            <v>43578</v>
          </cell>
          <cell r="Q742">
            <v>43581</v>
          </cell>
        </row>
        <row r="743">
          <cell r="M743">
            <v>43578</v>
          </cell>
          <cell r="N743">
            <v>43579</v>
          </cell>
          <cell r="Q743">
            <v>43592</v>
          </cell>
        </row>
        <row r="744">
          <cell r="M744">
            <v>43579</v>
          </cell>
          <cell r="N744">
            <v>43580</v>
          </cell>
          <cell r="Q744">
            <v>43593</v>
          </cell>
        </row>
        <row r="745">
          <cell r="M745">
            <v>43580</v>
          </cell>
          <cell r="N745">
            <v>43581</v>
          </cell>
          <cell r="Q745">
            <v>43594</v>
          </cell>
        </row>
        <row r="746">
          <cell r="M746">
            <v>43581</v>
          </cell>
          <cell r="N746">
            <v>43592</v>
          </cell>
          <cell r="Q746">
            <v>43595</v>
          </cell>
        </row>
        <row r="747">
          <cell r="M747">
            <v>43592</v>
          </cell>
          <cell r="N747">
            <v>43593</v>
          </cell>
          <cell r="Q747">
            <v>43596</v>
          </cell>
        </row>
        <row r="748">
          <cell r="M748">
            <v>43593</v>
          </cell>
          <cell r="N748">
            <v>43594</v>
          </cell>
          <cell r="Q748">
            <v>43598</v>
          </cell>
        </row>
        <row r="749">
          <cell r="M749">
            <v>43594</v>
          </cell>
          <cell r="N749">
            <v>43595</v>
          </cell>
          <cell r="Q749">
            <v>43599</v>
          </cell>
        </row>
        <row r="750">
          <cell r="M750">
            <v>43595</v>
          </cell>
          <cell r="N750">
            <v>43596</v>
          </cell>
          <cell r="Q750">
            <v>43600</v>
          </cell>
        </row>
        <row r="751">
          <cell r="M751">
            <v>43596</v>
          </cell>
          <cell r="N751">
            <v>43598</v>
          </cell>
          <cell r="Q751">
            <v>43601</v>
          </cell>
        </row>
        <row r="752">
          <cell r="M752">
            <v>43598</v>
          </cell>
          <cell r="N752">
            <v>43599</v>
          </cell>
          <cell r="Q752">
            <v>43602</v>
          </cell>
        </row>
        <row r="753">
          <cell r="M753">
            <v>43599</v>
          </cell>
          <cell r="N753">
            <v>43600</v>
          </cell>
          <cell r="Q753">
            <v>43605</v>
          </cell>
        </row>
        <row r="754">
          <cell r="M754">
            <v>43600</v>
          </cell>
          <cell r="N754">
            <v>43601</v>
          </cell>
          <cell r="Q754">
            <v>43606</v>
          </cell>
        </row>
        <row r="755">
          <cell r="M755">
            <v>43601</v>
          </cell>
          <cell r="N755">
            <v>43602</v>
          </cell>
          <cell r="Q755">
            <v>43607</v>
          </cell>
        </row>
        <row r="756">
          <cell r="M756">
            <v>43602</v>
          </cell>
          <cell r="N756">
            <v>43605</v>
          </cell>
          <cell r="Q756">
            <v>43608</v>
          </cell>
        </row>
        <row r="757">
          <cell r="M757">
            <v>43605</v>
          </cell>
          <cell r="N757">
            <v>43606</v>
          </cell>
          <cell r="Q757">
            <v>43609</v>
          </cell>
        </row>
        <row r="758">
          <cell r="M758">
            <v>43606</v>
          </cell>
          <cell r="N758">
            <v>43607</v>
          </cell>
          <cell r="Q758">
            <v>43612</v>
          </cell>
        </row>
        <row r="759">
          <cell r="M759">
            <v>43607</v>
          </cell>
          <cell r="N759">
            <v>43608</v>
          </cell>
          <cell r="Q759">
            <v>43613</v>
          </cell>
        </row>
        <row r="760">
          <cell r="M760">
            <v>43608</v>
          </cell>
          <cell r="N760">
            <v>43609</v>
          </cell>
          <cell r="Q760">
            <v>43614</v>
          </cell>
        </row>
        <row r="761">
          <cell r="M761">
            <v>43609</v>
          </cell>
          <cell r="N761">
            <v>43612</v>
          </cell>
          <cell r="Q761">
            <v>43615</v>
          </cell>
        </row>
        <row r="762">
          <cell r="M762">
            <v>43612</v>
          </cell>
          <cell r="N762">
            <v>43613</v>
          </cell>
          <cell r="Q762">
            <v>43616</v>
          </cell>
        </row>
        <row r="763">
          <cell r="M763">
            <v>43613</v>
          </cell>
          <cell r="N763">
            <v>43614</v>
          </cell>
          <cell r="Q763">
            <v>43619</v>
          </cell>
        </row>
        <row r="764">
          <cell r="M764">
            <v>43614</v>
          </cell>
          <cell r="N764">
            <v>43615</v>
          </cell>
          <cell r="Q764">
            <v>43620</v>
          </cell>
        </row>
        <row r="765">
          <cell r="M765">
            <v>43615</v>
          </cell>
          <cell r="N765">
            <v>43616</v>
          </cell>
          <cell r="Q765">
            <v>43621</v>
          </cell>
        </row>
        <row r="766">
          <cell r="M766">
            <v>43616</v>
          </cell>
          <cell r="N766">
            <v>43619</v>
          </cell>
          <cell r="Q766">
            <v>43622</v>
          </cell>
        </row>
        <row r="767">
          <cell r="M767">
            <v>43619</v>
          </cell>
          <cell r="N767">
            <v>43620</v>
          </cell>
          <cell r="Q767">
            <v>43623</v>
          </cell>
        </row>
        <row r="768">
          <cell r="M768">
            <v>43620</v>
          </cell>
          <cell r="N768">
            <v>43621</v>
          </cell>
          <cell r="Q768">
            <v>43626</v>
          </cell>
        </row>
        <row r="769">
          <cell r="M769">
            <v>43621</v>
          </cell>
          <cell r="N769">
            <v>43622</v>
          </cell>
          <cell r="Q769">
            <v>43627</v>
          </cell>
        </row>
        <row r="770">
          <cell r="M770">
            <v>43622</v>
          </cell>
          <cell r="N770">
            <v>43623</v>
          </cell>
          <cell r="Q770">
            <v>43628</v>
          </cell>
        </row>
        <row r="771">
          <cell r="M771">
            <v>43623</v>
          </cell>
          <cell r="N771">
            <v>43626</v>
          </cell>
          <cell r="Q771">
            <v>43629</v>
          </cell>
        </row>
        <row r="772">
          <cell r="M772">
            <v>43626</v>
          </cell>
          <cell r="N772">
            <v>43627</v>
          </cell>
          <cell r="Q772">
            <v>43630</v>
          </cell>
        </row>
        <row r="773">
          <cell r="M773">
            <v>43627</v>
          </cell>
          <cell r="N773">
            <v>43628</v>
          </cell>
          <cell r="Q773">
            <v>43633</v>
          </cell>
        </row>
        <row r="774">
          <cell r="M774">
            <v>43628</v>
          </cell>
          <cell r="N774">
            <v>43629</v>
          </cell>
          <cell r="Q774">
            <v>43634</v>
          </cell>
        </row>
        <row r="775">
          <cell r="M775">
            <v>43629</v>
          </cell>
          <cell r="N775">
            <v>43630</v>
          </cell>
          <cell r="Q775">
            <v>43635</v>
          </cell>
        </row>
        <row r="776">
          <cell r="M776">
            <v>43630</v>
          </cell>
          <cell r="N776">
            <v>43633</v>
          </cell>
          <cell r="Q776">
            <v>43636</v>
          </cell>
        </row>
        <row r="777">
          <cell r="M777">
            <v>43633</v>
          </cell>
          <cell r="N777">
            <v>43634</v>
          </cell>
          <cell r="Q777">
            <v>43637</v>
          </cell>
        </row>
        <row r="778">
          <cell r="M778">
            <v>43634</v>
          </cell>
          <cell r="N778">
            <v>43635</v>
          </cell>
          <cell r="Q778">
            <v>43640</v>
          </cell>
        </row>
        <row r="779">
          <cell r="M779">
            <v>43635</v>
          </cell>
          <cell r="N779">
            <v>43636</v>
          </cell>
          <cell r="Q779">
            <v>43641</v>
          </cell>
        </row>
        <row r="780">
          <cell r="M780">
            <v>43636</v>
          </cell>
          <cell r="N780">
            <v>43637</v>
          </cell>
          <cell r="Q780">
            <v>43642</v>
          </cell>
        </row>
        <row r="781">
          <cell r="M781">
            <v>43637</v>
          </cell>
          <cell r="N781">
            <v>43640</v>
          </cell>
          <cell r="Q781">
            <v>43643</v>
          </cell>
        </row>
        <row r="782">
          <cell r="M782">
            <v>43640</v>
          </cell>
          <cell r="N782">
            <v>43641</v>
          </cell>
          <cell r="Q782">
            <v>43644</v>
          </cell>
        </row>
        <row r="783">
          <cell r="M783">
            <v>43641</v>
          </cell>
          <cell r="N783">
            <v>43642</v>
          </cell>
          <cell r="Q783">
            <v>43647</v>
          </cell>
        </row>
        <row r="784">
          <cell r="M784">
            <v>43642</v>
          </cell>
          <cell r="N784">
            <v>43643</v>
          </cell>
          <cell r="Q784">
            <v>43648</v>
          </cell>
        </row>
        <row r="785">
          <cell r="M785">
            <v>43643</v>
          </cell>
          <cell r="N785">
            <v>43644</v>
          </cell>
          <cell r="Q785">
            <v>43649</v>
          </cell>
        </row>
        <row r="786">
          <cell r="M786">
            <v>43644</v>
          </cell>
          <cell r="N786">
            <v>43647</v>
          </cell>
          <cell r="Q786">
            <v>43650</v>
          </cell>
        </row>
        <row r="787">
          <cell r="M787">
            <v>43647</v>
          </cell>
          <cell r="N787">
            <v>43648</v>
          </cell>
          <cell r="Q787">
            <v>43651</v>
          </cell>
        </row>
        <row r="788">
          <cell r="M788">
            <v>43648</v>
          </cell>
          <cell r="N788">
            <v>43649</v>
          </cell>
          <cell r="Q788">
            <v>43654</v>
          </cell>
        </row>
        <row r="789">
          <cell r="M789">
            <v>43649</v>
          </cell>
          <cell r="N789">
            <v>43650</v>
          </cell>
          <cell r="Q789">
            <v>43655</v>
          </cell>
        </row>
        <row r="790">
          <cell r="M790">
            <v>43650</v>
          </cell>
          <cell r="N790">
            <v>43651</v>
          </cell>
          <cell r="Q790">
            <v>43656</v>
          </cell>
        </row>
        <row r="791">
          <cell r="M791">
            <v>43651</v>
          </cell>
          <cell r="N791">
            <v>43654</v>
          </cell>
          <cell r="Q791">
            <v>43657</v>
          </cell>
        </row>
        <row r="792">
          <cell r="M792">
            <v>43654</v>
          </cell>
          <cell r="N792">
            <v>43655</v>
          </cell>
          <cell r="Q792">
            <v>43658</v>
          </cell>
        </row>
        <row r="793">
          <cell r="M793">
            <v>43655</v>
          </cell>
          <cell r="N793">
            <v>43656</v>
          </cell>
          <cell r="Q793">
            <v>43662</v>
          </cell>
        </row>
        <row r="794">
          <cell r="M794">
            <v>43656</v>
          </cell>
          <cell r="N794">
            <v>43657</v>
          </cell>
          <cell r="Q794">
            <v>43663</v>
          </cell>
        </row>
        <row r="795">
          <cell r="M795">
            <v>43657</v>
          </cell>
          <cell r="N795">
            <v>43658</v>
          </cell>
          <cell r="Q795">
            <v>43664</v>
          </cell>
        </row>
        <row r="796">
          <cell r="M796">
            <v>43658</v>
          </cell>
          <cell r="N796">
            <v>43662</v>
          </cell>
          <cell r="Q796">
            <v>43665</v>
          </cell>
        </row>
        <row r="797">
          <cell r="M797">
            <v>43662</v>
          </cell>
          <cell r="N797">
            <v>43663</v>
          </cell>
          <cell r="Q797">
            <v>43666</v>
          </cell>
        </row>
        <row r="798">
          <cell r="M798">
            <v>43663</v>
          </cell>
          <cell r="N798">
            <v>43664</v>
          </cell>
          <cell r="Q798">
            <v>43668</v>
          </cell>
        </row>
        <row r="799">
          <cell r="M799">
            <v>43664</v>
          </cell>
          <cell r="N799">
            <v>43665</v>
          </cell>
          <cell r="Q799">
            <v>43669</v>
          </cell>
        </row>
        <row r="800">
          <cell r="M800">
            <v>43665</v>
          </cell>
          <cell r="N800">
            <v>43666</v>
          </cell>
          <cell r="Q800">
            <v>43670</v>
          </cell>
        </row>
        <row r="801">
          <cell r="M801">
            <v>43666</v>
          </cell>
          <cell r="N801">
            <v>43668</v>
          </cell>
          <cell r="Q801">
            <v>43671</v>
          </cell>
        </row>
        <row r="802">
          <cell r="M802">
            <v>43668</v>
          </cell>
          <cell r="N802">
            <v>43669</v>
          </cell>
          <cell r="Q802">
            <v>43672</v>
          </cell>
        </row>
        <row r="803">
          <cell r="M803">
            <v>43669</v>
          </cell>
          <cell r="N803">
            <v>43670</v>
          </cell>
          <cell r="Q803">
            <v>43675</v>
          </cell>
        </row>
        <row r="804">
          <cell r="M804">
            <v>43670</v>
          </cell>
          <cell r="N804">
            <v>43671</v>
          </cell>
          <cell r="Q804">
            <v>43676</v>
          </cell>
        </row>
        <row r="805">
          <cell r="M805">
            <v>43671</v>
          </cell>
          <cell r="N805">
            <v>43672</v>
          </cell>
          <cell r="Q805">
            <v>43677</v>
          </cell>
        </row>
        <row r="806">
          <cell r="M806">
            <v>43672</v>
          </cell>
          <cell r="N806">
            <v>43675</v>
          </cell>
          <cell r="Q806">
            <v>43678</v>
          </cell>
        </row>
        <row r="807">
          <cell r="M807">
            <v>43675</v>
          </cell>
          <cell r="N807">
            <v>43676</v>
          </cell>
          <cell r="Q807">
            <v>43679</v>
          </cell>
        </row>
        <row r="808">
          <cell r="M808">
            <v>43676</v>
          </cell>
          <cell r="N808">
            <v>43677</v>
          </cell>
          <cell r="Q808">
            <v>43682</v>
          </cell>
        </row>
        <row r="809">
          <cell r="M809">
            <v>43677</v>
          </cell>
          <cell r="N809">
            <v>43678</v>
          </cell>
          <cell r="Q809">
            <v>43683</v>
          </cell>
        </row>
        <row r="810">
          <cell r="M810">
            <v>43678</v>
          </cell>
          <cell r="N810">
            <v>43679</v>
          </cell>
          <cell r="Q810">
            <v>43684</v>
          </cell>
        </row>
        <row r="811">
          <cell r="M811">
            <v>43679</v>
          </cell>
          <cell r="N811">
            <v>43682</v>
          </cell>
          <cell r="Q811">
            <v>43685</v>
          </cell>
        </row>
        <row r="812">
          <cell r="M812">
            <v>43682</v>
          </cell>
          <cell r="N812">
            <v>43683</v>
          </cell>
          <cell r="Q812">
            <v>43686</v>
          </cell>
        </row>
        <row r="813">
          <cell r="M813">
            <v>43683</v>
          </cell>
          <cell r="N813">
            <v>43684</v>
          </cell>
          <cell r="Q813">
            <v>43696</v>
          </cell>
        </row>
        <row r="814">
          <cell r="M814">
            <v>43684</v>
          </cell>
          <cell r="N814">
            <v>43685</v>
          </cell>
          <cell r="Q814">
            <v>43697</v>
          </cell>
        </row>
        <row r="815">
          <cell r="M815">
            <v>43685</v>
          </cell>
          <cell r="N815">
            <v>43686</v>
          </cell>
          <cell r="Q815">
            <v>43698</v>
          </cell>
        </row>
        <row r="816">
          <cell r="M816">
            <v>43686</v>
          </cell>
          <cell r="N816">
            <v>43696</v>
          </cell>
          <cell r="Q816">
            <v>43699</v>
          </cell>
        </row>
        <row r="817">
          <cell r="M817">
            <v>43696</v>
          </cell>
          <cell r="N817">
            <v>43697</v>
          </cell>
          <cell r="Q817">
            <v>43700</v>
          </cell>
        </row>
        <row r="818">
          <cell r="M818">
            <v>43697</v>
          </cell>
          <cell r="N818">
            <v>43698</v>
          </cell>
          <cell r="Q818">
            <v>43703</v>
          </cell>
        </row>
        <row r="819">
          <cell r="M819">
            <v>43698</v>
          </cell>
          <cell r="N819">
            <v>43699</v>
          </cell>
          <cell r="Q819">
            <v>43704</v>
          </cell>
        </row>
        <row r="820">
          <cell r="M820">
            <v>43699</v>
          </cell>
          <cell r="N820">
            <v>43700</v>
          </cell>
          <cell r="Q820">
            <v>43705</v>
          </cell>
        </row>
        <row r="821">
          <cell r="M821">
            <v>43700</v>
          </cell>
          <cell r="N821">
            <v>43703</v>
          </cell>
          <cell r="Q821">
            <v>43706</v>
          </cell>
        </row>
        <row r="822">
          <cell r="M822">
            <v>43703</v>
          </cell>
          <cell r="N822">
            <v>43704</v>
          </cell>
          <cell r="Q822">
            <v>43707</v>
          </cell>
        </row>
        <row r="823">
          <cell r="M823">
            <v>43704</v>
          </cell>
          <cell r="N823">
            <v>43705</v>
          </cell>
          <cell r="Q823">
            <v>43710</v>
          </cell>
        </row>
        <row r="824">
          <cell r="M824">
            <v>43705</v>
          </cell>
          <cell r="N824">
            <v>43706</v>
          </cell>
          <cell r="Q824">
            <v>43711</v>
          </cell>
        </row>
        <row r="825">
          <cell r="M825">
            <v>43706</v>
          </cell>
          <cell r="N825">
            <v>43707</v>
          </cell>
          <cell r="Q825">
            <v>43712</v>
          </cell>
        </row>
        <row r="826">
          <cell r="M826">
            <v>43707</v>
          </cell>
          <cell r="N826">
            <v>43710</v>
          </cell>
          <cell r="Q826">
            <v>43713</v>
          </cell>
        </row>
        <row r="827">
          <cell r="M827">
            <v>43710</v>
          </cell>
          <cell r="N827">
            <v>43711</v>
          </cell>
          <cell r="Q827">
            <v>43714</v>
          </cell>
        </row>
        <row r="828">
          <cell r="M828">
            <v>43711</v>
          </cell>
          <cell r="N828">
            <v>43712</v>
          </cell>
          <cell r="Q828">
            <v>43717</v>
          </cell>
        </row>
        <row r="829">
          <cell r="M829">
            <v>43712</v>
          </cell>
          <cell r="N829">
            <v>43713</v>
          </cell>
          <cell r="Q829">
            <v>43718</v>
          </cell>
        </row>
        <row r="830">
          <cell r="M830">
            <v>43713</v>
          </cell>
          <cell r="N830">
            <v>43714</v>
          </cell>
          <cell r="Q830">
            <v>43719</v>
          </cell>
        </row>
        <row r="831">
          <cell r="M831">
            <v>43714</v>
          </cell>
          <cell r="N831">
            <v>43717</v>
          </cell>
          <cell r="Q831">
            <v>43720</v>
          </cell>
        </row>
        <row r="832">
          <cell r="M832">
            <v>43717</v>
          </cell>
          <cell r="N832">
            <v>43718</v>
          </cell>
          <cell r="Q832">
            <v>43721</v>
          </cell>
        </row>
        <row r="833">
          <cell r="M833">
            <v>43718</v>
          </cell>
          <cell r="N833">
            <v>43719</v>
          </cell>
          <cell r="Q833">
            <v>43725</v>
          </cell>
        </row>
        <row r="834">
          <cell r="M834">
            <v>43719</v>
          </cell>
          <cell r="N834">
            <v>43720</v>
          </cell>
          <cell r="Q834">
            <v>43726</v>
          </cell>
        </row>
        <row r="835">
          <cell r="M835">
            <v>43720</v>
          </cell>
          <cell r="N835">
            <v>43721</v>
          </cell>
          <cell r="Q835">
            <v>43727</v>
          </cell>
        </row>
        <row r="836">
          <cell r="M836">
            <v>43721</v>
          </cell>
          <cell r="N836">
            <v>43725</v>
          </cell>
          <cell r="Q836">
            <v>43728</v>
          </cell>
        </row>
        <row r="837">
          <cell r="M837">
            <v>43725</v>
          </cell>
          <cell r="N837">
            <v>43726</v>
          </cell>
          <cell r="Q837">
            <v>43729</v>
          </cell>
        </row>
        <row r="838">
          <cell r="M838">
            <v>43726</v>
          </cell>
          <cell r="N838">
            <v>43727</v>
          </cell>
          <cell r="Q838">
            <v>43732</v>
          </cell>
        </row>
        <row r="839">
          <cell r="M839">
            <v>43727</v>
          </cell>
          <cell r="N839">
            <v>43728</v>
          </cell>
          <cell r="Q839">
            <v>43733</v>
          </cell>
        </row>
        <row r="840">
          <cell r="M840">
            <v>43728</v>
          </cell>
          <cell r="N840">
            <v>43729</v>
          </cell>
          <cell r="Q840">
            <v>43734</v>
          </cell>
        </row>
        <row r="841">
          <cell r="M841">
            <v>43729</v>
          </cell>
          <cell r="N841">
            <v>43732</v>
          </cell>
          <cell r="Q841">
            <v>43735</v>
          </cell>
        </row>
        <row r="842">
          <cell r="M842">
            <v>43732</v>
          </cell>
          <cell r="N842">
            <v>43733</v>
          </cell>
          <cell r="Q842">
            <v>43736</v>
          </cell>
        </row>
        <row r="843">
          <cell r="M843">
            <v>43733</v>
          </cell>
          <cell r="N843">
            <v>43734</v>
          </cell>
          <cell r="Q843">
            <v>43738</v>
          </cell>
        </row>
        <row r="844">
          <cell r="M844">
            <v>43734</v>
          </cell>
          <cell r="N844">
            <v>43735</v>
          </cell>
          <cell r="Q844">
            <v>43739</v>
          </cell>
        </row>
        <row r="845">
          <cell r="M845">
            <v>43735</v>
          </cell>
          <cell r="N845">
            <v>43736</v>
          </cell>
          <cell r="Q845">
            <v>43740</v>
          </cell>
        </row>
        <row r="846">
          <cell r="M846">
            <v>43736</v>
          </cell>
          <cell r="N846">
            <v>43738</v>
          </cell>
          <cell r="Q846">
            <v>43741</v>
          </cell>
        </row>
        <row r="847">
          <cell r="M847">
            <v>43738</v>
          </cell>
          <cell r="N847">
            <v>43739</v>
          </cell>
          <cell r="Q847">
            <v>43742</v>
          </cell>
        </row>
        <row r="848">
          <cell r="M848">
            <v>43739</v>
          </cell>
          <cell r="N848">
            <v>43740</v>
          </cell>
          <cell r="Q848">
            <v>43745</v>
          </cell>
        </row>
        <row r="849">
          <cell r="M849">
            <v>43740</v>
          </cell>
          <cell r="N849">
            <v>43741</v>
          </cell>
          <cell r="Q849">
            <v>43746</v>
          </cell>
        </row>
        <row r="850">
          <cell r="M850">
            <v>43741</v>
          </cell>
          <cell r="N850">
            <v>43742</v>
          </cell>
          <cell r="Q850">
            <v>43747</v>
          </cell>
        </row>
        <row r="851">
          <cell r="M851">
            <v>43742</v>
          </cell>
          <cell r="N851">
            <v>43745</v>
          </cell>
          <cell r="Q851">
            <v>43748</v>
          </cell>
        </row>
        <row r="852">
          <cell r="M852">
            <v>43745</v>
          </cell>
          <cell r="N852">
            <v>43746</v>
          </cell>
          <cell r="Q852">
            <v>43749</v>
          </cell>
        </row>
        <row r="853">
          <cell r="M853">
            <v>43746</v>
          </cell>
          <cell r="N853">
            <v>43747</v>
          </cell>
          <cell r="Q853">
            <v>43753</v>
          </cell>
        </row>
        <row r="854">
          <cell r="M854">
            <v>43747</v>
          </cell>
          <cell r="N854">
            <v>43748</v>
          </cell>
          <cell r="Q854">
            <v>43754</v>
          </cell>
        </row>
        <row r="855">
          <cell r="M855">
            <v>43748</v>
          </cell>
          <cell r="N855">
            <v>43749</v>
          </cell>
          <cell r="Q855">
            <v>43755</v>
          </cell>
        </row>
        <row r="856">
          <cell r="M856">
            <v>43749</v>
          </cell>
          <cell r="N856">
            <v>43753</v>
          </cell>
          <cell r="Q856">
            <v>43756</v>
          </cell>
        </row>
        <row r="857">
          <cell r="M857">
            <v>43753</v>
          </cell>
          <cell r="N857">
            <v>43754</v>
          </cell>
          <cell r="Q857">
            <v>43759</v>
          </cell>
        </row>
        <row r="858">
          <cell r="M858">
            <v>43754</v>
          </cell>
          <cell r="N858">
            <v>43755</v>
          </cell>
          <cell r="Q858">
            <v>43761</v>
          </cell>
        </row>
        <row r="859">
          <cell r="M859">
            <v>43755</v>
          </cell>
          <cell r="N859">
            <v>43756</v>
          </cell>
          <cell r="Q859">
            <v>43762</v>
          </cell>
        </row>
        <row r="860">
          <cell r="M860">
            <v>43756</v>
          </cell>
          <cell r="N860">
            <v>43759</v>
          </cell>
          <cell r="Q860">
            <v>43763</v>
          </cell>
        </row>
        <row r="861">
          <cell r="M861">
            <v>43759</v>
          </cell>
          <cell r="N861">
            <v>43761</v>
          </cell>
          <cell r="Q861">
            <v>43766</v>
          </cell>
        </row>
        <row r="862">
          <cell r="M862">
            <v>43761</v>
          </cell>
          <cell r="N862">
            <v>43762</v>
          </cell>
          <cell r="Q862">
            <v>43767</v>
          </cell>
        </row>
        <row r="863">
          <cell r="M863">
            <v>43762</v>
          </cell>
          <cell r="N863">
            <v>43763</v>
          </cell>
          <cell r="Q863">
            <v>43768</v>
          </cell>
        </row>
        <row r="864">
          <cell r="M864">
            <v>43763</v>
          </cell>
          <cell r="N864">
            <v>43766</v>
          </cell>
          <cell r="Q864">
            <v>43769</v>
          </cell>
        </row>
        <row r="865">
          <cell r="M865">
            <v>43766</v>
          </cell>
          <cell r="N865">
            <v>43767</v>
          </cell>
          <cell r="Q865">
            <v>43770</v>
          </cell>
        </row>
        <row r="866">
          <cell r="M866">
            <v>43767</v>
          </cell>
          <cell r="N866">
            <v>43768</v>
          </cell>
          <cell r="Q866">
            <v>43774</v>
          </cell>
        </row>
        <row r="867">
          <cell r="M867">
            <v>43768</v>
          </cell>
          <cell r="N867">
            <v>43769</v>
          </cell>
          <cell r="Q867">
            <v>43775</v>
          </cell>
        </row>
        <row r="868">
          <cell r="M868">
            <v>43769</v>
          </cell>
          <cell r="N868">
            <v>43770</v>
          </cell>
          <cell r="Q868">
            <v>43776</v>
          </cell>
        </row>
        <row r="869">
          <cell r="M869">
            <v>43770</v>
          </cell>
          <cell r="N869">
            <v>43774</v>
          </cell>
          <cell r="Q869">
            <v>43777</v>
          </cell>
        </row>
        <row r="870">
          <cell r="M870">
            <v>43774</v>
          </cell>
          <cell r="N870">
            <v>43775</v>
          </cell>
          <cell r="Q870">
            <v>43780</v>
          </cell>
        </row>
        <row r="871">
          <cell r="M871">
            <v>43775</v>
          </cell>
          <cell r="N871">
            <v>43776</v>
          </cell>
          <cell r="Q871">
            <v>43781</v>
          </cell>
        </row>
        <row r="872">
          <cell r="M872">
            <v>43776</v>
          </cell>
          <cell r="N872">
            <v>43777</v>
          </cell>
          <cell r="Q872">
            <v>43782</v>
          </cell>
        </row>
        <row r="873">
          <cell r="M873">
            <v>43777</v>
          </cell>
          <cell r="N873">
            <v>43780</v>
          </cell>
          <cell r="Q873">
            <v>43783</v>
          </cell>
        </row>
        <row r="874">
          <cell r="M874">
            <v>43780</v>
          </cell>
          <cell r="N874">
            <v>43781</v>
          </cell>
          <cell r="Q874">
            <v>43784</v>
          </cell>
        </row>
        <row r="875">
          <cell r="M875">
            <v>43781</v>
          </cell>
          <cell r="N875">
            <v>43782</v>
          </cell>
          <cell r="Q875">
            <v>43787</v>
          </cell>
        </row>
        <row r="876">
          <cell r="M876">
            <v>43782</v>
          </cell>
          <cell r="N876">
            <v>43783</v>
          </cell>
          <cell r="Q876">
            <v>43788</v>
          </cell>
        </row>
        <row r="877">
          <cell r="M877">
            <v>43783</v>
          </cell>
          <cell r="N877">
            <v>43784</v>
          </cell>
          <cell r="Q877">
            <v>43789</v>
          </cell>
        </row>
        <row r="878">
          <cell r="M878">
            <v>43784</v>
          </cell>
          <cell r="N878">
            <v>43787</v>
          </cell>
          <cell r="Q878">
            <v>43790</v>
          </cell>
        </row>
        <row r="879">
          <cell r="M879">
            <v>43787</v>
          </cell>
          <cell r="N879">
            <v>43788</v>
          </cell>
          <cell r="Q879">
            <v>43791</v>
          </cell>
        </row>
        <row r="880">
          <cell r="M880">
            <v>43788</v>
          </cell>
          <cell r="N880">
            <v>43789</v>
          </cell>
          <cell r="Q880">
            <v>43794</v>
          </cell>
        </row>
        <row r="881">
          <cell r="M881">
            <v>43789</v>
          </cell>
          <cell r="N881">
            <v>43790</v>
          </cell>
          <cell r="Q881">
            <v>43795</v>
          </cell>
        </row>
        <row r="882">
          <cell r="M882">
            <v>43790</v>
          </cell>
          <cell r="N882">
            <v>43791</v>
          </cell>
          <cell r="Q882">
            <v>43796</v>
          </cell>
        </row>
        <row r="883">
          <cell r="M883">
            <v>43791</v>
          </cell>
          <cell r="N883">
            <v>43794</v>
          </cell>
          <cell r="Q883">
            <v>43797</v>
          </cell>
        </row>
        <row r="884">
          <cell r="M884">
            <v>43794</v>
          </cell>
          <cell r="N884">
            <v>43795</v>
          </cell>
          <cell r="Q884">
            <v>43798</v>
          </cell>
        </row>
        <row r="885">
          <cell r="M885">
            <v>43795</v>
          </cell>
          <cell r="N885">
            <v>43796</v>
          </cell>
          <cell r="Q885">
            <v>43801</v>
          </cell>
        </row>
        <row r="886">
          <cell r="M886">
            <v>43796</v>
          </cell>
          <cell r="N886">
            <v>43797</v>
          </cell>
          <cell r="Q886">
            <v>43802</v>
          </cell>
        </row>
        <row r="887">
          <cell r="M887">
            <v>43797</v>
          </cell>
          <cell r="N887">
            <v>43798</v>
          </cell>
          <cell r="Q887">
            <v>43803</v>
          </cell>
        </row>
        <row r="888">
          <cell r="M888">
            <v>43798</v>
          </cell>
          <cell r="N888">
            <v>43801</v>
          </cell>
          <cell r="Q888">
            <v>43804</v>
          </cell>
        </row>
        <row r="889">
          <cell r="M889">
            <v>43801</v>
          </cell>
          <cell r="N889">
            <v>43802</v>
          </cell>
          <cell r="Q889">
            <v>43805</v>
          </cell>
        </row>
        <row r="890">
          <cell r="M890">
            <v>43802</v>
          </cell>
          <cell r="N890">
            <v>43803</v>
          </cell>
          <cell r="Q890">
            <v>43808</v>
          </cell>
        </row>
        <row r="891">
          <cell r="M891">
            <v>43803</v>
          </cell>
          <cell r="N891">
            <v>43804</v>
          </cell>
          <cell r="Q891">
            <v>43809</v>
          </cell>
        </row>
        <row r="892">
          <cell r="M892">
            <v>43804</v>
          </cell>
          <cell r="N892">
            <v>43805</v>
          </cell>
          <cell r="Q892">
            <v>43810</v>
          </cell>
        </row>
        <row r="893">
          <cell r="M893">
            <v>43805</v>
          </cell>
          <cell r="N893">
            <v>43808</v>
          </cell>
          <cell r="Q893">
            <v>43811</v>
          </cell>
        </row>
        <row r="894">
          <cell r="M894">
            <v>43808</v>
          </cell>
          <cell r="N894">
            <v>43809</v>
          </cell>
          <cell r="Q894">
            <v>43812</v>
          </cell>
        </row>
        <row r="895">
          <cell r="M895">
            <v>43809</v>
          </cell>
          <cell r="N895">
            <v>43810</v>
          </cell>
          <cell r="Q895">
            <v>43815</v>
          </cell>
        </row>
        <row r="896">
          <cell r="M896">
            <v>43810</v>
          </cell>
          <cell r="N896">
            <v>43811</v>
          </cell>
          <cell r="Q896">
            <v>43816</v>
          </cell>
        </row>
        <row r="897">
          <cell r="M897">
            <v>43811</v>
          </cell>
          <cell r="N897">
            <v>43812</v>
          </cell>
          <cell r="Q897">
            <v>43817</v>
          </cell>
        </row>
        <row r="898">
          <cell r="M898">
            <v>43812</v>
          </cell>
          <cell r="N898">
            <v>43815</v>
          </cell>
          <cell r="Q898">
            <v>43818</v>
          </cell>
        </row>
        <row r="899">
          <cell r="M899">
            <v>43815</v>
          </cell>
          <cell r="N899">
            <v>43816</v>
          </cell>
          <cell r="Q899">
            <v>43819</v>
          </cell>
        </row>
        <row r="900">
          <cell r="M900">
            <v>43816</v>
          </cell>
          <cell r="N900">
            <v>43817</v>
          </cell>
          <cell r="Q900">
            <v>43822</v>
          </cell>
        </row>
        <row r="901">
          <cell r="M901">
            <v>43817</v>
          </cell>
          <cell r="N901">
            <v>43818</v>
          </cell>
          <cell r="Q901">
            <v>43823</v>
          </cell>
        </row>
        <row r="902">
          <cell r="M902">
            <v>43818</v>
          </cell>
          <cell r="N902">
            <v>43819</v>
          </cell>
          <cell r="Q902">
            <v>43824</v>
          </cell>
        </row>
        <row r="903">
          <cell r="M903">
            <v>43819</v>
          </cell>
          <cell r="N903">
            <v>43822</v>
          </cell>
          <cell r="Q903">
            <v>43825</v>
          </cell>
        </row>
        <row r="904">
          <cell r="M904">
            <v>43822</v>
          </cell>
          <cell r="N904">
            <v>43823</v>
          </cell>
          <cell r="Q904">
            <v>43826</v>
          </cell>
        </row>
        <row r="905">
          <cell r="M905">
            <v>43823</v>
          </cell>
          <cell r="N905">
            <v>43824</v>
          </cell>
          <cell r="Q905">
            <v>43836</v>
          </cell>
        </row>
        <row r="906">
          <cell r="M906">
            <v>43824</v>
          </cell>
          <cell r="N906">
            <v>43825</v>
          </cell>
          <cell r="Q906">
            <v>43837</v>
          </cell>
        </row>
        <row r="907">
          <cell r="M907">
            <v>43825</v>
          </cell>
          <cell r="N907">
            <v>43826</v>
          </cell>
          <cell r="Q907">
            <v>43838</v>
          </cell>
        </row>
        <row r="908">
          <cell r="M908">
            <v>43826</v>
          </cell>
          <cell r="N908">
            <v>43836</v>
          </cell>
          <cell r="Q908">
            <v>43839</v>
          </cell>
        </row>
        <row r="909">
          <cell r="M909">
            <v>43836</v>
          </cell>
          <cell r="N909">
            <v>43837</v>
          </cell>
          <cell r="Q909">
            <v>43840</v>
          </cell>
        </row>
        <row r="910">
          <cell r="M910">
            <v>43837</v>
          </cell>
          <cell r="N910">
            <v>43838</v>
          </cell>
          <cell r="Q910">
            <v>43844</v>
          </cell>
        </row>
        <row r="911">
          <cell r="M911">
            <v>43838</v>
          </cell>
          <cell r="N911">
            <v>43839</v>
          </cell>
          <cell r="Q911">
            <v>43845</v>
          </cell>
        </row>
        <row r="912">
          <cell r="M912">
            <v>43839</v>
          </cell>
          <cell r="N912">
            <v>43840</v>
          </cell>
          <cell r="Q912">
            <v>43846</v>
          </cell>
        </row>
        <row r="913">
          <cell r="M913">
            <v>43840</v>
          </cell>
          <cell r="N913">
            <v>43844</v>
          </cell>
          <cell r="Q913">
            <v>43847</v>
          </cell>
        </row>
        <row r="914">
          <cell r="M914">
            <v>43844</v>
          </cell>
          <cell r="N914">
            <v>43845</v>
          </cell>
          <cell r="Q914">
            <v>43848</v>
          </cell>
        </row>
        <row r="915">
          <cell r="M915">
            <v>43845</v>
          </cell>
          <cell r="N915">
            <v>43846</v>
          </cell>
          <cell r="Q915">
            <v>43850</v>
          </cell>
        </row>
        <row r="916">
          <cell r="M916">
            <v>43846</v>
          </cell>
          <cell r="N916">
            <v>43847</v>
          </cell>
          <cell r="Q916">
            <v>43851</v>
          </cell>
        </row>
        <row r="917">
          <cell r="M917">
            <v>43847</v>
          </cell>
          <cell r="N917">
            <v>43848</v>
          </cell>
          <cell r="Q917">
            <v>43852</v>
          </cell>
        </row>
        <row r="918">
          <cell r="M918">
            <v>43848</v>
          </cell>
          <cell r="N918">
            <v>43850</v>
          </cell>
          <cell r="Q918">
            <v>43853</v>
          </cell>
        </row>
        <row r="919">
          <cell r="M919">
            <v>43850</v>
          </cell>
          <cell r="N919">
            <v>43851</v>
          </cell>
          <cell r="Q919">
            <v>43854</v>
          </cell>
        </row>
        <row r="920">
          <cell r="M920">
            <v>43851</v>
          </cell>
          <cell r="N920">
            <v>43852</v>
          </cell>
          <cell r="Q920">
            <v>43857</v>
          </cell>
        </row>
        <row r="921">
          <cell r="M921">
            <v>43852</v>
          </cell>
          <cell r="N921">
            <v>43853</v>
          </cell>
          <cell r="Q921">
            <v>43858</v>
          </cell>
        </row>
        <row r="922">
          <cell r="M922">
            <v>43853</v>
          </cell>
          <cell r="N922">
            <v>43854</v>
          </cell>
          <cell r="Q922">
            <v>43859</v>
          </cell>
        </row>
        <row r="923">
          <cell r="M923">
            <v>43854</v>
          </cell>
          <cell r="N923">
            <v>43857</v>
          </cell>
          <cell r="Q923">
            <v>43860</v>
          </cell>
        </row>
        <row r="924">
          <cell r="M924">
            <v>43857</v>
          </cell>
          <cell r="N924">
            <v>43858</v>
          </cell>
          <cell r="Q924">
            <v>43861</v>
          </cell>
        </row>
        <row r="925">
          <cell r="M925">
            <v>43858</v>
          </cell>
          <cell r="N925">
            <v>43859</v>
          </cell>
          <cell r="Q925">
            <v>43864</v>
          </cell>
        </row>
        <row r="926">
          <cell r="M926">
            <v>43859</v>
          </cell>
          <cell r="N926">
            <v>43860</v>
          </cell>
          <cell r="Q926">
            <v>43865</v>
          </cell>
        </row>
        <row r="927">
          <cell r="M927">
            <v>43860</v>
          </cell>
          <cell r="N927">
            <v>43861</v>
          </cell>
          <cell r="Q927">
            <v>43866</v>
          </cell>
        </row>
        <row r="928">
          <cell r="M928">
            <v>43861</v>
          </cell>
          <cell r="N928">
            <v>43864</v>
          </cell>
          <cell r="Q928">
            <v>43867</v>
          </cell>
        </row>
        <row r="929">
          <cell r="M929">
            <v>43864</v>
          </cell>
          <cell r="N929">
            <v>43865</v>
          </cell>
          <cell r="Q929">
            <v>43868</v>
          </cell>
        </row>
        <row r="930">
          <cell r="M930">
            <v>43865</v>
          </cell>
          <cell r="N930">
            <v>43866</v>
          </cell>
          <cell r="Q930">
            <v>43871</v>
          </cell>
        </row>
        <row r="931">
          <cell r="M931">
            <v>43866</v>
          </cell>
          <cell r="N931">
            <v>43867</v>
          </cell>
          <cell r="Q931">
            <v>43873</v>
          </cell>
        </row>
        <row r="932">
          <cell r="M932">
            <v>43867</v>
          </cell>
          <cell r="N932">
            <v>43868</v>
          </cell>
          <cell r="Q932">
            <v>43874</v>
          </cell>
        </row>
        <row r="933">
          <cell r="M933">
            <v>43868</v>
          </cell>
          <cell r="N933">
            <v>43871</v>
          </cell>
          <cell r="Q933">
            <v>43875</v>
          </cell>
        </row>
        <row r="934">
          <cell r="M934">
            <v>43871</v>
          </cell>
          <cell r="N934">
            <v>43873</v>
          </cell>
          <cell r="Q934">
            <v>43876</v>
          </cell>
        </row>
        <row r="935">
          <cell r="M935">
            <v>43873</v>
          </cell>
          <cell r="N935">
            <v>43874</v>
          </cell>
          <cell r="Q935">
            <v>43878</v>
          </cell>
        </row>
        <row r="936">
          <cell r="M936">
            <v>43874</v>
          </cell>
          <cell r="N936">
            <v>43875</v>
          </cell>
          <cell r="Q936">
            <v>43879</v>
          </cell>
        </row>
        <row r="937">
          <cell r="M937">
            <v>43875</v>
          </cell>
          <cell r="N937">
            <v>43876</v>
          </cell>
          <cell r="Q937">
            <v>43880</v>
          </cell>
        </row>
        <row r="938">
          <cell r="M938">
            <v>43876</v>
          </cell>
          <cell r="N938">
            <v>43878</v>
          </cell>
          <cell r="Q938">
            <v>43881</v>
          </cell>
        </row>
        <row r="939">
          <cell r="M939">
            <v>43878</v>
          </cell>
          <cell r="N939">
            <v>43879</v>
          </cell>
          <cell r="Q939">
            <v>43882</v>
          </cell>
        </row>
        <row r="940">
          <cell r="M940">
            <v>43879</v>
          </cell>
          <cell r="N940">
            <v>43880</v>
          </cell>
          <cell r="Q940">
            <v>43886</v>
          </cell>
        </row>
        <row r="941">
          <cell r="M941">
            <v>43880</v>
          </cell>
          <cell r="N941">
            <v>43881</v>
          </cell>
          <cell r="Q941">
            <v>43887</v>
          </cell>
        </row>
        <row r="942">
          <cell r="M942">
            <v>43881</v>
          </cell>
          <cell r="N942">
            <v>43882</v>
          </cell>
          <cell r="Q942">
            <v>43888</v>
          </cell>
        </row>
        <row r="943">
          <cell r="M943">
            <v>43882</v>
          </cell>
          <cell r="N943">
            <v>43886</v>
          </cell>
          <cell r="Q943">
            <v>43889</v>
          </cell>
        </row>
        <row r="944">
          <cell r="M944">
            <v>43886</v>
          </cell>
          <cell r="N944">
            <v>43887</v>
          </cell>
          <cell r="Q944">
            <v>43890</v>
          </cell>
        </row>
        <row r="945">
          <cell r="M945">
            <v>43887</v>
          </cell>
          <cell r="N945">
            <v>43888</v>
          </cell>
          <cell r="Q945">
            <v>43892</v>
          </cell>
        </row>
        <row r="946">
          <cell r="M946">
            <v>43888</v>
          </cell>
          <cell r="N946">
            <v>43889</v>
          </cell>
          <cell r="Q946">
            <v>43893</v>
          </cell>
        </row>
        <row r="947">
          <cell r="M947">
            <v>43889</v>
          </cell>
          <cell r="N947">
            <v>43890</v>
          </cell>
          <cell r="Q947">
            <v>43894</v>
          </cell>
        </row>
        <row r="948">
          <cell r="M948">
            <v>43890</v>
          </cell>
          <cell r="N948">
            <v>43892</v>
          </cell>
          <cell r="Q948">
            <v>43895</v>
          </cell>
        </row>
        <row r="949">
          <cell r="M949">
            <v>43892</v>
          </cell>
          <cell r="N949">
            <v>43893</v>
          </cell>
          <cell r="Q949">
            <v>43896</v>
          </cell>
        </row>
        <row r="950">
          <cell r="M950">
            <v>43893</v>
          </cell>
          <cell r="N950">
            <v>43894</v>
          </cell>
          <cell r="Q950">
            <v>43899</v>
          </cell>
        </row>
        <row r="951">
          <cell r="M951">
            <v>43894</v>
          </cell>
          <cell r="N951">
            <v>43895</v>
          </cell>
          <cell r="Q951">
            <v>43900</v>
          </cell>
        </row>
        <row r="952">
          <cell r="M952">
            <v>43895</v>
          </cell>
          <cell r="N952">
            <v>43896</v>
          </cell>
          <cell r="Q952">
            <v>43901</v>
          </cell>
        </row>
        <row r="953">
          <cell r="M953">
            <v>43896</v>
          </cell>
          <cell r="N953">
            <v>43899</v>
          </cell>
          <cell r="Q953">
            <v>43902</v>
          </cell>
        </row>
        <row r="954">
          <cell r="M954">
            <v>43899</v>
          </cell>
          <cell r="N954">
            <v>43900</v>
          </cell>
          <cell r="Q954">
            <v>43903</v>
          </cell>
        </row>
        <row r="955">
          <cell r="M955">
            <v>43900</v>
          </cell>
          <cell r="N955">
            <v>43901</v>
          </cell>
          <cell r="Q955">
            <v>43906</v>
          </cell>
        </row>
        <row r="956">
          <cell r="M956">
            <v>43901</v>
          </cell>
          <cell r="N956">
            <v>43902</v>
          </cell>
          <cell r="Q956">
            <v>43907</v>
          </cell>
        </row>
        <row r="957">
          <cell r="M957">
            <v>43902</v>
          </cell>
          <cell r="N957">
            <v>43903</v>
          </cell>
          <cell r="Q957">
            <v>43908</v>
          </cell>
        </row>
        <row r="958">
          <cell r="M958">
            <v>43903</v>
          </cell>
          <cell r="N958">
            <v>43906</v>
          </cell>
          <cell r="Q958">
            <v>43909</v>
          </cell>
        </row>
        <row r="959">
          <cell r="M959">
            <v>43906</v>
          </cell>
          <cell r="N959">
            <v>43907</v>
          </cell>
          <cell r="Q959">
            <v>43913</v>
          </cell>
        </row>
        <row r="960">
          <cell r="M960">
            <v>43907</v>
          </cell>
          <cell r="N960">
            <v>43908</v>
          </cell>
          <cell r="Q960">
            <v>43914</v>
          </cell>
        </row>
        <row r="961">
          <cell r="M961">
            <v>43908</v>
          </cell>
          <cell r="N961">
            <v>43909</v>
          </cell>
          <cell r="Q961">
            <v>43915</v>
          </cell>
        </row>
        <row r="962">
          <cell r="M962">
            <v>43909</v>
          </cell>
          <cell r="N962">
            <v>43913</v>
          </cell>
          <cell r="Q962">
            <v>43916</v>
          </cell>
        </row>
        <row r="963">
          <cell r="M963">
            <v>43913</v>
          </cell>
          <cell r="N963">
            <v>43914</v>
          </cell>
          <cell r="Q963">
            <v>43917</v>
          </cell>
        </row>
        <row r="964">
          <cell r="M964">
            <v>43914</v>
          </cell>
          <cell r="N964">
            <v>43915</v>
          </cell>
          <cell r="Q964">
            <v>43920</v>
          </cell>
        </row>
        <row r="965">
          <cell r="M965">
            <v>43915</v>
          </cell>
          <cell r="N965">
            <v>43916</v>
          </cell>
          <cell r="Q965">
            <v>43921</v>
          </cell>
        </row>
        <row r="966">
          <cell r="M966">
            <v>43916</v>
          </cell>
          <cell r="N966">
            <v>43917</v>
          </cell>
          <cell r="Q966">
            <v>43922</v>
          </cell>
        </row>
        <row r="967">
          <cell r="M967">
            <v>43917</v>
          </cell>
          <cell r="N967">
            <v>43920</v>
          </cell>
          <cell r="Q967">
            <v>43923</v>
          </cell>
        </row>
        <row r="968">
          <cell r="M968">
            <v>43920</v>
          </cell>
          <cell r="N968">
            <v>43921</v>
          </cell>
          <cell r="Q968">
            <v>43924</v>
          </cell>
        </row>
        <row r="969">
          <cell r="M969">
            <v>43921</v>
          </cell>
          <cell r="N969">
            <v>43922</v>
          </cell>
          <cell r="Q969">
            <v>43927</v>
          </cell>
        </row>
        <row r="970">
          <cell r="M970">
            <v>43922</v>
          </cell>
          <cell r="N970">
            <v>43923</v>
          </cell>
          <cell r="Q970">
            <v>43928</v>
          </cell>
        </row>
        <row r="971">
          <cell r="M971">
            <v>43923</v>
          </cell>
          <cell r="N971">
            <v>43924</v>
          </cell>
          <cell r="Q971">
            <v>43929</v>
          </cell>
        </row>
        <row r="972">
          <cell r="M972">
            <v>43924</v>
          </cell>
          <cell r="N972">
            <v>43927</v>
          </cell>
          <cell r="Q972">
            <v>43930</v>
          </cell>
        </row>
        <row r="973">
          <cell r="M973">
            <v>43927</v>
          </cell>
          <cell r="N973">
            <v>43928</v>
          </cell>
          <cell r="Q973">
            <v>43931</v>
          </cell>
        </row>
        <row r="974">
          <cell r="M974">
            <v>43928</v>
          </cell>
          <cell r="N974">
            <v>43929</v>
          </cell>
          <cell r="Q974">
            <v>43934</v>
          </cell>
        </row>
        <row r="975">
          <cell r="M975">
            <v>43929</v>
          </cell>
          <cell r="N975">
            <v>43930</v>
          </cell>
          <cell r="Q975">
            <v>43935</v>
          </cell>
        </row>
        <row r="976">
          <cell r="M976">
            <v>43930</v>
          </cell>
          <cell r="N976">
            <v>43931</v>
          </cell>
          <cell r="Q976">
            <v>43936</v>
          </cell>
        </row>
        <row r="977">
          <cell r="M977">
            <v>43931</v>
          </cell>
          <cell r="N977">
            <v>43934</v>
          </cell>
          <cell r="Q977">
            <v>43937</v>
          </cell>
        </row>
        <row r="978">
          <cell r="M978">
            <v>43934</v>
          </cell>
          <cell r="N978">
            <v>43935</v>
          </cell>
          <cell r="Q978">
            <v>43938</v>
          </cell>
        </row>
        <row r="979">
          <cell r="M979">
            <v>43935</v>
          </cell>
          <cell r="N979">
            <v>43936</v>
          </cell>
          <cell r="Q979">
            <v>43941</v>
          </cell>
        </row>
        <row r="980">
          <cell r="M980">
            <v>43936</v>
          </cell>
          <cell r="N980">
            <v>43937</v>
          </cell>
          <cell r="Q980">
            <v>43942</v>
          </cell>
        </row>
        <row r="981">
          <cell r="M981">
            <v>43937</v>
          </cell>
          <cell r="N981">
            <v>43938</v>
          </cell>
          <cell r="Q981">
            <v>43943</v>
          </cell>
        </row>
        <row r="982">
          <cell r="M982">
            <v>43938</v>
          </cell>
          <cell r="N982">
            <v>43941</v>
          </cell>
          <cell r="Q982">
            <v>43944</v>
          </cell>
        </row>
        <row r="983">
          <cell r="M983">
            <v>43941</v>
          </cell>
          <cell r="N983">
            <v>43942</v>
          </cell>
          <cell r="Q983">
            <v>43945</v>
          </cell>
        </row>
        <row r="984">
          <cell r="M984">
            <v>43942</v>
          </cell>
          <cell r="N984">
            <v>43943</v>
          </cell>
          <cell r="Q984">
            <v>43948</v>
          </cell>
        </row>
        <row r="985">
          <cell r="M985">
            <v>43943</v>
          </cell>
          <cell r="N985">
            <v>43944</v>
          </cell>
          <cell r="Q985">
            <v>43949</v>
          </cell>
        </row>
        <row r="986">
          <cell r="M986">
            <v>43944</v>
          </cell>
          <cell r="N986">
            <v>43945</v>
          </cell>
          <cell r="Q986">
            <v>43958</v>
          </cell>
        </row>
        <row r="987">
          <cell r="M987">
            <v>43945</v>
          </cell>
          <cell r="N987">
            <v>43948</v>
          </cell>
          <cell r="Q987">
            <v>43959</v>
          </cell>
        </row>
        <row r="988">
          <cell r="M988">
            <v>43948</v>
          </cell>
          <cell r="N988">
            <v>43949</v>
          </cell>
          <cell r="Q988">
            <v>43960</v>
          </cell>
        </row>
        <row r="989">
          <cell r="M989">
            <v>43949</v>
          </cell>
          <cell r="N989">
            <v>43958</v>
          </cell>
          <cell r="Q989">
            <v>43962</v>
          </cell>
        </row>
        <row r="990">
          <cell r="M990">
            <v>43958</v>
          </cell>
          <cell r="N990">
            <v>43959</v>
          </cell>
          <cell r="Q990">
            <v>43963</v>
          </cell>
        </row>
        <row r="991">
          <cell r="M991">
            <v>43959</v>
          </cell>
          <cell r="N991">
            <v>43960</v>
          </cell>
          <cell r="Q991">
            <v>43964</v>
          </cell>
        </row>
        <row r="992">
          <cell r="M992">
            <v>43960</v>
          </cell>
          <cell r="N992">
            <v>43962</v>
          </cell>
          <cell r="Q992">
            <v>43965</v>
          </cell>
        </row>
        <row r="993">
          <cell r="M993">
            <v>43962</v>
          </cell>
          <cell r="N993">
            <v>43963</v>
          </cell>
          <cell r="Q993">
            <v>43966</v>
          </cell>
        </row>
        <row r="994">
          <cell r="M994">
            <v>43963</v>
          </cell>
          <cell r="N994">
            <v>43964</v>
          </cell>
          <cell r="Q994">
            <v>43969</v>
          </cell>
        </row>
        <row r="995">
          <cell r="M995">
            <v>43964</v>
          </cell>
          <cell r="N995">
            <v>43965</v>
          </cell>
          <cell r="Q995">
            <v>43970</v>
          </cell>
        </row>
        <row r="996">
          <cell r="M996">
            <v>43965</v>
          </cell>
          <cell r="N996">
            <v>43966</v>
          </cell>
          <cell r="Q996">
            <v>43971</v>
          </cell>
        </row>
        <row r="997">
          <cell r="M997">
            <v>43966</v>
          </cell>
          <cell r="N997">
            <v>43969</v>
          </cell>
          <cell r="Q997">
            <v>43972</v>
          </cell>
        </row>
        <row r="998">
          <cell r="M998">
            <v>43969</v>
          </cell>
          <cell r="N998">
            <v>43970</v>
          </cell>
          <cell r="Q998">
            <v>43973</v>
          </cell>
        </row>
        <row r="999">
          <cell r="M999">
            <v>43970</v>
          </cell>
          <cell r="N999">
            <v>43971</v>
          </cell>
          <cell r="Q999">
            <v>43976</v>
          </cell>
        </row>
        <row r="1000">
          <cell r="M1000">
            <v>43971</v>
          </cell>
          <cell r="N1000">
            <v>43972</v>
          </cell>
          <cell r="Q1000">
            <v>43977</v>
          </cell>
        </row>
        <row r="1001">
          <cell r="M1001">
            <v>43972</v>
          </cell>
          <cell r="N1001">
            <v>43973</v>
          </cell>
          <cell r="Q1001">
            <v>43978</v>
          </cell>
        </row>
        <row r="1002">
          <cell r="M1002">
            <v>43973</v>
          </cell>
          <cell r="N1002">
            <v>43976</v>
          </cell>
          <cell r="Q1002">
            <v>43979</v>
          </cell>
        </row>
        <row r="1003">
          <cell r="M1003">
            <v>43976</v>
          </cell>
          <cell r="N1003">
            <v>43977</v>
          </cell>
          <cell r="Q1003">
            <v>43980</v>
          </cell>
        </row>
        <row r="1004">
          <cell r="M1004">
            <v>43977</v>
          </cell>
          <cell r="N1004">
            <v>43978</v>
          </cell>
          <cell r="Q1004">
            <v>43983</v>
          </cell>
        </row>
        <row r="1005">
          <cell r="M1005">
            <v>43978</v>
          </cell>
          <cell r="N1005">
            <v>43979</v>
          </cell>
          <cell r="Q1005">
            <v>43984</v>
          </cell>
        </row>
        <row r="1006">
          <cell r="M1006">
            <v>43979</v>
          </cell>
          <cell r="N1006">
            <v>43980</v>
          </cell>
          <cell r="Q1006">
            <v>43985</v>
          </cell>
        </row>
        <row r="1007">
          <cell r="M1007">
            <v>43980</v>
          </cell>
          <cell r="N1007">
            <v>43983</v>
          </cell>
          <cell r="Q1007">
            <v>43986</v>
          </cell>
        </row>
        <row r="1008">
          <cell r="M1008">
            <v>43983</v>
          </cell>
          <cell r="N1008">
            <v>43984</v>
          </cell>
          <cell r="Q1008">
            <v>43987</v>
          </cell>
        </row>
        <row r="1009">
          <cell r="M1009">
            <v>43984</v>
          </cell>
          <cell r="N1009">
            <v>43985</v>
          </cell>
          <cell r="Q1009">
            <v>43990</v>
          </cell>
        </row>
        <row r="1010">
          <cell r="M1010">
            <v>43985</v>
          </cell>
          <cell r="N1010">
            <v>43986</v>
          </cell>
          <cell r="Q1010">
            <v>43991</v>
          </cell>
        </row>
        <row r="1011">
          <cell r="M1011">
            <v>43986</v>
          </cell>
          <cell r="N1011">
            <v>43987</v>
          </cell>
          <cell r="Q1011">
            <v>43992</v>
          </cell>
        </row>
        <row r="1012">
          <cell r="M1012">
            <v>43987</v>
          </cell>
          <cell r="N1012">
            <v>43990</v>
          </cell>
          <cell r="Q1012">
            <v>43993</v>
          </cell>
        </row>
        <row r="1013">
          <cell r="M1013">
            <v>43990</v>
          </cell>
          <cell r="N1013">
            <v>43991</v>
          </cell>
          <cell r="Q1013">
            <v>43994</v>
          </cell>
        </row>
        <row r="1014">
          <cell r="M1014">
            <v>43991</v>
          </cell>
          <cell r="N1014">
            <v>43992</v>
          </cell>
          <cell r="Q1014">
            <v>43997</v>
          </cell>
        </row>
        <row r="1015">
          <cell r="M1015">
            <v>43992</v>
          </cell>
          <cell r="N1015">
            <v>43993</v>
          </cell>
          <cell r="Q1015">
            <v>43998</v>
          </cell>
        </row>
        <row r="1016">
          <cell r="M1016">
            <v>43993</v>
          </cell>
          <cell r="N1016">
            <v>43994</v>
          </cell>
          <cell r="Q1016">
            <v>43999</v>
          </cell>
        </row>
        <row r="1017">
          <cell r="M1017">
            <v>43994</v>
          </cell>
          <cell r="N1017">
            <v>43997</v>
          </cell>
          <cell r="Q1017">
            <v>44000</v>
          </cell>
        </row>
        <row r="1018">
          <cell r="M1018">
            <v>43997</v>
          </cell>
          <cell r="N1018">
            <v>43998</v>
          </cell>
          <cell r="Q1018">
            <v>44001</v>
          </cell>
        </row>
        <row r="1019">
          <cell r="M1019">
            <v>43998</v>
          </cell>
          <cell r="N1019">
            <v>43999</v>
          </cell>
          <cell r="Q1019">
            <v>44004</v>
          </cell>
        </row>
        <row r="1020">
          <cell r="M1020">
            <v>43999</v>
          </cell>
          <cell r="N1020">
            <v>44000</v>
          </cell>
          <cell r="Q1020">
            <v>44005</v>
          </cell>
        </row>
        <row r="1021">
          <cell r="M1021">
            <v>44000</v>
          </cell>
          <cell r="N1021">
            <v>44001</v>
          </cell>
          <cell r="Q1021">
            <v>44006</v>
          </cell>
        </row>
        <row r="1022">
          <cell r="M1022">
            <v>44001</v>
          </cell>
          <cell r="N1022">
            <v>44004</v>
          </cell>
          <cell r="Q1022">
            <v>44007</v>
          </cell>
        </row>
        <row r="1023">
          <cell r="M1023">
            <v>44004</v>
          </cell>
          <cell r="N1023">
            <v>44005</v>
          </cell>
          <cell r="Q1023">
            <v>44008</v>
          </cell>
        </row>
        <row r="1024">
          <cell r="M1024">
            <v>44005</v>
          </cell>
          <cell r="N1024">
            <v>44006</v>
          </cell>
          <cell r="Q1024">
            <v>44011</v>
          </cell>
        </row>
        <row r="1025">
          <cell r="M1025">
            <v>44006</v>
          </cell>
          <cell r="N1025">
            <v>44007</v>
          </cell>
          <cell r="Q1025">
            <v>44012</v>
          </cell>
        </row>
        <row r="1026">
          <cell r="M1026">
            <v>44007</v>
          </cell>
          <cell r="N1026">
            <v>44008</v>
          </cell>
          <cell r="Q1026">
            <v>44013</v>
          </cell>
        </row>
        <row r="1027">
          <cell r="M1027">
            <v>44008</v>
          </cell>
          <cell r="N1027">
            <v>44011</v>
          </cell>
          <cell r="Q1027">
            <v>44014</v>
          </cell>
        </row>
        <row r="1028">
          <cell r="M1028">
            <v>44011</v>
          </cell>
          <cell r="N1028">
            <v>44012</v>
          </cell>
          <cell r="Q1028">
            <v>44015</v>
          </cell>
        </row>
        <row r="1029">
          <cell r="M1029">
            <v>44012</v>
          </cell>
          <cell r="N1029">
            <v>44013</v>
          </cell>
          <cell r="Q1029">
            <v>44018</v>
          </cell>
        </row>
        <row r="1030">
          <cell r="M1030">
            <v>44013</v>
          </cell>
          <cell r="N1030">
            <v>44014</v>
          </cell>
          <cell r="Q1030">
            <v>44019</v>
          </cell>
        </row>
        <row r="1031">
          <cell r="M1031">
            <v>44014</v>
          </cell>
          <cell r="N1031">
            <v>44015</v>
          </cell>
          <cell r="Q1031">
            <v>44020</v>
          </cell>
        </row>
        <row r="1032">
          <cell r="M1032">
            <v>44015</v>
          </cell>
          <cell r="N1032">
            <v>44018</v>
          </cell>
          <cell r="Q1032">
            <v>44021</v>
          </cell>
        </row>
        <row r="1033">
          <cell r="M1033">
            <v>44018</v>
          </cell>
          <cell r="N1033">
            <v>44019</v>
          </cell>
          <cell r="Q1033">
            <v>44022</v>
          </cell>
        </row>
        <row r="1034">
          <cell r="M1034">
            <v>44019</v>
          </cell>
          <cell r="N1034">
            <v>44020</v>
          </cell>
          <cell r="Q1034">
            <v>44025</v>
          </cell>
        </row>
        <row r="1035">
          <cell r="M1035">
            <v>44020</v>
          </cell>
          <cell r="N1035">
            <v>44021</v>
          </cell>
          <cell r="Q1035">
            <v>44026</v>
          </cell>
        </row>
        <row r="1036">
          <cell r="M1036">
            <v>44021</v>
          </cell>
          <cell r="N1036">
            <v>44022</v>
          </cell>
          <cell r="Q1036">
            <v>44027</v>
          </cell>
        </row>
        <row r="1037">
          <cell r="M1037">
            <v>44022</v>
          </cell>
          <cell r="N1037">
            <v>44025</v>
          </cell>
          <cell r="Q1037">
            <v>44028</v>
          </cell>
        </row>
        <row r="1038">
          <cell r="M1038">
            <v>44025</v>
          </cell>
          <cell r="N1038">
            <v>44026</v>
          </cell>
          <cell r="Q1038">
            <v>44029</v>
          </cell>
        </row>
        <row r="1039">
          <cell r="M1039">
            <v>44026</v>
          </cell>
          <cell r="N1039">
            <v>44027</v>
          </cell>
          <cell r="Q1039">
            <v>44032</v>
          </cell>
        </row>
        <row r="1040">
          <cell r="M1040">
            <v>44027</v>
          </cell>
          <cell r="N1040">
            <v>44028</v>
          </cell>
          <cell r="Q1040">
            <v>44033</v>
          </cell>
        </row>
        <row r="1041">
          <cell r="M1041">
            <v>44028</v>
          </cell>
          <cell r="N1041">
            <v>44029</v>
          </cell>
          <cell r="Q1041">
            <v>44034</v>
          </cell>
        </row>
        <row r="1042">
          <cell r="M1042">
            <v>44029</v>
          </cell>
          <cell r="N1042">
            <v>44032</v>
          </cell>
          <cell r="Q1042">
            <v>44039</v>
          </cell>
        </row>
        <row r="1043">
          <cell r="M1043">
            <v>44032</v>
          </cell>
          <cell r="N1043">
            <v>44033</v>
          </cell>
          <cell r="Q1043">
            <v>44040</v>
          </cell>
        </row>
        <row r="1044">
          <cell r="M1044">
            <v>44033</v>
          </cell>
          <cell r="N1044">
            <v>44034</v>
          </cell>
          <cell r="Q1044">
            <v>44041</v>
          </cell>
        </row>
        <row r="1045">
          <cell r="M1045">
            <v>44034</v>
          </cell>
          <cell r="N1045">
            <v>44039</v>
          </cell>
          <cell r="Q1045">
            <v>44042</v>
          </cell>
        </row>
        <row r="1046">
          <cell r="M1046">
            <v>44039</v>
          </cell>
          <cell r="N1046">
            <v>44040</v>
          </cell>
          <cell r="Q1046">
            <v>44043</v>
          </cell>
        </row>
        <row r="1047">
          <cell r="M1047">
            <v>44040</v>
          </cell>
          <cell r="N1047">
            <v>44041</v>
          </cell>
          <cell r="Q1047">
            <v>44046</v>
          </cell>
        </row>
        <row r="1048">
          <cell r="M1048">
            <v>44041</v>
          </cell>
          <cell r="N1048">
            <v>44042</v>
          </cell>
          <cell r="Q1048">
            <v>44047</v>
          </cell>
        </row>
        <row r="1049">
          <cell r="M1049">
            <v>44042</v>
          </cell>
          <cell r="N1049">
            <v>44043</v>
          </cell>
          <cell r="Q1049">
            <v>44048</v>
          </cell>
        </row>
        <row r="1050">
          <cell r="M1050">
            <v>44043</v>
          </cell>
          <cell r="N1050">
            <v>44046</v>
          </cell>
          <cell r="Q1050">
            <v>44049</v>
          </cell>
        </row>
        <row r="1051">
          <cell r="M1051">
            <v>44046</v>
          </cell>
          <cell r="N1051">
            <v>44047</v>
          </cell>
          <cell r="Q1051">
            <v>44050</v>
          </cell>
        </row>
        <row r="1052">
          <cell r="M1052">
            <v>44047</v>
          </cell>
          <cell r="N1052">
            <v>44048</v>
          </cell>
          <cell r="Q1052">
            <v>44060</v>
          </cell>
        </row>
        <row r="1053">
          <cell r="M1053">
            <v>44048</v>
          </cell>
          <cell r="N1053">
            <v>44049</v>
          </cell>
          <cell r="Q1053">
            <v>44061</v>
          </cell>
        </row>
        <row r="1054">
          <cell r="M1054">
            <v>44049</v>
          </cell>
          <cell r="N1054">
            <v>44050</v>
          </cell>
          <cell r="Q1054">
            <v>44062</v>
          </cell>
        </row>
        <row r="1055">
          <cell r="M1055">
            <v>44050</v>
          </cell>
          <cell r="N1055">
            <v>44060</v>
          </cell>
          <cell r="Q1055">
            <v>44063</v>
          </cell>
        </row>
        <row r="1056">
          <cell r="M1056">
            <v>44060</v>
          </cell>
          <cell r="N1056">
            <v>44061</v>
          </cell>
          <cell r="Q1056">
            <v>44064</v>
          </cell>
        </row>
        <row r="1057">
          <cell r="M1057">
            <v>44061</v>
          </cell>
          <cell r="N1057">
            <v>44062</v>
          </cell>
          <cell r="Q1057">
            <v>44067</v>
          </cell>
        </row>
        <row r="1058">
          <cell r="M1058">
            <v>44062</v>
          </cell>
          <cell r="N1058">
            <v>44063</v>
          </cell>
          <cell r="Q1058">
            <v>44068</v>
          </cell>
        </row>
        <row r="1059">
          <cell r="M1059">
            <v>44063</v>
          </cell>
          <cell r="N1059">
            <v>44064</v>
          </cell>
          <cell r="Q1059">
            <v>44069</v>
          </cell>
        </row>
        <row r="1060">
          <cell r="M1060">
            <v>44064</v>
          </cell>
          <cell r="N1060">
            <v>44067</v>
          </cell>
          <cell r="Q1060">
            <v>44070</v>
          </cell>
        </row>
        <row r="1061">
          <cell r="M1061">
            <v>44067</v>
          </cell>
          <cell r="N1061">
            <v>44068</v>
          </cell>
          <cell r="Q1061">
            <v>44071</v>
          </cell>
        </row>
        <row r="1062">
          <cell r="M1062">
            <v>44068</v>
          </cell>
          <cell r="N1062">
            <v>44069</v>
          </cell>
          <cell r="Q1062">
            <v>44074</v>
          </cell>
        </row>
        <row r="1063">
          <cell r="M1063">
            <v>44069</v>
          </cell>
          <cell r="N1063">
            <v>44070</v>
          </cell>
          <cell r="Q1063">
            <v>44075</v>
          </cell>
        </row>
        <row r="1064">
          <cell r="M1064">
            <v>44070</v>
          </cell>
          <cell r="N1064">
            <v>44071</v>
          </cell>
          <cell r="Q1064">
            <v>44076</v>
          </cell>
        </row>
        <row r="1065">
          <cell r="M1065">
            <v>44071</v>
          </cell>
          <cell r="N1065">
            <v>44074</v>
          </cell>
          <cell r="Q1065">
            <v>44077</v>
          </cell>
        </row>
        <row r="1066">
          <cell r="M1066">
            <v>44074</v>
          </cell>
          <cell r="N1066">
            <v>44075</v>
          </cell>
          <cell r="Q1066">
            <v>44078</v>
          </cell>
        </row>
        <row r="1067">
          <cell r="M1067">
            <v>44075</v>
          </cell>
          <cell r="N1067">
            <v>44076</v>
          </cell>
          <cell r="Q1067">
            <v>44081</v>
          </cell>
        </row>
        <row r="1068">
          <cell r="M1068">
            <v>44076</v>
          </cell>
          <cell r="N1068">
            <v>44077</v>
          </cell>
          <cell r="Q1068">
            <v>44082</v>
          </cell>
        </row>
        <row r="1069">
          <cell r="M1069">
            <v>44077</v>
          </cell>
          <cell r="N1069">
            <v>44078</v>
          </cell>
          <cell r="Q1069">
            <v>44083</v>
          </cell>
        </row>
        <row r="1070">
          <cell r="M1070">
            <v>44078</v>
          </cell>
          <cell r="N1070">
            <v>44081</v>
          </cell>
          <cell r="Q1070">
            <v>44084</v>
          </cell>
        </row>
        <row r="1071">
          <cell r="M1071">
            <v>44081</v>
          </cell>
          <cell r="N1071">
            <v>44082</v>
          </cell>
          <cell r="Q1071">
            <v>44085</v>
          </cell>
        </row>
        <row r="1072">
          <cell r="M1072">
            <v>44082</v>
          </cell>
          <cell r="N1072">
            <v>44083</v>
          </cell>
          <cell r="Q1072">
            <v>44088</v>
          </cell>
        </row>
        <row r="1073">
          <cell r="M1073">
            <v>44083</v>
          </cell>
          <cell r="N1073">
            <v>44084</v>
          </cell>
          <cell r="Q1073">
            <v>44089</v>
          </cell>
        </row>
        <row r="1074">
          <cell r="M1074">
            <v>44084</v>
          </cell>
          <cell r="N1074">
            <v>44085</v>
          </cell>
          <cell r="Q1074">
            <v>44090</v>
          </cell>
        </row>
        <row r="1075">
          <cell r="M1075">
            <v>44085</v>
          </cell>
          <cell r="N1075">
            <v>44088</v>
          </cell>
          <cell r="Q1075">
            <v>44091</v>
          </cell>
        </row>
        <row r="1076">
          <cell r="M1076">
            <v>44088</v>
          </cell>
          <cell r="N1076">
            <v>44089</v>
          </cell>
          <cell r="Q1076">
            <v>44092</v>
          </cell>
        </row>
        <row r="1077">
          <cell r="M1077">
            <v>44089</v>
          </cell>
          <cell r="N1077">
            <v>44090</v>
          </cell>
          <cell r="Q1077">
            <v>44097</v>
          </cell>
        </row>
        <row r="1078">
          <cell r="M1078">
            <v>44090</v>
          </cell>
          <cell r="N1078">
            <v>44091</v>
          </cell>
          <cell r="Q1078">
            <v>44098</v>
          </cell>
        </row>
        <row r="1079">
          <cell r="M1079">
            <v>44091</v>
          </cell>
          <cell r="N1079">
            <v>44092</v>
          </cell>
          <cell r="Q1079">
            <v>44099</v>
          </cell>
        </row>
        <row r="1080">
          <cell r="M1080">
            <v>44092</v>
          </cell>
          <cell r="N1080">
            <v>44097</v>
          </cell>
          <cell r="Q1080">
            <v>44100</v>
          </cell>
        </row>
        <row r="1081">
          <cell r="M1081">
            <v>44097</v>
          </cell>
          <cell r="N1081">
            <v>44098</v>
          </cell>
          <cell r="Q1081">
            <v>44102</v>
          </cell>
        </row>
        <row r="1082">
          <cell r="M1082">
            <v>44098</v>
          </cell>
          <cell r="N1082">
            <v>44099</v>
          </cell>
          <cell r="Q1082">
            <v>44103</v>
          </cell>
        </row>
        <row r="1083">
          <cell r="M1083">
            <v>44099</v>
          </cell>
          <cell r="N1083">
            <v>44100</v>
          </cell>
          <cell r="Q1083">
            <v>44104</v>
          </cell>
        </row>
        <row r="1084">
          <cell r="M1084">
            <v>44100</v>
          </cell>
          <cell r="N1084">
            <v>44102</v>
          </cell>
          <cell r="Q1084">
            <v>44105</v>
          </cell>
        </row>
        <row r="1085">
          <cell r="M1085">
            <v>44102</v>
          </cell>
          <cell r="N1085">
            <v>44103</v>
          </cell>
          <cell r="Q1085">
            <v>44106</v>
          </cell>
        </row>
        <row r="1086">
          <cell r="M1086">
            <v>44103</v>
          </cell>
          <cell r="N1086">
            <v>44104</v>
          </cell>
          <cell r="Q1086">
            <v>44109</v>
          </cell>
        </row>
        <row r="1087">
          <cell r="M1087">
            <v>44104</v>
          </cell>
          <cell r="N1087">
            <v>44105</v>
          </cell>
          <cell r="Q1087">
            <v>44110</v>
          </cell>
        </row>
        <row r="1088">
          <cell r="M1088">
            <v>44105</v>
          </cell>
          <cell r="N1088">
            <v>44106</v>
          </cell>
          <cell r="Q1088">
            <v>44111</v>
          </cell>
        </row>
        <row r="1089">
          <cell r="M1089">
            <v>44106</v>
          </cell>
          <cell r="N1089">
            <v>44109</v>
          </cell>
          <cell r="Q1089">
            <v>44112</v>
          </cell>
        </row>
        <row r="1090">
          <cell r="M1090">
            <v>44109</v>
          </cell>
          <cell r="N1090">
            <v>44110</v>
          </cell>
          <cell r="Q1090">
            <v>44113</v>
          </cell>
        </row>
        <row r="1091">
          <cell r="M1091">
            <v>44110</v>
          </cell>
          <cell r="N1091">
            <v>44111</v>
          </cell>
          <cell r="Q1091">
            <v>44116</v>
          </cell>
        </row>
        <row r="1092">
          <cell r="M1092">
            <v>44111</v>
          </cell>
          <cell r="N1092">
            <v>44112</v>
          </cell>
          <cell r="Q1092">
            <v>44117</v>
          </cell>
        </row>
        <row r="1093">
          <cell r="M1093">
            <v>44112</v>
          </cell>
          <cell r="N1093">
            <v>44113</v>
          </cell>
          <cell r="Q1093">
            <v>44118</v>
          </cell>
        </row>
        <row r="1094">
          <cell r="M1094">
            <v>44113</v>
          </cell>
          <cell r="N1094">
            <v>44116</v>
          </cell>
          <cell r="Q1094">
            <v>44119</v>
          </cell>
        </row>
        <row r="1095">
          <cell r="M1095">
            <v>44116</v>
          </cell>
          <cell r="N1095">
            <v>44117</v>
          </cell>
          <cell r="Q1095">
            <v>44120</v>
          </cell>
        </row>
        <row r="1096">
          <cell r="M1096">
            <v>44117</v>
          </cell>
          <cell r="N1096">
            <v>44118</v>
          </cell>
          <cell r="Q1096">
            <v>44123</v>
          </cell>
        </row>
        <row r="1097">
          <cell r="M1097">
            <v>44118</v>
          </cell>
          <cell r="N1097">
            <v>44119</v>
          </cell>
          <cell r="Q1097">
            <v>44124</v>
          </cell>
        </row>
        <row r="1098">
          <cell r="M1098">
            <v>44119</v>
          </cell>
          <cell r="N1098">
            <v>44120</v>
          </cell>
          <cell r="Q1098">
            <v>44125</v>
          </cell>
        </row>
        <row r="1099">
          <cell r="M1099">
            <v>44120</v>
          </cell>
          <cell r="N1099">
            <v>44123</v>
          </cell>
          <cell r="Q1099">
            <v>44126</v>
          </cell>
        </row>
        <row r="1100">
          <cell r="M1100">
            <v>44123</v>
          </cell>
          <cell r="N1100">
            <v>44124</v>
          </cell>
          <cell r="Q1100">
            <v>44127</v>
          </cell>
        </row>
        <row r="1101">
          <cell r="M1101">
            <v>44124</v>
          </cell>
          <cell r="N1101">
            <v>44125</v>
          </cell>
          <cell r="Q1101">
            <v>44130</v>
          </cell>
        </row>
        <row r="1102">
          <cell r="M1102">
            <v>44125</v>
          </cell>
          <cell r="N1102">
            <v>44126</v>
          </cell>
          <cell r="Q1102">
            <v>44131</v>
          </cell>
        </row>
        <row r="1103">
          <cell r="M1103">
            <v>44126</v>
          </cell>
          <cell r="N1103">
            <v>44127</v>
          </cell>
          <cell r="Q1103">
            <v>44132</v>
          </cell>
        </row>
        <row r="1104">
          <cell r="M1104">
            <v>44127</v>
          </cell>
          <cell r="N1104">
            <v>44130</v>
          </cell>
          <cell r="Q1104">
            <v>44133</v>
          </cell>
        </row>
        <row r="1105">
          <cell r="M1105">
            <v>44130</v>
          </cell>
          <cell r="N1105">
            <v>44131</v>
          </cell>
          <cell r="Q1105">
            <v>44134</v>
          </cell>
        </row>
        <row r="1106">
          <cell r="M1106">
            <v>44131</v>
          </cell>
          <cell r="N1106">
            <v>44132</v>
          </cell>
          <cell r="Q1106">
            <v>44137</v>
          </cell>
        </row>
        <row r="1107">
          <cell r="M1107">
            <v>44132</v>
          </cell>
          <cell r="N1107">
            <v>44133</v>
          </cell>
          <cell r="Q1107">
            <v>44139</v>
          </cell>
        </row>
        <row r="1108">
          <cell r="M1108">
            <v>44133</v>
          </cell>
          <cell r="N1108">
            <v>44134</v>
          </cell>
          <cell r="Q1108">
            <v>44140</v>
          </cell>
        </row>
        <row r="1109">
          <cell r="M1109">
            <v>44134</v>
          </cell>
          <cell r="N1109">
            <v>44137</v>
          </cell>
          <cell r="Q1109">
            <v>44141</v>
          </cell>
        </row>
        <row r="1110">
          <cell r="M1110">
            <v>44137</v>
          </cell>
          <cell r="N1110">
            <v>44139</v>
          </cell>
          <cell r="Q1110">
            <v>44142</v>
          </cell>
        </row>
        <row r="1111">
          <cell r="M1111">
            <v>44139</v>
          </cell>
          <cell r="N1111">
            <v>44140</v>
          </cell>
          <cell r="Q1111">
            <v>44144</v>
          </cell>
        </row>
        <row r="1112">
          <cell r="M1112">
            <v>44140</v>
          </cell>
          <cell r="N1112">
            <v>44141</v>
          </cell>
          <cell r="Q1112">
            <v>44145</v>
          </cell>
        </row>
        <row r="1113">
          <cell r="M1113">
            <v>44141</v>
          </cell>
          <cell r="N1113">
            <v>44142</v>
          </cell>
          <cell r="Q1113">
            <v>44146</v>
          </cell>
        </row>
        <row r="1114">
          <cell r="M1114">
            <v>44142</v>
          </cell>
          <cell r="N1114">
            <v>44144</v>
          </cell>
          <cell r="Q1114">
            <v>44147</v>
          </cell>
        </row>
        <row r="1115">
          <cell r="M1115">
            <v>44144</v>
          </cell>
          <cell r="N1115">
            <v>44145</v>
          </cell>
          <cell r="Q1115">
            <v>44148</v>
          </cell>
        </row>
        <row r="1116">
          <cell r="M1116">
            <v>44145</v>
          </cell>
          <cell r="N1116">
            <v>44146</v>
          </cell>
          <cell r="Q1116">
            <v>44151</v>
          </cell>
        </row>
        <row r="1117">
          <cell r="M1117">
            <v>44146</v>
          </cell>
          <cell r="N1117">
            <v>44147</v>
          </cell>
          <cell r="Q1117">
            <v>44152</v>
          </cell>
        </row>
        <row r="1118">
          <cell r="M1118">
            <v>44147</v>
          </cell>
          <cell r="N1118">
            <v>44148</v>
          </cell>
          <cell r="Q1118">
            <v>44153</v>
          </cell>
        </row>
        <row r="1119">
          <cell r="M1119">
            <v>44148</v>
          </cell>
          <cell r="N1119">
            <v>44151</v>
          </cell>
          <cell r="Q1119">
            <v>44154</v>
          </cell>
        </row>
        <row r="1120">
          <cell r="M1120">
            <v>44151</v>
          </cell>
          <cell r="N1120">
            <v>44152</v>
          </cell>
          <cell r="Q1120">
            <v>44155</v>
          </cell>
        </row>
        <row r="1121">
          <cell r="M1121">
            <v>44152</v>
          </cell>
          <cell r="N1121">
            <v>44153</v>
          </cell>
          <cell r="Q1121">
            <v>44159</v>
          </cell>
        </row>
        <row r="1122">
          <cell r="M1122">
            <v>44153</v>
          </cell>
          <cell r="N1122">
            <v>44154</v>
          </cell>
          <cell r="Q1122">
            <v>44160</v>
          </cell>
        </row>
        <row r="1123">
          <cell r="M1123">
            <v>44154</v>
          </cell>
          <cell r="N1123">
            <v>44155</v>
          </cell>
          <cell r="Q1123">
            <v>44161</v>
          </cell>
        </row>
        <row r="1124">
          <cell r="M1124">
            <v>44155</v>
          </cell>
          <cell r="N1124">
            <v>44159</v>
          </cell>
          <cell r="Q1124">
            <v>44162</v>
          </cell>
        </row>
        <row r="1125">
          <cell r="M1125">
            <v>44159</v>
          </cell>
          <cell r="N1125">
            <v>44160</v>
          </cell>
          <cell r="Q1125">
            <v>44163</v>
          </cell>
        </row>
        <row r="1126">
          <cell r="M1126">
            <v>44160</v>
          </cell>
          <cell r="N1126">
            <v>44161</v>
          </cell>
          <cell r="Q1126">
            <v>44165</v>
          </cell>
        </row>
        <row r="1127">
          <cell r="M1127">
            <v>44161</v>
          </cell>
          <cell r="N1127">
            <v>44162</v>
          </cell>
          <cell r="Q1127">
            <v>44166</v>
          </cell>
        </row>
        <row r="1128">
          <cell r="M1128">
            <v>44162</v>
          </cell>
          <cell r="N1128">
            <v>44163</v>
          </cell>
          <cell r="Q1128">
            <v>44167</v>
          </cell>
        </row>
        <row r="1129">
          <cell r="M1129">
            <v>44163</v>
          </cell>
          <cell r="N1129">
            <v>44165</v>
          </cell>
          <cell r="Q1129">
            <v>44168</v>
          </cell>
        </row>
        <row r="1130">
          <cell r="M1130">
            <v>44165</v>
          </cell>
          <cell r="N1130">
            <v>44166</v>
          </cell>
          <cell r="Q1130">
            <v>44169</v>
          </cell>
        </row>
        <row r="1131">
          <cell r="M1131">
            <v>44166</v>
          </cell>
          <cell r="N1131">
            <v>44167</v>
          </cell>
          <cell r="Q1131">
            <v>44172</v>
          </cell>
        </row>
        <row r="1132">
          <cell r="M1132">
            <v>44167</v>
          </cell>
          <cell r="N1132">
            <v>44168</v>
          </cell>
          <cell r="Q1132">
            <v>44173</v>
          </cell>
        </row>
        <row r="1133">
          <cell r="M1133">
            <v>44168</v>
          </cell>
          <cell r="N1133">
            <v>44169</v>
          </cell>
          <cell r="Q1133">
            <v>44174</v>
          </cell>
        </row>
        <row r="1134">
          <cell r="M1134">
            <v>44169</v>
          </cell>
          <cell r="N1134">
            <v>44172</v>
          </cell>
          <cell r="Q1134">
            <v>44175</v>
          </cell>
        </row>
        <row r="1135">
          <cell r="M1135">
            <v>44172</v>
          </cell>
          <cell r="N1135">
            <v>44173</v>
          </cell>
          <cell r="Q1135">
            <v>44176</v>
          </cell>
        </row>
        <row r="1136">
          <cell r="M1136">
            <v>44173</v>
          </cell>
          <cell r="N1136">
            <v>44174</v>
          </cell>
          <cell r="Q1136">
            <v>44179</v>
          </cell>
        </row>
        <row r="1137">
          <cell r="M1137">
            <v>44174</v>
          </cell>
          <cell r="N1137">
            <v>44175</v>
          </cell>
          <cell r="Q1137">
            <v>44180</v>
          </cell>
        </row>
        <row r="1138">
          <cell r="M1138">
            <v>44175</v>
          </cell>
          <cell r="N1138">
            <v>44176</v>
          </cell>
          <cell r="Q1138">
            <v>44181</v>
          </cell>
        </row>
        <row r="1139">
          <cell r="M1139">
            <v>44176</v>
          </cell>
          <cell r="N1139">
            <v>44179</v>
          </cell>
          <cell r="Q1139">
            <v>44182</v>
          </cell>
        </row>
        <row r="1140">
          <cell r="M1140">
            <v>44179</v>
          </cell>
          <cell r="N1140">
            <v>44180</v>
          </cell>
          <cell r="Q1140">
            <v>44183</v>
          </cell>
        </row>
        <row r="1141">
          <cell r="M1141">
            <v>44180</v>
          </cell>
          <cell r="N1141">
            <v>44181</v>
          </cell>
          <cell r="Q1141">
            <v>44186</v>
          </cell>
        </row>
        <row r="1142">
          <cell r="M1142">
            <v>44181</v>
          </cell>
          <cell r="N1142">
            <v>44182</v>
          </cell>
          <cell r="Q1142">
            <v>44187</v>
          </cell>
        </row>
        <row r="1143">
          <cell r="M1143">
            <v>44182</v>
          </cell>
          <cell r="N1143">
            <v>44183</v>
          </cell>
          <cell r="Q1143">
            <v>44188</v>
          </cell>
        </row>
        <row r="1144">
          <cell r="M1144">
            <v>44183</v>
          </cell>
          <cell r="N1144">
            <v>44186</v>
          </cell>
          <cell r="Q1144">
            <v>44189</v>
          </cell>
        </row>
        <row r="1145">
          <cell r="M1145">
            <v>44186</v>
          </cell>
          <cell r="N1145">
            <v>44187</v>
          </cell>
          <cell r="Q1145">
            <v>44190</v>
          </cell>
        </row>
        <row r="1146">
          <cell r="M1146">
            <v>44187</v>
          </cell>
          <cell r="N1146">
            <v>44188</v>
          </cell>
          <cell r="Q1146">
            <v>44193</v>
          </cell>
        </row>
        <row r="1147">
          <cell r="M1147">
            <v>44188</v>
          </cell>
          <cell r="N1147">
            <v>44189</v>
          </cell>
          <cell r="Q1147">
            <v>44201</v>
          </cell>
        </row>
        <row r="1148">
          <cell r="M1148">
            <v>44189</v>
          </cell>
          <cell r="N1148">
            <v>44190</v>
          </cell>
          <cell r="Q1148">
            <v>44202</v>
          </cell>
        </row>
        <row r="1149">
          <cell r="M1149">
            <v>44190</v>
          </cell>
          <cell r="N1149">
            <v>44193</v>
          </cell>
          <cell r="Q1149">
            <v>44203</v>
          </cell>
        </row>
        <row r="1150">
          <cell r="M1150">
            <v>44193</v>
          </cell>
          <cell r="N1150">
            <v>44201</v>
          </cell>
          <cell r="Q1150">
            <v>44204</v>
          </cell>
        </row>
        <row r="1151">
          <cell r="M1151">
            <v>44201</v>
          </cell>
          <cell r="N1151">
            <v>44202</v>
          </cell>
          <cell r="Q1151">
            <v>44205</v>
          </cell>
        </row>
        <row r="1152">
          <cell r="M1152">
            <v>44202</v>
          </cell>
          <cell r="N1152">
            <v>44203</v>
          </cell>
          <cell r="Q1152">
            <v>44208</v>
          </cell>
        </row>
        <row r="1153">
          <cell r="M1153">
            <v>44203</v>
          </cell>
          <cell r="N1153">
            <v>44204</v>
          </cell>
          <cell r="Q1153">
            <v>44209</v>
          </cell>
        </row>
        <row r="1154">
          <cell r="M1154">
            <v>44204</v>
          </cell>
          <cell r="N1154">
            <v>44205</v>
          </cell>
          <cell r="Q1154">
            <v>44210</v>
          </cell>
        </row>
        <row r="1155">
          <cell r="M1155">
            <v>44205</v>
          </cell>
          <cell r="N1155">
            <v>44208</v>
          </cell>
          <cell r="Q1155">
            <v>44211</v>
          </cell>
        </row>
        <row r="1156">
          <cell r="M1156">
            <v>44208</v>
          </cell>
          <cell r="N1156">
            <v>44209</v>
          </cell>
          <cell r="Q1156">
            <v>44212</v>
          </cell>
        </row>
        <row r="1157">
          <cell r="M1157">
            <v>44209</v>
          </cell>
          <cell r="N1157">
            <v>44210</v>
          </cell>
          <cell r="Q1157">
            <v>44214</v>
          </cell>
        </row>
        <row r="1158">
          <cell r="M1158">
            <v>44210</v>
          </cell>
          <cell r="N1158">
            <v>44211</v>
          </cell>
          <cell r="Q1158">
            <v>44215</v>
          </cell>
        </row>
        <row r="1159">
          <cell r="M1159">
            <v>44211</v>
          </cell>
          <cell r="N1159">
            <v>44212</v>
          </cell>
          <cell r="Q1159">
            <v>44216</v>
          </cell>
        </row>
        <row r="1160">
          <cell r="M1160">
            <v>44212</v>
          </cell>
          <cell r="N1160">
            <v>44214</v>
          </cell>
          <cell r="Q1160">
            <v>44217</v>
          </cell>
        </row>
        <row r="1161">
          <cell r="M1161">
            <v>44214</v>
          </cell>
          <cell r="N1161">
            <v>44215</v>
          </cell>
          <cell r="Q1161">
            <v>44218</v>
          </cell>
        </row>
        <row r="1162">
          <cell r="M1162">
            <v>44215</v>
          </cell>
          <cell r="N1162">
            <v>44216</v>
          </cell>
          <cell r="Q1162">
            <v>44221</v>
          </cell>
        </row>
        <row r="1163">
          <cell r="M1163">
            <v>44216</v>
          </cell>
          <cell r="N1163">
            <v>44217</v>
          </cell>
          <cell r="Q1163">
            <v>44222</v>
          </cell>
        </row>
        <row r="1164">
          <cell r="M1164">
            <v>44217</v>
          </cell>
          <cell r="N1164">
            <v>44218</v>
          </cell>
          <cell r="Q1164">
            <v>44223</v>
          </cell>
        </row>
        <row r="1165">
          <cell r="M1165">
            <v>44218</v>
          </cell>
          <cell r="N1165">
            <v>44221</v>
          </cell>
          <cell r="Q1165">
            <v>44224</v>
          </cell>
        </row>
        <row r="1166">
          <cell r="M1166">
            <v>44221</v>
          </cell>
          <cell r="N1166">
            <v>44222</v>
          </cell>
          <cell r="Q1166">
            <v>44225</v>
          </cell>
        </row>
        <row r="1167">
          <cell r="M1167">
            <v>44222</v>
          </cell>
          <cell r="N1167">
            <v>44223</v>
          </cell>
          <cell r="Q1167">
            <v>44228</v>
          </cell>
        </row>
        <row r="1168">
          <cell r="M1168">
            <v>44223</v>
          </cell>
          <cell r="N1168">
            <v>44224</v>
          </cell>
          <cell r="Q1168">
            <v>44229</v>
          </cell>
        </row>
        <row r="1169">
          <cell r="M1169">
            <v>44224</v>
          </cell>
          <cell r="N1169">
            <v>44225</v>
          </cell>
          <cell r="Q1169">
            <v>44230</v>
          </cell>
        </row>
        <row r="1170">
          <cell r="M1170">
            <v>44225</v>
          </cell>
          <cell r="N1170">
            <v>44228</v>
          </cell>
          <cell r="Q1170">
            <v>44231</v>
          </cell>
        </row>
        <row r="1171">
          <cell r="M1171">
            <v>44228</v>
          </cell>
          <cell r="N1171">
            <v>44229</v>
          </cell>
          <cell r="Q1171">
            <v>44232</v>
          </cell>
        </row>
        <row r="1172">
          <cell r="M1172">
            <v>44229</v>
          </cell>
          <cell r="N1172">
            <v>44230</v>
          </cell>
          <cell r="Q1172">
            <v>44235</v>
          </cell>
        </row>
        <row r="1173">
          <cell r="M1173">
            <v>44230</v>
          </cell>
          <cell r="N1173">
            <v>44231</v>
          </cell>
          <cell r="Q1173">
            <v>44236</v>
          </cell>
        </row>
        <row r="1174">
          <cell r="M1174">
            <v>44231</v>
          </cell>
          <cell r="N1174">
            <v>44232</v>
          </cell>
          <cell r="Q1174">
            <v>44237</v>
          </cell>
        </row>
        <row r="1175">
          <cell r="M1175">
            <v>44232</v>
          </cell>
          <cell r="N1175">
            <v>44235</v>
          </cell>
          <cell r="Q1175">
            <v>44239</v>
          </cell>
        </row>
        <row r="1176">
          <cell r="M1176">
            <v>44235</v>
          </cell>
          <cell r="N1176">
            <v>44236</v>
          </cell>
          <cell r="Q1176">
            <v>44240</v>
          </cell>
        </row>
        <row r="1177">
          <cell r="M1177">
            <v>44236</v>
          </cell>
          <cell r="N1177">
            <v>44237</v>
          </cell>
          <cell r="Q1177">
            <v>44242</v>
          </cell>
        </row>
        <row r="1178">
          <cell r="M1178">
            <v>44237</v>
          </cell>
          <cell r="N1178">
            <v>44239</v>
          </cell>
          <cell r="Q1178">
            <v>44243</v>
          </cell>
        </row>
        <row r="1179">
          <cell r="M1179">
            <v>44239</v>
          </cell>
          <cell r="N1179">
            <v>44240</v>
          </cell>
          <cell r="Q1179">
            <v>44244</v>
          </cell>
        </row>
        <row r="1180">
          <cell r="M1180">
            <v>44240</v>
          </cell>
          <cell r="N1180">
            <v>44242</v>
          </cell>
          <cell r="Q1180">
            <v>44245</v>
          </cell>
        </row>
        <row r="1181">
          <cell r="M1181">
            <v>44242</v>
          </cell>
          <cell r="N1181">
            <v>44243</v>
          </cell>
          <cell r="Q1181">
            <v>44246</v>
          </cell>
        </row>
        <row r="1182">
          <cell r="M1182">
            <v>44243</v>
          </cell>
          <cell r="N1182">
            <v>44244</v>
          </cell>
          <cell r="Q1182">
            <v>44249</v>
          </cell>
        </row>
        <row r="1183">
          <cell r="M1183">
            <v>44244</v>
          </cell>
          <cell r="N1183">
            <v>44245</v>
          </cell>
          <cell r="Q1183">
            <v>44251</v>
          </cell>
        </row>
        <row r="1184">
          <cell r="M1184">
            <v>44245</v>
          </cell>
          <cell r="N1184">
            <v>44246</v>
          </cell>
          <cell r="Q1184">
            <v>44252</v>
          </cell>
        </row>
        <row r="1185">
          <cell r="M1185">
            <v>44246</v>
          </cell>
          <cell r="N1185">
            <v>44249</v>
          </cell>
          <cell r="Q1185">
            <v>44253</v>
          </cell>
        </row>
        <row r="1186">
          <cell r="M1186">
            <v>44249</v>
          </cell>
          <cell r="N1186">
            <v>44251</v>
          </cell>
          <cell r="Q1186">
            <v>44254</v>
          </cell>
        </row>
        <row r="1187">
          <cell r="M1187">
            <v>44251</v>
          </cell>
          <cell r="N1187">
            <v>44252</v>
          </cell>
          <cell r="Q1187">
            <v>44256</v>
          </cell>
        </row>
        <row r="1188">
          <cell r="M1188">
            <v>44252</v>
          </cell>
          <cell r="N1188">
            <v>44253</v>
          </cell>
          <cell r="Q1188">
            <v>44257</v>
          </cell>
        </row>
        <row r="1189">
          <cell r="M1189">
            <v>44253</v>
          </cell>
          <cell r="N1189">
            <v>44254</v>
          </cell>
          <cell r="Q1189">
            <v>44258</v>
          </cell>
        </row>
        <row r="1190">
          <cell r="M1190">
            <v>44254</v>
          </cell>
          <cell r="N1190">
            <v>44256</v>
          </cell>
          <cell r="Q1190">
            <v>44259</v>
          </cell>
        </row>
        <row r="1191">
          <cell r="M1191">
            <v>44256</v>
          </cell>
          <cell r="N1191">
            <v>44257</v>
          </cell>
          <cell r="Q1191">
            <v>44260</v>
          </cell>
        </row>
        <row r="1192">
          <cell r="M1192">
            <v>44257</v>
          </cell>
          <cell r="N1192">
            <v>44258</v>
          </cell>
          <cell r="Q1192">
            <v>44263</v>
          </cell>
        </row>
        <row r="1193">
          <cell r="M1193">
            <v>44258</v>
          </cell>
          <cell r="N1193">
            <v>44259</v>
          </cell>
          <cell r="Q1193">
            <v>44264</v>
          </cell>
        </row>
        <row r="1194">
          <cell r="M1194">
            <v>44259</v>
          </cell>
          <cell r="N1194">
            <v>44260</v>
          </cell>
          <cell r="Q1194">
            <v>44265</v>
          </cell>
        </row>
        <row r="1195">
          <cell r="M1195">
            <v>44260</v>
          </cell>
          <cell r="N1195">
            <v>44263</v>
          </cell>
          <cell r="Q1195">
            <v>44266</v>
          </cell>
        </row>
        <row r="1196">
          <cell r="M1196">
            <v>44263</v>
          </cell>
          <cell r="N1196">
            <v>44264</v>
          </cell>
          <cell r="Q1196">
            <v>44267</v>
          </cell>
        </row>
        <row r="1197">
          <cell r="M1197">
            <v>44264</v>
          </cell>
          <cell r="N1197">
            <v>44265</v>
          </cell>
          <cell r="Q1197">
            <v>44270</v>
          </cell>
        </row>
        <row r="1198">
          <cell r="M1198">
            <v>44265</v>
          </cell>
          <cell r="N1198">
            <v>44266</v>
          </cell>
          <cell r="Q1198">
            <v>44271</v>
          </cell>
        </row>
        <row r="1199">
          <cell r="M1199">
            <v>44266</v>
          </cell>
          <cell r="N1199">
            <v>44267</v>
          </cell>
          <cell r="Q1199">
            <v>44272</v>
          </cell>
        </row>
        <row r="1200">
          <cell r="M1200">
            <v>44267</v>
          </cell>
          <cell r="N1200">
            <v>44270</v>
          </cell>
          <cell r="Q1200">
            <v>44273</v>
          </cell>
        </row>
        <row r="1201">
          <cell r="M1201">
            <v>44270</v>
          </cell>
          <cell r="N1201">
            <v>44271</v>
          </cell>
          <cell r="Q1201">
            <v>44274</v>
          </cell>
        </row>
        <row r="1202">
          <cell r="M1202">
            <v>44271</v>
          </cell>
          <cell r="N1202">
            <v>44272</v>
          </cell>
          <cell r="Q1202">
            <v>44277</v>
          </cell>
        </row>
        <row r="1203">
          <cell r="M1203">
            <v>44272</v>
          </cell>
          <cell r="N1203">
            <v>44273</v>
          </cell>
          <cell r="Q1203">
            <v>44278</v>
          </cell>
        </row>
        <row r="1204">
          <cell r="M1204">
            <v>44273</v>
          </cell>
          <cell r="N1204">
            <v>44274</v>
          </cell>
          <cell r="Q1204">
            <v>44279</v>
          </cell>
        </row>
        <row r="1205">
          <cell r="M1205">
            <v>44274</v>
          </cell>
          <cell r="N1205">
            <v>44277</v>
          </cell>
          <cell r="Q1205">
            <v>44280</v>
          </cell>
        </row>
        <row r="1206">
          <cell r="M1206">
            <v>44277</v>
          </cell>
          <cell r="N1206">
            <v>44278</v>
          </cell>
          <cell r="Q1206">
            <v>44281</v>
          </cell>
        </row>
        <row r="1207">
          <cell r="M1207">
            <v>44278</v>
          </cell>
          <cell r="N1207">
            <v>44279</v>
          </cell>
          <cell r="Q1207">
            <v>44284</v>
          </cell>
        </row>
        <row r="1208">
          <cell r="M1208">
            <v>44279</v>
          </cell>
          <cell r="N1208">
            <v>44280</v>
          </cell>
          <cell r="Q1208">
            <v>44285</v>
          </cell>
        </row>
        <row r="1209">
          <cell r="M1209">
            <v>44280</v>
          </cell>
          <cell r="N1209">
            <v>44281</v>
          </cell>
          <cell r="Q1209">
            <v>44286</v>
          </cell>
        </row>
        <row r="1210">
          <cell r="M1210">
            <v>44281</v>
          </cell>
          <cell r="N1210">
            <v>44284</v>
          </cell>
          <cell r="Q1210">
            <v>44287</v>
          </cell>
        </row>
        <row r="1211">
          <cell r="M1211">
            <v>44284</v>
          </cell>
          <cell r="N1211">
            <v>44285</v>
          </cell>
          <cell r="Q1211">
            <v>44288</v>
          </cell>
        </row>
        <row r="1212">
          <cell r="M1212">
            <v>44285</v>
          </cell>
          <cell r="N1212">
            <v>44286</v>
          </cell>
          <cell r="Q1212">
            <v>44291</v>
          </cell>
        </row>
        <row r="1213">
          <cell r="M1213">
            <v>44286</v>
          </cell>
          <cell r="N1213">
            <v>44287</v>
          </cell>
          <cell r="Q1213">
            <v>44292</v>
          </cell>
        </row>
        <row r="1214">
          <cell r="M1214">
            <v>44287</v>
          </cell>
          <cell r="N1214">
            <v>44288</v>
          </cell>
          <cell r="Q1214">
            <v>44293</v>
          </cell>
        </row>
        <row r="1215">
          <cell r="M1215">
            <v>44288</v>
          </cell>
          <cell r="N1215">
            <v>44291</v>
          </cell>
          <cell r="Q1215">
            <v>44294</v>
          </cell>
        </row>
        <row r="1216">
          <cell r="M1216">
            <v>44291</v>
          </cell>
          <cell r="N1216">
            <v>44292</v>
          </cell>
          <cell r="Q1216">
            <v>44295</v>
          </cell>
        </row>
        <row r="1217">
          <cell r="M1217">
            <v>44292</v>
          </cell>
          <cell r="N1217">
            <v>44293</v>
          </cell>
          <cell r="Q1217">
            <v>44298</v>
          </cell>
        </row>
        <row r="1218">
          <cell r="M1218">
            <v>44293</v>
          </cell>
          <cell r="N1218">
            <v>44294</v>
          </cell>
          <cell r="Q1218">
            <v>44299</v>
          </cell>
        </row>
        <row r="1219">
          <cell r="M1219">
            <v>44294</v>
          </cell>
          <cell r="N1219">
            <v>44295</v>
          </cell>
          <cell r="Q1219">
            <v>44300</v>
          </cell>
        </row>
        <row r="1220">
          <cell r="M1220">
            <v>44295</v>
          </cell>
          <cell r="N1220">
            <v>44298</v>
          </cell>
          <cell r="Q1220">
            <v>44301</v>
          </cell>
        </row>
        <row r="1221">
          <cell r="M1221">
            <v>44298</v>
          </cell>
          <cell r="N1221">
            <v>44299</v>
          </cell>
          <cell r="Q1221">
            <v>44302</v>
          </cell>
        </row>
        <row r="1222">
          <cell r="M1222">
            <v>44299</v>
          </cell>
          <cell r="N1222">
            <v>44300</v>
          </cell>
          <cell r="Q1222">
            <v>44305</v>
          </cell>
        </row>
        <row r="1223">
          <cell r="M1223">
            <v>44300</v>
          </cell>
          <cell r="N1223">
            <v>44301</v>
          </cell>
          <cell r="Q1223">
            <v>44306</v>
          </cell>
        </row>
        <row r="1224">
          <cell r="M1224">
            <v>44301</v>
          </cell>
          <cell r="N1224">
            <v>44302</v>
          </cell>
          <cell r="Q1224">
            <v>44307</v>
          </cell>
        </row>
        <row r="1225">
          <cell r="M1225">
            <v>44302</v>
          </cell>
          <cell r="N1225">
            <v>44305</v>
          </cell>
          <cell r="Q1225">
            <v>44308</v>
          </cell>
        </row>
        <row r="1226">
          <cell r="M1226">
            <v>44305</v>
          </cell>
          <cell r="N1226">
            <v>44306</v>
          </cell>
          <cell r="Q1226">
            <v>44309</v>
          </cell>
        </row>
        <row r="1227">
          <cell r="M1227">
            <v>44306</v>
          </cell>
          <cell r="N1227">
            <v>44307</v>
          </cell>
          <cell r="Q1227">
            <v>44312</v>
          </cell>
        </row>
        <row r="1228">
          <cell r="M1228">
            <v>44307</v>
          </cell>
          <cell r="N1228">
            <v>44308</v>
          </cell>
          <cell r="Q1228">
            <v>44313</v>
          </cell>
        </row>
        <row r="1229">
          <cell r="M1229">
            <v>44308</v>
          </cell>
          <cell r="N1229">
            <v>44309</v>
          </cell>
          <cell r="Q1229">
            <v>44314</v>
          </cell>
        </row>
        <row r="1230">
          <cell r="M1230">
            <v>44309</v>
          </cell>
          <cell r="N1230">
            <v>44312</v>
          </cell>
          <cell r="Q1230">
            <v>44322</v>
          </cell>
        </row>
        <row r="1231">
          <cell r="M1231">
            <v>44312</v>
          </cell>
          <cell r="N1231">
            <v>44313</v>
          </cell>
          <cell r="Q1231">
            <v>44323</v>
          </cell>
        </row>
        <row r="1232">
          <cell r="M1232">
            <v>44313</v>
          </cell>
          <cell r="N1232">
            <v>44314</v>
          </cell>
          <cell r="Q1232">
            <v>44324</v>
          </cell>
        </row>
        <row r="1233">
          <cell r="M1233">
            <v>44314</v>
          </cell>
          <cell r="N1233">
            <v>44322</v>
          </cell>
          <cell r="Q1233">
            <v>44326</v>
          </cell>
        </row>
        <row r="1234">
          <cell r="M1234">
            <v>44322</v>
          </cell>
          <cell r="N1234">
            <v>44323</v>
          </cell>
          <cell r="Q1234">
            <v>44327</v>
          </cell>
        </row>
        <row r="1235">
          <cell r="M1235">
            <v>44323</v>
          </cell>
          <cell r="N1235">
            <v>44324</v>
          </cell>
          <cell r="Q1235">
            <v>44328</v>
          </cell>
        </row>
        <row r="1236">
          <cell r="M1236">
            <v>44324</v>
          </cell>
          <cell r="N1236">
            <v>44326</v>
          </cell>
          <cell r="Q1236">
            <v>44329</v>
          </cell>
        </row>
        <row r="1237">
          <cell r="M1237">
            <v>44326</v>
          </cell>
          <cell r="N1237">
            <v>44327</v>
          </cell>
          <cell r="Q1237">
            <v>44330</v>
          </cell>
        </row>
        <row r="1238">
          <cell r="M1238">
            <v>44327</v>
          </cell>
          <cell r="N1238">
            <v>44328</v>
          </cell>
          <cell r="Q1238">
            <v>44333</v>
          </cell>
        </row>
        <row r="1239">
          <cell r="M1239">
            <v>44328</v>
          </cell>
          <cell r="N1239">
            <v>44329</v>
          </cell>
          <cell r="Q1239">
            <v>44334</v>
          </cell>
        </row>
        <row r="1240">
          <cell r="M1240">
            <v>44329</v>
          </cell>
          <cell r="N1240">
            <v>44330</v>
          </cell>
          <cell r="Q1240">
            <v>44335</v>
          </cell>
        </row>
        <row r="1241">
          <cell r="M1241">
            <v>44330</v>
          </cell>
          <cell r="N1241">
            <v>44333</v>
          </cell>
          <cell r="Q1241">
            <v>44336</v>
          </cell>
        </row>
        <row r="1242">
          <cell r="M1242">
            <v>44333</v>
          </cell>
          <cell r="N1242">
            <v>44334</v>
          </cell>
          <cell r="Q1242">
            <v>44337</v>
          </cell>
        </row>
        <row r="1243">
          <cell r="M1243">
            <v>44334</v>
          </cell>
          <cell r="N1243">
            <v>44335</v>
          </cell>
          <cell r="Q1243">
            <v>44340</v>
          </cell>
        </row>
        <row r="1244">
          <cell r="M1244">
            <v>44335</v>
          </cell>
          <cell r="N1244">
            <v>44336</v>
          </cell>
          <cell r="Q1244">
            <v>44341</v>
          </cell>
        </row>
        <row r="1245">
          <cell r="M1245">
            <v>44336</v>
          </cell>
          <cell r="N1245">
            <v>44337</v>
          </cell>
          <cell r="Q1245">
            <v>44342</v>
          </cell>
        </row>
        <row r="1246">
          <cell r="M1246">
            <v>44337</v>
          </cell>
          <cell r="N1246">
            <v>44340</v>
          </cell>
          <cell r="Q1246">
            <v>44343</v>
          </cell>
        </row>
        <row r="1247">
          <cell r="M1247">
            <v>44340</v>
          </cell>
          <cell r="N1247">
            <v>44341</v>
          </cell>
          <cell r="Q1247">
            <v>44344</v>
          </cell>
        </row>
        <row r="1248">
          <cell r="M1248">
            <v>44341</v>
          </cell>
          <cell r="N1248">
            <v>44342</v>
          </cell>
          <cell r="Q1248">
            <v>44347</v>
          </cell>
        </row>
        <row r="1249">
          <cell r="M1249">
            <v>44342</v>
          </cell>
          <cell r="N1249">
            <v>44343</v>
          </cell>
          <cell r="Q1249">
            <v>44348</v>
          </cell>
        </row>
        <row r="1250">
          <cell r="M1250">
            <v>44343</v>
          </cell>
          <cell r="N1250">
            <v>44344</v>
          </cell>
          <cell r="Q1250">
            <v>44349</v>
          </cell>
        </row>
        <row r="1251">
          <cell r="M1251">
            <v>44344</v>
          </cell>
          <cell r="N1251">
            <v>44347</v>
          </cell>
          <cell r="Q1251">
            <v>44350</v>
          </cell>
        </row>
        <row r="1252">
          <cell r="M1252">
            <v>44347</v>
          </cell>
          <cell r="N1252">
            <v>44348</v>
          </cell>
          <cell r="Q1252">
            <v>44351</v>
          </cell>
        </row>
        <row r="1253">
          <cell r="M1253">
            <v>44348</v>
          </cell>
          <cell r="N1253">
            <v>44349</v>
          </cell>
          <cell r="Q1253">
            <v>44354</v>
          </cell>
        </row>
        <row r="1254">
          <cell r="M1254">
            <v>44349</v>
          </cell>
          <cell r="N1254">
            <v>44350</v>
          </cell>
          <cell r="Q1254">
            <v>44355</v>
          </cell>
        </row>
        <row r="1255">
          <cell r="M1255">
            <v>44350</v>
          </cell>
          <cell r="N1255">
            <v>44351</v>
          </cell>
          <cell r="Q1255">
            <v>44356</v>
          </cell>
        </row>
        <row r="1256">
          <cell r="M1256">
            <v>44351</v>
          </cell>
          <cell r="N1256">
            <v>44354</v>
          </cell>
          <cell r="Q1256">
            <v>44357</v>
          </cell>
        </row>
        <row r="1257">
          <cell r="M1257">
            <v>44354</v>
          </cell>
          <cell r="N1257">
            <v>44355</v>
          </cell>
          <cell r="Q1257">
            <v>44358</v>
          </cell>
        </row>
        <row r="1258">
          <cell r="M1258">
            <v>44355</v>
          </cell>
          <cell r="N1258">
            <v>44356</v>
          </cell>
          <cell r="Q1258">
            <v>44361</v>
          </cell>
        </row>
        <row r="1259">
          <cell r="M1259">
            <v>44356</v>
          </cell>
          <cell r="N1259">
            <v>44357</v>
          </cell>
          <cell r="Q1259">
            <v>44362</v>
          </cell>
        </row>
        <row r="1260">
          <cell r="M1260">
            <v>44357</v>
          </cell>
          <cell r="N1260">
            <v>44358</v>
          </cell>
          <cell r="Q1260">
            <v>44363</v>
          </cell>
        </row>
        <row r="1261">
          <cell r="M1261">
            <v>44358</v>
          </cell>
          <cell r="N1261">
            <v>44361</v>
          </cell>
          <cell r="Q1261">
            <v>44364</v>
          </cell>
        </row>
        <row r="1262">
          <cell r="M1262">
            <v>44361</v>
          </cell>
          <cell r="N1262">
            <v>44362</v>
          </cell>
          <cell r="Q1262">
            <v>44365</v>
          </cell>
        </row>
        <row r="1263">
          <cell r="M1263">
            <v>44362</v>
          </cell>
          <cell r="N1263">
            <v>44363</v>
          </cell>
          <cell r="Q1263">
            <v>44368</v>
          </cell>
        </row>
        <row r="1264">
          <cell r="M1264">
            <v>44363</v>
          </cell>
          <cell r="N1264">
            <v>44364</v>
          </cell>
          <cell r="Q1264">
            <v>44369</v>
          </cell>
        </row>
        <row r="1265">
          <cell r="M1265">
            <v>44364</v>
          </cell>
          <cell r="N1265">
            <v>44365</v>
          </cell>
          <cell r="Q1265">
            <v>44370</v>
          </cell>
        </row>
        <row r="1266">
          <cell r="M1266">
            <v>44365</v>
          </cell>
          <cell r="N1266">
            <v>44368</v>
          </cell>
          <cell r="Q1266">
            <v>44371</v>
          </cell>
        </row>
        <row r="1267">
          <cell r="M1267">
            <v>44368</v>
          </cell>
          <cell r="N1267">
            <v>44369</v>
          </cell>
          <cell r="Q1267">
            <v>44372</v>
          </cell>
        </row>
        <row r="1268">
          <cell r="M1268">
            <v>44369</v>
          </cell>
          <cell r="N1268">
            <v>44370</v>
          </cell>
          <cell r="Q1268">
            <v>44375</v>
          </cell>
        </row>
        <row r="1269">
          <cell r="M1269">
            <v>44370</v>
          </cell>
          <cell r="N1269">
            <v>44371</v>
          </cell>
          <cell r="Q1269">
            <v>44376</v>
          </cell>
        </row>
        <row r="1270">
          <cell r="M1270">
            <v>44371</v>
          </cell>
          <cell r="N1270">
            <v>44372</v>
          </cell>
          <cell r="Q1270">
            <v>44377</v>
          </cell>
        </row>
        <row r="1271">
          <cell r="M1271">
            <v>44372</v>
          </cell>
          <cell r="N1271">
            <v>44375</v>
          </cell>
          <cell r="Q1271">
            <v>44378</v>
          </cell>
        </row>
        <row r="1272">
          <cell r="M1272">
            <v>44375</v>
          </cell>
          <cell r="N1272">
            <v>44376</v>
          </cell>
          <cell r="Q1272">
            <v>44379</v>
          </cell>
        </row>
        <row r="1273">
          <cell r="M1273">
            <v>44376</v>
          </cell>
          <cell r="N1273">
            <v>44377</v>
          </cell>
          <cell r="Q1273">
            <v>44382</v>
          </cell>
        </row>
        <row r="1274">
          <cell r="M1274">
            <v>44377</v>
          </cell>
          <cell r="N1274">
            <v>44378</v>
          </cell>
          <cell r="Q1274">
            <v>44383</v>
          </cell>
        </row>
        <row r="1275">
          <cell r="M1275">
            <v>44378</v>
          </cell>
          <cell r="N1275">
            <v>44379</v>
          </cell>
          <cell r="Q1275">
            <v>44384</v>
          </cell>
        </row>
        <row r="1276">
          <cell r="M1276">
            <v>44379</v>
          </cell>
          <cell r="N1276">
            <v>44382</v>
          </cell>
          <cell r="Q1276">
            <v>44385</v>
          </cell>
        </row>
        <row r="1277">
          <cell r="M1277">
            <v>44382</v>
          </cell>
          <cell r="N1277">
            <v>44383</v>
          </cell>
          <cell r="Q1277">
            <v>44386</v>
          </cell>
        </row>
        <row r="1278">
          <cell r="M1278">
            <v>44383</v>
          </cell>
          <cell r="N1278">
            <v>44384</v>
          </cell>
          <cell r="Q1278">
            <v>44389</v>
          </cell>
        </row>
        <row r="1279">
          <cell r="M1279">
            <v>44384</v>
          </cell>
          <cell r="N1279">
            <v>44385</v>
          </cell>
          <cell r="Q1279">
            <v>44390</v>
          </cell>
        </row>
        <row r="1280">
          <cell r="M1280">
            <v>44385</v>
          </cell>
          <cell r="N1280">
            <v>44386</v>
          </cell>
          <cell r="Q1280">
            <v>44391</v>
          </cell>
        </row>
        <row r="1281">
          <cell r="M1281">
            <v>44386</v>
          </cell>
          <cell r="N1281">
            <v>44389</v>
          </cell>
          <cell r="Q1281">
            <v>44392</v>
          </cell>
        </row>
        <row r="1282">
          <cell r="M1282">
            <v>44389</v>
          </cell>
          <cell r="N1282">
            <v>44390</v>
          </cell>
          <cell r="Q1282">
            <v>44393</v>
          </cell>
        </row>
        <row r="1283">
          <cell r="M1283">
            <v>44390</v>
          </cell>
          <cell r="N1283">
            <v>44391</v>
          </cell>
          <cell r="Q1283">
            <v>44396</v>
          </cell>
        </row>
        <row r="1284">
          <cell r="M1284">
            <v>44391</v>
          </cell>
          <cell r="N1284">
            <v>44392</v>
          </cell>
          <cell r="Q1284">
            <v>44397</v>
          </cell>
        </row>
        <row r="1285">
          <cell r="M1285">
            <v>44392</v>
          </cell>
          <cell r="N1285">
            <v>44393</v>
          </cell>
          <cell r="Q1285">
            <v>44398</v>
          </cell>
        </row>
        <row r="1286">
          <cell r="M1286">
            <v>44393</v>
          </cell>
          <cell r="N1286">
            <v>44396</v>
          </cell>
          <cell r="Q1286">
            <v>44403</v>
          </cell>
        </row>
        <row r="1287">
          <cell r="M1287">
            <v>44396</v>
          </cell>
          <cell r="N1287">
            <v>44397</v>
          </cell>
          <cell r="Q1287">
            <v>44404</v>
          </cell>
        </row>
        <row r="1288">
          <cell r="M1288">
            <v>44397</v>
          </cell>
          <cell r="N1288">
            <v>44398</v>
          </cell>
          <cell r="Q1288">
            <v>44405</v>
          </cell>
        </row>
        <row r="1289">
          <cell r="M1289">
            <v>44398</v>
          </cell>
          <cell r="N1289">
            <v>44403</v>
          </cell>
          <cell r="Q1289">
            <v>44406</v>
          </cell>
        </row>
        <row r="1290">
          <cell r="M1290">
            <v>44403</v>
          </cell>
          <cell r="N1290">
            <v>44404</v>
          </cell>
          <cell r="Q1290">
            <v>44407</v>
          </cell>
        </row>
        <row r="1291">
          <cell r="M1291">
            <v>44404</v>
          </cell>
          <cell r="N1291">
            <v>44405</v>
          </cell>
          <cell r="Q1291">
            <v>44410</v>
          </cell>
        </row>
        <row r="1292">
          <cell r="M1292">
            <v>44405</v>
          </cell>
          <cell r="N1292">
            <v>44406</v>
          </cell>
          <cell r="Q1292">
            <v>44411</v>
          </cell>
        </row>
        <row r="1293">
          <cell r="M1293">
            <v>44406</v>
          </cell>
          <cell r="N1293">
            <v>44407</v>
          </cell>
          <cell r="Q1293">
            <v>44412</v>
          </cell>
        </row>
        <row r="1294">
          <cell r="M1294">
            <v>44407</v>
          </cell>
          <cell r="N1294">
            <v>44410</v>
          </cell>
          <cell r="Q1294">
            <v>44413</v>
          </cell>
        </row>
        <row r="1295">
          <cell r="M1295">
            <v>44410</v>
          </cell>
          <cell r="N1295">
            <v>44411</v>
          </cell>
          <cell r="Q1295">
            <v>44414</v>
          </cell>
        </row>
        <row r="1296">
          <cell r="M1296">
            <v>44411</v>
          </cell>
          <cell r="N1296">
            <v>44412</v>
          </cell>
          <cell r="Q1296">
            <v>44424</v>
          </cell>
        </row>
        <row r="1297">
          <cell r="M1297">
            <v>44412</v>
          </cell>
          <cell r="N1297">
            <v>44413</v>
          </cell>
          <cell r="Q1297">
            <v>44425</v>
          </cell>
        </row>
        <row r="1298">
          <cell r="M1298">
            <v>44413</v>
          </cell>
          <cell r="N1298">
            <v>44414</v>
          </cell>
          <cell r="Q1298">
            <v>44426</v>
          </cell>
        </row>
        <row r="1299">
          <cell r="M1299">
            <v>44414</v>
          </cell>
          <cell r="N1299">
            <v>44424</v>
          </cell>
          <cell r="Q1299">
            <v>44427</v>
          </cell>
        </row>
        <row r="1300">
          <cell r="M1300">
            <v>44424</v>
          </cell>
          <cell r="N1300">
            <v>44425</v>
          </cell>
          <cell r="Q1300">
            <v>44428</v>
          </cell>
        </row>
        <row r="1301">
          <cell r="M1301">
            <v>44425</v>
          </cell>
          <cell r="N1301">
            <v>44426</v>
          </cell>
          <cell r="Q1301">
            <v>44431</v>
          </cell>
        </row>
        <row r="1302">
          <cell r="M1302">
            <v>44426</v>
          </cell>
          <cell r="N1302">
            <v>44427</v>
          </cell>
          <cell r="Q1302">
            <v>44432</v>
          </cell>
        </row>
        <row r="1303">
          <cell r="M1303">
            <v>44427</v>
          </cell>
          <cell r="N1303">
            <v>44428</v>
          </cell>
          <cell r="Q1303">
            <v>44433</v>
          </cell>
        </row>
        <row r="1304">
          <cell r="M1304">
            <v>44428</v>
          </cell>
          <cell r="N1304">
            <v>44431</v>
          </cell>
          <cell r="Q1304">
            <v>44434</v>
          </cell>
        </row>
        <row r="1305">
          <cell r="M1305">
            <v>44431</v>
          </cell>
          <cell r="N1305">
            <v>44432</v>
          </cell>
          <cell r="Q1305">
            <v>44435</v>
          </cell>
        </row>
        <row r="1306">
          <cell r="M1306">
            <v>44432</v>
          </cell>
          <cell r="N1306">
            <v>44433</v>
          </cell>
          <cell r="Q1306">
            <v>44438</v>
          </cell>
        </row>
        <row r="1307">
          <cell r="M1307">
            <v>44433</v>
          </cell>
          <cell r="N1307">
            <v>44434</v>
          </cell>
          <cell r="Q1307">
            <v>44439</v>
          </cell>
        </row>
        <row r="1308">
          <cell r="M1308">
            <v>44434</v>
          </cell>
          <cell r="N1308">
            <v>44435</v>
          </cell>
          <cell r="Q1308">
            <v>44440</v>
          </cell>
        </row>
        <row r="1309">
          <cell r="M1309">
            <v>44435</v>
          </cell>
          <cell r="N1309">
            <v>44438</v>
          </cell>
          <cell r="Q1309">
            <v>44441</v>
          </cell>
        </row>
        <row r="1310">
          <cell r="M1310">
            <v>44438</v>
          </cell>
          <cell r="N1310">
            <v>44439</v>
          </cell>
          <cell r="Q1310">
            <v>44442</v>
          </cell>
        </row>
        <row r="1311">
          <cell r="M1311">
            <v>44439</v>
          </cell>
          <cell r="N1311">
            <v>44440</v>
          </cell>
          <cell r="Q1311">
            <v>44445</v>
          </cell>
        </row>
        <row r="1312">
          <cell r="M1312">
            <v>44440</v>
          </cell>
          <cell r="N1312">
            <v>44441</v>
          </cell>
          <cell r="Q1312">
            <v>44446</v>
          </cell>
        </row>
        <row r="1313">
          <cell r="M1313">
            <v>44441</v>
          </cell>
          <cell r="N1313">
            <v>44442</v>
          </cell>
          <cell r="Q1313">
            <v>44447</v>
          </cell>
        </row>
        <row r="1314">
          <cell r="M1314">
            <v>44442</v>
          </cell>
          <cell r="N1314">
            <v>44445</v>
          </cell>
          <cell r="Q1314">
            <v>44448</v>
          </cell>
        </row>
        <row r="1315">
          <cell r="M1315">
            <v>44445</v>
          </cell>
          <cell r="N1315">
            <v>44446</v>
          </cell>
          <cell r="Q1315">
            <v>44449</v>
          </cell>
        </row>
        <row r="1316">
          <cell r="M1316">
            <v>44446</v>
          </cell>
          <cell r="N1316">
            <v>44447</v>
          </cell>
          <cell r="Q1316">
            <v>44452</v>
          </cell>
        </row>
        <row r="1317">
          <cell r="M1317">
            <v>44447</v>
          </cell>
          <cell r="N1317">
            <v>44448</v>
          </cell>
          <cell r="Q1317">
            <v>44453</v>
          </cell>
        </row>
        <row r="1318">
          <cell r="M1318">
            <v>44448</v>
          </cell>
          <cell r="N1318">
            <v>44449</v>
          </cell>
          <cell r="Q1318">
            <v>44454</v>
          </cell>
        </row>
        <row r="1319">
          <cell r="M1319">
            <v>44449</v>
          </cell>
          <cell r="N1319">
            <v>44452</v>
          </cell>
          <cell r="Q1319">
            <v>44455</v>
          </cell>
        </row>
        <row r="1320">
          <cell r="M1320">
            <v>44452</v>
          </cell>
          <cell r="N1320">
            <v>44453</v>
          </cell>
          <cell r="Q1320">
            <v>44456</v>
          </cell>
        </row>
        <row r="1321">
          <cell r="M1321">
            <v>44453</v>
          </cell>
          <cell r="N1321">
            <v>44454</v>
          </cell>
          <cell r="Q1321">
            <v>44460</v>
          </cell>
        </row>
        <row r="1322">
          <cell r="M1322">
            <v>44454</v>
          </cell>
          <cell r="N1322">
            <v>44455</v>
          </cell>
          <cell r="Q1322">
            <v>44461</v>
          </cell>
        </row>
        <row r="1323">
          <cell r="M1323">
            <v>44455</v>
          </cell>
          <cell r="N1323">
            <v>44456</v>
          </cell>
          <cell r="Q1323">
            <v>44463</v>
          </cell>
        </row>
        <row r="1324">
          <cell r="M1324">
            <v>44456</v>
          </cell>
          <cell r="N1324">
            <v>44460</v>
          </cell>
          <cell r="Q1324">
            <v>44464</v>
          </cell>
        </row>
        <row r="1325">
          <cell r="M1325">
            <v>44460</v>
          </cell>
          <cell r="N1325">
            <v>44461</v>
          </cell>
          <cell r="Q1325">
            <v>44466</v>
          </cell>
        </row>
        <row r="1326">
          <cell r="M1326">
            <v>44461</v>
          </cell>
          <cell r="N1326">
            <v>44463</v>
          </cell>
          <cell r="Q1326">
            <v>44467</v>
          </cell>
        </row>
        <row r="1327">
          <cell r="M1327">
            <v>44463</v>
          </cell>
          <cell r="N1327">
            <v>44464</v>
          </cell>
          <cell r="Q1327">
            <v>44468</v>
          </cell>
        </row>
        <row r="1328">
          <cell r="M1328">
            <v>44464</v>
          </cell>
          <cell r="N1328">
            <v>44466</v>
          </cell>
          <cell r="Q1328">
            <v>44469</v>
          </cell>
        </row>
        <row r="1329">
          <cell r="M1329">
            <v>44466</v>
          </cell>
          <cell r="N1329">
            <v>44467</v>
          </cell>
          <cell r="Q1329">
            <v>44470</v>
          </cell>
        </row>
        <row r="1330">
          <cell r="M1330">
            <v>44467</v>
          </cell>
          <cell r="N1330">
            <v>44468</v>
          </cell>
          <cell r="Q1330">
            <v>44473</v>
          </cell>
        </row>
        <row r="1331">
          <cell r="M1331">
            <v>44468</v>
          </cell>
          <cell r="N1331">
            <v>44469</v>
          </cell>
          <cell r="Q1331">
            <v>44474</v>
          </cell>
        </row>
        <row r="1332">
          <cell r="M1332">
            <v>44469</v>
          </cell>
          <cell r="N1332">
            <v>44470</v>
          </cell>
          <cell r="Q1332">
            <v>44475</v>
          </cell>
        </row>
        <row r="1333">
          <cell r="M1333">
            <v>44470</v>
          </cell>
          <cell r="N1333">
            <v>44473</v>
          </cell>
          <cell r="Q1333">
            <v>44476</v>
          </cell>
        </row>
        <row r="1334">
          <cell r="M1334">
            <v>44473</v>
          </cell>
          <cell r="N1334">
            <v>44474</v>
          </cell>
          <cell r="Q1334">
            <v>44477</v>
          </cell>
        </row>
        <row r="1335">
          <cell r="M1335">
            <v>44474</v>
          </cell>
          <cell r="N1335">
            <v>44475</v>
          </cell>
          <cell r="Q1335">
            <v>44480</v>
          </cell>
        </row>
        <row r="1336">
          <cell r="M1336">
            <v>44475</v>
          </cell>
          <cell r="N1336">
            <v>44476</v>
          </cell>
          <cell r="Q1336">
            <v>44481</v>
          </cell>
        </row>
        <row r="1337">
          <cell r="M1337">
            <v>44476</v>
          </cell>
          <cell r="N1337">
            <v>44477</v>
          </cell>
          <cell r="Q1337">
            <v>44482</v>
          </cell>
        </row>
        <row r="1338">
          <cell r="M1338">
            <v>44477</v>
          </cell>
          <cell r="N1338">
            <v>44480</v>
          </cell>
          <cell r="Q1338">
            <v>44483</v>
          </cell>
        </row>
        <row r="1339">
          <cell r="M1339">
            <v>44480</v>
          </cell>
          <cell r="N1339">
            <v>44481</v>
          </cell>
          <cell r="Q1339">
            <v>44484</v>
          </cell>
        </row>
        <row r="1340">
          <cell r="M1340">
            <v>44481</v>
          </cell>
          <cell r="N1340">
            <v>44482</v>
          </cell>
          <cell r="Q1340">
            <v>44487</v>
          </cell>
        </row>
        <row r="1341">
          <cell r="M1341">
            <v>44482</v>
          </cell>
          <cell r="N1341">
            <v>44483</v>
          </cell>
          <cell r="Q1341">
            <v>44488</v>
          </cell>
        </row>
        <row r="1342">
          <cell r="M1342">
            <v>44483</v>
          </cell>
          <cell r="N1342">
            <v>44484</v>
          </cell>
          <cell r="Q1342">
            <v>44489</v>
          </cell>
        </row>
        <row r="1343">
          <cell r="M1343">
            <v>44484</v>
          </cell>
          <cell r="N1343">
            <v>44487</v>
          </cell>
          <cell r="Q1343">
            <v>44490</v>
          </cell>
        </row>
        <row r="1344">
          <cell r="M1344">
            <v>44487</v>
          </cell>
          <cell r="N1344">
            <v>44488</v>
          </cell>
          <cell r="Q1344">
            <v>44491</v>
          </cell>
        </row>
        <row r="1345">
          <cell r="M1345">
            <v>44488</v>
          </cell>
          <cell r="N1345">
            <v>44489</v>
          </cell>
          <cell r="Q1345">
            <v>44494</v>
          </cell>
        </row>
        <row r="1346">
          <cell r="M1346">
            <v>44489</v>
          </cell>
          <cell r="N1346">
            <v>44490</v>
          </cell>
          <cell r="Q1346">
            <v>44495</v>
          </cell>
        </row>
        <row r="1347">
          <cell r="M1347">
            <v>44490</v>
          </cell>
          <cell r="N1347">
            <v>44491</v>
          </cell>
          <cell r="Q1347">
            <v>44496</v>
          </cell>
        </row>
        <row r="1348">
          <cell r="M1348">
            <v>44491</v>
          </cell>
          <cell r="N1348">
            <v>44494</v>
          </cell>
          <cell r="Q1348">
            <v>44497</v>
          </cell>
        </row>
        <row r="1349">
          <cell r="M1349">
            <v>44494</v>
          </cell>
          <cell r="N1349">
            <v>44495</v>
          </cell>
          <cell r="Q1349">
            <v>44498</v>
          </cell>
        </row>
        <row r="1350">
          <cell r="M1350">
            <v>44495</v>
          </cell>
          <cell r="N1350">
            <v>44496</v>
          </cell>
          <cell r="Q1350">
            <v>44501</v>
          </cell>
        </row>
        <row r="1351">
          <cell r="M1351">
            <v>44496</v>
          </cell>
          <cell r="N1351">
            <v>44497</v>
          </cell>
          <cell r="Q1351">
            <v>44502</v>
          </cell>
        </row>
        <row r="1352">
          <cell r="M1352">
            <v>44497</v>
          </cell>
          <cell r="N1352">
            <v>44498</v>
          </cell>
          <cell r="Q1352">
            <v>44504</v>
          </cell>
        </row>
        <row r="1353">
          <cell r="M1353">
            <v>44498</v>
          </cell>
          <cell r="N1353">
            <v>44501</v>
          </cell>
          <cell r="Q1353">
            <v>44505</v>
          </cell>
        </row>
        <row r="1354">
          <cell r="M1354">
            <v>44501</v>
          </cell>
          <cell r="N1354">
            <v>44502</v>
          </cell>
          <cell r="Q1354">
            <v>44506</v>
          </cell>
        </row>
        <row r="1355">
          <cell r="M1355">
            <v>44502</v>
          </cell>
          <cell r="N1355">
            <v>44504</v>
          </cell>
          <cell r="Q1355">
            <v>44508</v>
          </cell>
        </row>
        <row r="1356">
          <cell r="M1356">
            <v>44504</v>
          </cell>
          <cell r="N1356">
            <v>44505</v>
          </cell>
          <cell r="Q1356">
            <v>44509</v>
          </cell>
        </row>
        <row r="1357">
          <cell r="M1357">
            <v>44505</v>
          </cell>
          <cell r="N1357">
            <v>44506</v>
          </cell>
          <cell r="Q1357">
            <v>44510</v>
          </cell>
        </row>
        <row r="1358">
          <cell r="M1358">
            <v>44506</v>
          </cell>
          <cell r="N1358">
            <v>44508</v>
          </cell>
          <cell r="Q1358">
            <v>44511</v>
          </cell>
        </row>
        <row r="1359">
          <cell r="M1359">
            <v>44508</v>
          </cell>
          <cell r="N1359">
            <v>44509</v>
          </cell>
          <cell r="Q1359">
            <v>44512</v>
          </cell>
        </row>
        <row r="1360">
          <cell r="M1360">
            <v>44509</v>
          </cell>
          <cell r="N1360">
            <v>44510</v>
          </cell>
          <cell r="Q1360">
            <v>44515</v>
          </cell>
        </row>
        <row r="1361">
          <cell r="M1361">
            <v>44510</v>
          </cell>
          <cell r="N1361">
            <v>44511</v>
          </cell>
          <cell r="Q1361">
            <v>44516</v>
          </cell>
        </row>
        <row r="1362">
          <cell r="M1362">
            <v>44511</v>
          </cell>
          <cell r="N1362">
            <v>44512</v>
          </cell>
          <cell r="Q1362">
            <v>44517</v>
          </cell>
        </row>
        <row r="1363">
          <cell r="M1363">
            <v>44512</v>
          </cell>
          <cell r="N1363">
            <v>44515</v>
          </cell>
          <cell r="Q1363">
            <v>44518</v>
          </cell>
        </row>
        <row r="1364">
          <cell r="M1364">
            <v>44515</v>
          </cell>
          <cell r="N1364">
            <v>44516</v>
          </cell>
          <cell r="Q1364">
            <v>44519</v>
          </cell>
        </row>
        <row r="1365">
          <cell r="M1365">
            <v>44516</v>
          </cell>
          <cell r="N1365">
            <v>44517</v>
          </cell>
          <cell r="Q1365">
            <v>44522</v>
          </cell>
        </row>
        <row r="1366">
          <cell r="M1366">
            <v>44517</v>
          </cell>
          <cell r="N1366">
            <v>44518</v>
          </cell>
          <cell r="Q1366">
            <v>44524</v>
          </cell>
        </row>
        <row r="1367">
          <cell r="M1367">
            <v>44518</v>
          </cell>
          <cell r="N1367">
            <v>44519</v>
          </cell>
          <cell r="Q1367">
            <v>44525</v>
          </cell>
        </row>
        <row r="1368">
          <cell r="M1368">
            <v>44519</v>
          </cell>
          <cell r="N1368">
            <v>44522</v>
          </cell>
          <cell r="Q1368">
            <v>44526</v>
          </cell>
        </row>
        <row r="1369">
          <cell r="M1369">
            <v>44522</v>
          </cell>
          <cell r="N1369">
            <v>44524</v>
          </cell>
          <cell r="Q1369">
            <v>44527</v>
          </cell>
        </row>
        <row r="1370">
          <cell r="M1370">
            <v>44524</v>
          </cell>
          <cell r="N1370">
            <v>44525</v>
          </cell>
          <cell r="Q1370">
            <v>44529</v>
          </cell>
        </row>
        <row r="1371">
          <cell r="M1371">
            <v>44525</v>
          </cell>
          <cell r="N1371">
            <v>44526</v>
          </cell>
          <cell r="Q1371">
            <v>44530</v>
          </cell>
        </row>
        <row r="1372">
          <cell r="M1372">
            <v>44526</v>
          </cell>
          <cell r="N1372">
            <v>44527</v>
          </cell>
          <cell r="Q1372">
            <v>44531</v>
          </cell>
        </row>
        <row r="1373">
          <cell r="M1373">
            <v>44527</v>
          </cell>
          <cell r="N1373">
            <v>44529</v>
          </cell>
          <cell r="Q1373">
            <v>44532</v>
          </cell>
        </row>
        <row r="1374">
          <cell r="M1374">
            <v>44529</v>
          </cell>
          <cell r="N1374">
            <v>44530</v>
          </cell>
          <cell r="Q1374">
            <v>44533</v>
          </cell>
        </row>
        <row r="1375">
          <cell r="M1375">
            <v>44530</v>
          </cell>
          <cell r="N1375">
            <v>44531</v>
          </cell>
          <cell r="Q1375">
            <v>44536</v>
          </cell>
        </row>
        <row r="1376">
          <cell r="M1376">
            <v>44531</v>
          </cell>
          <cell r="N1376">
            <v>44532</v>
          </cell>
          <cell r="Q1376">
            <v>44537</v>
          </cell>
        </row>
        <row r="1377">
          <cell r="M1377">
            <v>44532</v>
          </cell>
          <cell r="N1377">
            <v>44533</v>
          </cell>
          <cell r="Q1377">
            <v>44538</v>
          </cell>
        </row>
        <row r="1378">
          <cell r="M1378">
            <v>44533</v>
          </cell>
          <cell r="N1378">
            <v>44536</v>
          </cell>
          <cell r="Q1378">
            <v>44539</v>
          </cell>
        </row>
        <row r="1379">
          <cell r="M1379">
            <v>44536</v>
          </cell>
          <cell r="N1379">
            <v>44537</v>
          </cell>
          <cell r="Q1379">
            <v>44540</v>
          </cell>
        </row>
        <row r="1380">
          <cell r="M1380">
            <v>44537</v>
          </cell>
          <cell r="N1380">
            <v>44538</v>
          </cell>
          <cell r="Q1380">
            <v>44543</v>
          </cell>
        </row>
        <row r="1381">
          <cell r="M1381">
            <v>44538</v>
          </cell>
          <cell r="N1381">
            <v>44539</v>
          </cell>
          <cell r="Q1381">
            <v>44544</v>
          </cell>
        </row>
        <row r="1382">
          <cell r="M1382">
            <v>44539</v>
          </cell>
          <cell r="N1382">
            <v>44540</v>
          </cell>
          <cell r="Q1382">
            <v>44545</v>
          </cell>
        </row>
        <row r="1383">
          <cell r="M1383">
            <v>44540</v>
          </cell>
          <cell r="N1383">
            <v>44543</v>
          </cell>
          <cell r="Q1383">
            <v>44546</v>
          </cell>
        </row>
        <row r="1384">
          <cell r="M1384">
            <v>44543</v>
          </cell>
          <cell r="N1384">
            <v>44544</v>
          </cell>
          <cell r="Q1384">
            <v>44547</v>
          </cell>
        </row>
        <row r="1385">
          <cell r="M1385">
            <v>44544</v>
          </cell>
          <cell r="N1385">
            <v>44545</v>
          </cell>
          <cell r="Q1385">
            <v>44550</v>
          </cell>
        </row>
        <row r="1386">
          <cell r="M1386">
            <v>44545</v>
          </cell>
          <cell r="N1386">
            <v>44546</v>
          </cell>
          <cell r="Q1386">
            <v>44551</v>
          </cell>
        </row>
        <row r="1387">
          <cell r="M1387">
            <v>44546</v>
          </cell>
          <cell r="N1387">
            <v>44547</v>
          </cell>
          <cell r="Q1387">
            <v>44552</v>
          </cell>
        </row>
        <row r="1388">
          <cell r="M1388">
            <v>44547</v>
          </cell>
          <cell r="N1388">
            <v>44550</v>
          </cell>
          <cell r="Q1388">
            <v>44553</v>
          </cell>
        </row>
        <row r="1389">
          <cell r="M1389">
            <v>44550</v>
          </cell>
          <cell r="N1389">
            <v>44551</v>
          </cell>
          <cell r="Q1389">
            <v>44554</v>
          </cell>
        </row>
        <row r="1390">
          <cell r="M1390">
            <v>44551</v>
          </cell>
          <cell r="N1390">
            <v>44552</v>
          </cell>
          <cell r="Q1390">
            <v>44557</v>
          </cell>
        </row>
        <row r="1391">
          <cell r="M1391">
            <v>44552</v>
          </cell>
          <cell r="N1391">
            <v>44553</v>
          </cell>
          <cell r="Q1391">
            <v>44558</v>
          </cell>
        </row>
        <row r="1392">
          <cell r="M1392">
            <v>44553</v>
          </cell>
          <cell r="N1392">
            <v>44554</v>
          </cell>
          <cell r="Q1392">
            <v>44566</v>
          </cell>
        </row>
        <row r="1393">
          <cell r="M1393">
            <v>44554</v>
          </cell>
          <cell r="N1393">
            <v>44557</v>
          </cell>
          <cell r="Q1393">
            <v>44567</v>
          </cell>
        </row>
        <row r="1394">
          <cell r="M1394">
            <v>44557</v>
          </cell>
          <cell r="N1394">
            <v>44558</v>
          </cell>
          <cell r="Q1394">
            <v>44568</v>
          </cell>
        </row>
        <row r="1395">
          <cell r="M1395">
            <v>44558</v>
          </cell>
          <cell r="N1395">
            <v>44566</v>
          </cell>
          <cell r="Q1395">
            <v>44569</v>
          </cell>
        </row>
        <row r="1396">
          <cell r="M1396">
            <v>44566</v>
          </cell>
          <cell r="N1396">
            <v>44567</v>
          </cell>
          <cell r="Q1396">
            <v>44572</v>
          </cell>
        </row>
        <row r="1397">
          <cell r="M1397">
            <v>44567</v>
          </cell>
          <cell r="N1397">
            <v>44568</v>
          </cell>
          <cell r="Q1397">
            <v>44573</v>
          </cell>
        </row>
        <row r="1398">
          <cell r="M1398">
            <v>44568</v>
          </cell>
          <cell r="N1398">
            <v>44569</v>
          </cell>
          <cell r="Q1398">
            <v>44574</v>
          </cell>
        </row>
        <row r="1399">
          <cell r="M1399">
            <v>44569</v>
          </cell>
          <cell r="N1399">
            <v>44572</v>
          </cell>
          <cell r="Q1399">
            <v>44575</v>
          </cell>
        </row>
        <row r="1400">
          <cell r="M1400">
            <v>44572</v>
          </cell>
          <cell r="N1400">
            <v>44573</v>
          </cell>
          <cell r="Q1400">
            <v>44576</v>
          </cell>
        </row>
        <row r="1401">
          <cell r="M1401">
            <v>44573</v>
          </cell>
          <cell r="N1401">
            <v>44574</v>
          </cell>
          <cell r="Q1401">
            <v>44578</v>
          </cell>
        </row>
        <row r="1402">
          <cell r="M1402">
            <v>44574</v>
          </cell>
          <cell r="N1402">
            <v>44575</v>
          </cell>
          <cell r="Q1402">
            <v>44579</v>
          </cell>
        </row>
        <row r="1403">
          <cell r="M1403">
            <v>44575</v>
          </cell>
          <cell r="N1403">
            <v>44576</v>
          </cell>
          <cell r="Q1403">
            <v>44580</v>
          </cell>
        </row>
        <row r="1404">
          <cell r="M1404">
            <v>44576</v>
          </cell>
          <cell r="N1404">
            <v>44578</v>
          </cell>
          <cell r="Q1404">
            <v>44581</v>
          </cell>
        </row>
        <row r="1405">
          <cell r="M1405">
            <v>44578</v>
          </cell>
          <cell r="N1405">
            <v>44579</v>
          </cell>
          <cell r="Q1405">
            <v>44582</v>
          </cell>
        </row>
        <row r="1406">
          <cell r="M1406">
            <v>44579</v>
          </cell>
          <cell r="N1406">
            <v>44580</v>
          </cell>
          <cell r="Q1406">
            <v>44585</v>
          </cell>
        </row>
        <row r="1407">
          <cell r="M1407">
            <v>44580</v>
          </cell>
          <cell r="N1407">
            <v>44581</v>
          </cell>
          <cell r="Q1407">
            <v>44586</v>
          </cell>
        </row>
        <row r="1408">
          <cell r="M1408">
            <v>44581</v>
          </cell>
          <cell r="N1408">
            <v>44582</v>
          </cell>
          <cell r="Q1408">
            <v>44587</v>
          </cell>
        </row>
        <row r="1409">
          <cell r="M1409">
            <v>44582</v>
          </cell>
          <cell r="N1409">
            <v>44585</v>
          </cell>
          <cell r="Q1409">
            <v>44588</v>
          </cell>
        </row>
        <row r="1410">
          <cell r="M1410">
            <v>44585</v>
          </cell>
          <cell r="N1410">
            <v>44586</v>
          </cell>
          <cell r="Q1410">
            <v>44589</v>
          </cell>
        </row>
        <row r="1411">
          <cell r="M1411">
            <v>44586</v>
          </cell>
          <cell r="N1411">
            <v>44587</v>
          </cell>
          <cell r="Q1411">
            <v>44592</v>
          </cell>
        </row>
        <row r="1412">
          <cell r="M1412">
            <v>44587</v>
          </cell>
          <cell r="N1412">
            <v>44588</v>
          </cell>
          <cell r="Q1412">
            <v>44593</v>
          </cell>
        </row>
        <row r="1413">
          <cell r="M1413">
            <v>44588</v>
          </cell>
          <cell r="N1413">
            <v>44589</v>
          </cell>
          <cell r="Q1413">
            <v>44594</v>
          </cell>
        </row>
        <row r="1414">
          <cell r="M1414">
            <v>44589</v>
          </cell>
          <cell r="N1414">
            <v>44592</v>
          </cell>
          <cell r="Q1414">
            <v>44595</v>
          </cell>
        </row>
        <row r="1415">
          <cell r="M1415">
            <v>44592</v>
          </cell>
          <cell r="N1415">
            <v>44593</v>
          </cell>
          <cell r="Q1415">
            <v>44596</v>
          </cell>
        </row>
        <row r="1416">
          <cell r="M1416">
            <v>44593</v>
          </cell>
          <cell r="N1416">
            <v>44594</v>
          </cell>
          <cell r="Q1416">
            <v>44599</v>
          </cell>
        </row>
        <row r="1417">
          <cell r="M1417">
            <v>44594</v>
          </cell>
          <cell r="N1417">
            <v>44595</v>
          </cell>
          <cell r="Q1417">
            <v>44600</v>
          </cell>
        </row>
        <row r="1418">
          <cell r="M1418">
            <v>44595</v>
          </cell>
          <cell r="N1418">
            <v>44596</v>
          </cell>
          <cell r="Q1418">
            <v>44601</v>
          </cell>
        </row>
        <row r="1419">
          <cell r="M1419">
            <v>44596</v>
          </cell>
          <cell r="N1419">
            <v>44599</v>
          </cell>
          <cell r="Q1419">
            <v>44602</v>
          </cell>
        </row>
        <row r="1420">
          <cell r="M1420">
            <v>44599</v>
          </cell>
          <cell r="N1420">
            <v>44600</v>
          </cell>
          <cell r="Q1420">
            <v>44604</v>
          </cell>
        </row>
        <row r="1421">
          <cell r="M1421">
            <v>44600</v>
          </cell>
          <cell r="N1421">
            <v>44601</v>
          </cell>
          <cell r="Q1421">
            <v>44606</v>
          </cell>
        </row>
        <row r="1422">
          <cell r="M1422">
            <v>44601</v>
          </cell>
          <cell r="N1422">
            <v>44602</v>
          </cell>
          <cell r="Q1422">
            <v>44607</v>
          </cell>
        </row>
        <row r="1423">
          <cell r="M1423">
            <v>44602</v>
          </cell>
          <cell r="N1423">
            <v>44604</v>
          </cell>
          <cell r="Q1423">
            <v>44608</v>
          </cell>
        </row>
        <row r="1424">
          <cell r="M1424">
            <v>44604</v>
          </cell>
          <cell r="N1424">
            <v>44606</v>
          </cell>
          <cell r="Q1424">
            <v>44609</v>
          </cell>
        </row>
        <row r="1425">
          <cell r="M1425">
            <v>44606</v>
          </cell>
          <cell r="N1425">
            <v>44607</v>
          </cell>
          <cell r="Q1425">
            <v>44610</v>
          </cell>
        </row>
        <row r="1426">
          <cell r="M1426">
            <v>44607</v>
          </cell>
          <cell r="N1426">
            <v>44608</v>
          </cell>
          <cell r="Q1426">
            <v>44613</v>
          </cell>
        </row>
        <row r="1427">
          <cell r="M1427">
            <v>44608</v>
          </cell>
          <cell r="N1427">
            <v>44609</v>
          </cell>
          <cell r="Q1427">
            <v>44614</v>
          </cell>
        </row>
        <row r="1428">
          <cell r="M1428">
            <v>44609</v>
          </cell>
          <cell r="N1428">
            <v>44610</v>
          </cell>
          <cell r="Q1428">
            <v>44616</v>
          </cell>
        </row>
        <row r="1429">
          <cell r="M1429">
            <v>44610</v>
          </cell>
          <cell r="N1429">
            <v>44613</v>
          </cell>
          <cell r="Q1429">
            <v>44617</v>
          </cell>
        </row>
        <row r="1430">
          <cell r="M1430">
            <v>44613</v>
          </cell>
          <cell r="N1430">
            <v>44614</v>
          </cell>
          <cell r="Q1430">
            <v>44618</v>
          </cell>
        </row>
        <row r="1431">
          <cell r="M1431">
            <v>44614</v>
          </cell>
          <cell r="N1431">
            <v>44616</v>
          </cell>
          <cell r="Q1431">
            <v>44620</v>
          </cell>
        </row>
        <row r="1432">
          <cell r="M1432">
            <v>44616</v>
          </cell>
          <cell r="N1432">
            <v>44617</v>
          </cell>
          <cell r="Q1432">
            <v>44621</v>
          </cell>
        </row>
        <row r="1433">
          <cell r="M1433">
            <v>44617</v>
          </cell>
          <cell r="N1433">
            <v>44618</v>
          </cell>
          <cell r="Q1433">
            <v>44622</v>
          </cell>
        </row>
        <row r="1434">
          <cell r="M1434">
            <v>44618</v>
          </cell>
          <cell r="N1434">
            <v>44620</v>
          </cell>
          <cell r="Q1434">
            <v>44623</v>
          </cell>
        </row>
        <row r="1435">
          <cell r="M1435">
            <v>44620</v>
          </cell>
          <cell r="N1435">
            <v>44621</v>
          </cell>
          <cell r="Q1435">
            <v>44624</v>
          </cell>
        </row>
        <row r="1436">
          <cell r="M1436">
            <v>44621</v>
          </cell>
          <cell r="N1436">
            <v>44622</v>
          </cell>
          <cell r="Q1436">
            <v>44627</v>
          </cell>
        </row>
        <row r="1437">
          <cell r="M1437">
            <v>44622</v>
          </cell>
          <cell r="N1437">
            <v>44623</v>
          </cell>
          <cell r="Q1437">
            <v>44628</v>
          </cell>
        </row>
        <row r="1438">
          <cell r="M1438">
            <v>44623</v>
          </cell>
          <cell r="N1438">
            <v>44624</v>
          </cell>
          <cell r="Q1438">
            <v>44629</v>
          </cell>
        </row>
        <row r="1439">
          <cell r="M1439">
            <v>44624</v>
          </cell>
          <cell r="N1439">
            <v>44627</v>
          </cell>
          <cell r="Q1439">
            <v>44630</v>
          </cell>
        </row>
        <row r="1440">
          <cell r="M1440">
            <v>44627</v>
          </cell>
          <cell r="N1440">
            <v>44628</v>
          </cell>
          <cell r="Q1440">
            <v>44631</v>
          </cell>
        </row>
        <row r="1441">
          <cell r="M1441">
            <v>44628</v>
          </cell>
          <cell r="N1441">
            <v>44629</v>
          </cell>
          <cell r="Q1441">
            <v>44634</v>
          </cell>
        </row>
        <row r="1442">
          <cell r="M1442">
            <v>44629</v>
          </cell>
          <cell r="N1442">
            <v>44630</v>
          </cell>
          <cell r="Q1442">
            <v>44635</v>
          </cell>
        </row>
        <row r="1443">
          <cell r="M1443">
            <v>44630</v>
          </cell>
          <cell r="N1443">
            <v>44631</v>
          </cell>
          <cell r="Q1443">
            <v>44636</v>
          </cell>
        </row>
        <row r="1444">
          <cell r="M1444">
            <v>44631</v>
          </cell>
          <cell r="N1444">
            <v>44634</v>
          </cell>
          <cell r="Q1444">
            <v>44637</v>
          </cell>
        </row>
        <row r="1445">
          <cell r="M1445">
            <v>44634</v>
          </cell>
          <cell r="N1445">
            <v>44635</v>
          </cell>
          <cell r="Q1445">
            <v>44638</v>
          </cell>
        </row>
        <row r="1446">
          <cell r="M1446">
            <v>44635</v>
          </cell>
          <cell r="N1446">
            <v>44636</v>
          </cell>
          <cell r="Q1446">
            <v>44642</v>
          </cell>
        </row>
        <row r="1447">
          <cell r="M1447">
            <v>44636</v>
          </cell>
          <cell r="N1447">
            <v>44637</v>
          </cell>
          <cell r="Q1447">
            <v>44643</v>
          </cell>
        </row>
        <row r="1448">
          <cell r="M1448">
            <v>44637</v>
          </cell>
          <cell r="N1448">
            <v>44638</v>
          </cell>
          <cell r="Q1448">
            <v>44644</v>
          </cell>
        </row>
        <row r="1449">
          <cell r="M1449">
            <v>44638</v>
          </cell>
          <cell r="N1449">
            <v>44642</v>
          </cell>
          <cell r="Q1449">
            <v>44645</v>
          </cell>
        </row>
        <row r="1450">
          <cell r="M1450">
            <v>44642</v>
          </cell>
          <cell r="N1450">
            <v>44643</v>
          </cell>
          <cell r="Q1450">
            <v>44648</v>
          </cell>
        </row>
        <row r="1451">
          <cell r="M1451">
            <v>44643</v>
          </cell>
          <cell r="N1451">
            <v>44644</v>
          </cell>
          <cell r="Q1451">
            <v>44649</v>
          </cell>
        </row>
        <row r="1452">
          <cell r="M1452">
            <v>44644</v>
          </cell>
          <cell r="N1452">
            <v>44645</v>
          </cell>
          <cell r="Q1452">
            <v>44650</v>
          </cell>
        </row>
        <row r="1453">
          <cell r="M1453">
            <v>44645</v>
          </cell>
          <cell r="N1453">
            <v>44648</v>
          </cell>
          <cell r="Q1453">
            <v>44651</v>
          </cell>
        </row>
        <row r="1454">
          <cell r="M1454">
            <v>44648</v>
          </cell>
          <cell r="N1454">
            <v>44649</v>
          </cell>
          <cell r="Q1454">
            <v>44652</v>
          </cell>
        </row>
        <row r="1455">
          <cell r="M1455">
            <v>44649</v>
          </cell>
          <cell r="N1455">
            <v>44650</v>
          </cell>
          <cell r="Q1455">
            <v>44655</v>
          </cell>
        </row>
        <row r="1456">
          <cell r="M1456">
            <v>44650</v>
          </cell>
          <cell r="N1456">
            <v>44651</v>
          </cell>
          <cell r="Q1456">
            <v>44656</v>
          </cell>
        </row>
        <row r="1457">
          <cell r="M1457">
            <v>44651</v>
          </cell>
          <cell r="N1457">
            <v>44652</v>
          </cell>
          <cell r="Q1457">
            <v>44657</v>
          </cell>
        </row>
        <row r="1458">
          <cell r="M1458">
            <v>44652</v>
          </cell>
          <cell r="N1458">
            <v>44655</v>
          </cell>
          <cell r="Q1458">
            <v>44658</v>
          </cell>
        </row>
        <row r="1459">
          <cell r="M1459">
            <v>44655</v>
          </cell>
          <cell r="N1459">
            <v>44656</v>
          </cell>
          <cell r="Q1459">
            <v>44659</v>
          </cell>
        </row>
        <row r="1460">
          <cell r="M1460">
            <v>44656</v>
          </cell>
          <cell r="N1460">
            <v>44657</v>
          </cell>
          <cell r="Q1460">
            <v>44662</v>
          </cell>
        </row>
        <row r="1461">
          <cell r="M1461">
            <v>44657</v>
          </cell>
          <cell r="N1461">
            <v>44658</v>
          </cell>
          <cell r="Q1461">
            <v>44663</v>
          </cell>
        </row>
        <row r="1462">
          <cell r="M1462">
            <v>44658</v>
          </cell>
          <cell r="N1462">
            <v>44659</v>
          </cell>
          <cell r="Q1462">
            <v>44664</v>
          </cell>
        </row>
        <row r="1463">
          <cell r="M1463">
            <v>44659</v>
          </cell>
          <cell r="N1463">
            <v>44662</v>
          </cell>
          <cell r="Q1463">
            <v>44665</v>
          </cell>
        </row>
        <row r="1464">
          <cell r="M1464">
            <v>44662</v>
          </cell>
          <cell r="N1464">
            <v>44663</v>
          </cell>
          <cell r="Q1464">
            <v>44666</v>
          </cell>
        </row>
        <row r="1465">
          <cell r="M1465">
            <v>44663</v>
          </cell>
          <cell r="N1465">
            <v>44664</v>
          </cell>
          <cell r="Q1465">
            <v>44669</v>
          </cell>
        </row>
        <row r="1466">
          <cell r="M1466">
            <v>44664</v>
          </cell>
          <cell r="N1466">
            <v>44665</v>
          </cell>
          <cell r="Q1466">
            <v>44670</v>
          </cell>
        </row>
        <row r="1467">
          <cell r="M1467">
            <v>44665</v>
          </cell>
          <cell r="N1467">
            <v>44666</v>
          </cell>
          <cell r="Q1467">
            <v>44671</v>
          </cell>
        </row>
        <row r="1468">
          <cell r="M1468">
            <v>44666</v>
          </cell>
          <cell r="N1468">
            <v>44669</v>
          </cell>
          <cell r="Q1468">
            <v>44672</v>
          </cell>
        </row>
        <row r="1469">
          <cell r="M1469">
            <v>44669</v>
          </cell>
          <cell r="N1469">
            <v>44670</v>
          </cell>
          <cell r="Q1469">
            <v>44673</v>
          </cell>
        </row>
        <row r="1470">
          <cell r="M1470">
            <v>44670</v>
          </cell>
          <cell r="N1470">
            <v>44671</v>
          </cell>
          <cell r="Q1470">
            <v>44676</v>
          </cell>
        </row>
        <row r="1471">
          <cell r="M1471">
            <v>44671</v>
          </cell>
          <cell r="N1471">
            <v>44672</v>
          </cell>
          <cell r="Q1471">
            <v>44677</v>
          </cell>
        </row>
        <row r="1472">
          <cell r="M1472">
            <v>44672</v>
          </cell>
          <cell r="N1472">
            <v>44673</v>
          </cell>
          <cell r="Q1472">
            <v>44678</v>
          </cell>
        </row>
        <row r="1473">
          <cell r="M1473">
            <v>44673</v>
          </cell>
          <cell r="N1473">
            <v>44676</v>
          </cell>
          <cell r="Q1473">
            <v>44679</v>
          </cell>
        </row>
        <row r="1474">
          <cell r="M1474">
            <v>44676</v>
          </cell>
          <cell r="N1474">
            <v>44677</v>
          </cell>
          <cell r="Q1474">
            <v>44683</v>
          </cell>
        </row>
        <row r="1475">
          <cell r="M1475">
            <v>44677</v>
          </cell>
          <cell r="N1475">
            <v>44678</v>
          </cell>
          <cell r="Q1475">
            <v>44687</v>
          </cell>
        </row>
        <row r="1476">
          <cell r="M1476">
            <v>44678</v>
          </cell>
          <cell r="N1476">
            <v>44679</v>
          </cell>
          <cell r="Q1476">
            <v>44690</v>
          </cell>
        </row>
        <row r="1477">
          <cell r="M1477">
            <v>44679</v>
          </cell>
          <cell r="N1477">
            <v>44683</v>
          </cell>
          <cell r="Q1477">
            <v>44691</v>
          </cell>
        </row>
        <row r="1478">
          <cell r="M1478">
            <v>44683</v>
          </cell>
          <cell r="N1478">
            <v>44687</v>
          </cell>
          <cell r="Q1478">
            <v>44692</v>
          </cell>
        </row>
        <row r="1479">
          <cell r="M1479">
            <v>44687</v>
          </cell>
          <cell r="N1479">
            <v>44690</v>
          </cell>
          <cell r="Q1479">
            <v>44693</v>
          </cell>
        </row>
        <row r="1480">
          <cell r="M1480">
            <v>44690</v>
          </cell>
          <cell r="N1480">
            <v>44691</v>
          </cell>
          <cell r="Q1480">
            <v>44694</v>
          </cell>
        </row>
        <row r="1481">
          <cell r="M1481">
            <v>44691</v>
          </cell>
          <cell r="N1481">
            <v>44692</v>
          </cell>
          <cell r="Q1481">
            <v>44697</v>
          </cell>
        </row>
        <row r="1482">
          <cell r="M1482">
            <v>44692</v>
          </cell>
          <cell r="N1482">
            <v>44693</v>
          </cell>
          <cell r="Q1482">
            <v>44698</v>
          </cell>
        </row>
        <row r="1483">
          <cell r="M1483">
            <v>44693</v>
          </cell>
          <cell r="N1483">
            <v>44694</v>
          </cell>
          <cell r="Q1483">
            <v>44699</v>
          </cell>
        </row>
        <row r="1484">
          <cell r="M1484">
            <v>44694</v>
          </cell>
          <cell r="N1484">
            <v>44697</v>
          </cell>
          <cell r="Q1484">
            <v>44700</v>
          </cell>
        </row>
        <row r="1485">
          <cell r="M1485">
            <v>44697</v>
          </cell>
          <cell r="N1485">
            <v>44698</v>
          </cell>
          <cell r="Q1485">
            <v>44701</v>
          </cell>
        </row>
        <row r="1486">
          <cell r="M1486">
            <v>44698</v>
          </cell>
          <cell r="N1486">
            <v>44699</v>
          </cell>
          <cell r="Q1486">
            <v>44704</v>
          </cell>
        </row>
        <row r="1487">
          <cell r="M1487">
            <v>44699</v>
          </cell>
          <cell r="N1487">
            <v>44700</v>
          </cell>
          <cell r="Q1487">
            <v>44705</v>
          </cell>
        </row>
        <row r="1488">
          <cell r="M1488">
            <v>44700</v>
          </cell>
          <cell r="N1488">
            <v>44701</v>
          </cell>
          <cell r="Q1488">
            <v>44706</v>
          </cell>
        </row>
        <row r="1489">
          <cell r="M1489">
            <v>44701</v>
          </cell>
          <cell r="N1489">
            <v>44704</v>
          </cell>
          <cell r="Q1489">
            <v>44707</v>
          </cell>
        </row>
        <row r="1490">
          <cell r="M1490">
            <v>44704</v>
          </cell>
          <cell r="N1490">
            <v>44705</v>
          </cell>
          <cell r="Q1490">
            <v>44708</v>
          </cell>
        </row>
        <row r="1491">
          <cell r="M1491">
            <v>44705</v>
          </cell>
          <cell r="N1491">
            <v>44706</v>
          </cell>
          <cell r="Q1491">
            <v>44711</v>
          </cell>
        </row>
        <row r="1492">
          <cell r="M1492">
            <v>44706</v>
          </cell>
          <cell r="N1492">
            <v>44707</v>
          </cell>
          <cell r="Q1492">
            <v>44712</v>
          </cell>
        </row>
        <row r="1493">
          <cell r="M1493">
            <v>44707</v>
          </cell>
          <cell r="N1493">
            <v>44708</v>
          </cell>
          <cell r="Q1493">
            <v>44713</v>
          </cell>
        </row>
        <row r="1494">
          <cell r="M1494">
            <v>44708</v>
          </cell>
          <cell r="N1494">
            <v>44711</v>
          </cell>
          <cell r="Q1494">
            <v>44714</v>
          </cell>
        </row>
        <row r="1495">
          <cell r="M1495">
            <v>44711</v>
          </cell>
          <cell r="N1495">
            <v>44712</v>
          </cell>
          <cell r="Q1495">
            <v>44715</v>
          </cell>
        </row>
        <row r="1496">
          <cell r="M1496">
            <v>44712</v>
          </cell>
          <cell r="N1496">
            <v>44713</v>
          </cell>
          <cell r="Q1496">
            <v>44718</v>
          </cell>
        </row>
        <row r="1497">
          <cell r="M1497">
            <v>44713</v>
          </cell>
          <cell r="N1497">
            <v>44714</v>
          </cell>
          <cell r="Q1497">
            <v>44719</v>
          </cell>
        </row>
        <row r="1498">
          <cell r="M1498">
            <v>44714</v>
          </cell>
          <cell r="N1498">
            <v>44715</v>
          </cell>
          <cell r="Q1498">
            <v>44720</v>
          </cell>
        </row>
        <row r="1499">
          <cell r="M1499">
            <v>44715</v>
          </cell>
          <cell r="N1499">
            <v>44718</v>
          </cell>
          <cell r="Q1499">
            <v>44721</v>
          </cell>
        </row>
        <row r="1500">
          <cell r="M1500">
            <v>44718</v>
          </cell>
          <cell r="N1500">
            <v>44719</v>
          </cell>
          <cell r="Q1500">
            <v>44722</v>
          </cell>
        </row>
        <row r="1501">
          <cell r="M1501">
            <v>44719</v>
          </cell>
          <cell r="N1501">
            <v>44720</v>
          </cell>
          <cell r="Q1501">
            <v>44725</v>
          </cell>
        </row>
        <row r="1502">
          <cell r="M1502">
            <v>44720</v>
          </cell>
          <cell r="N1502">
            <v>44721</v>
          </cell>
          <cell r="Q1502">
            <v>44726</v>
          </cell>
        </row>
        <row r="1503">
          <cell r="M1503">
            <v>44721</v>
          </cell>
          <cell r="N1503">
            <v>44722</v>
          </cell>
          <cell r="Q1503">
            <v>44727</v>
          </cell>
        </row>
        <row r="1504">
          <cell r="M1504">
            <v>44722</v>
          </cell>
          <cell r="N1504">
            <v>44725</v>
          </cell>
          <cell r="Q1504">
            <v>44728</v>
          </cell>
        </row>
        <row r="1505">
          <cell r="M1505">
            <v>44725</v>
          </cell>
          <cell r="N1505">
            <v>44726</v>
          </cell>
          <cell r="Q1505">
            <v>44729</v>
          </cell>
        </row>
        <row r="1506">
          <cell r="M1506">
            <v>44726</v>
          </cell>
          <cell r="N1506">
            <v>44727</v>
          </cell>
          <cell r="Q1506">
            <v>44732</v>
          </cell>
        </row>
        <row r="1507">
          <cell r="M1507">
            <v>44727</v>
          </cell>
          <cell r="N1507">
            <v>44728</v>
          </cell>
          <cell r="Q1507">
            <v>44733</v>
          </cell>
        </row>
        <row r="1508">
          <cell r="M1508">
            <v>44728</v>
          </cell>
          <cell r="N1508">
            <v>44729</v>
          </cell>
          <cell r="Q1508">
            <v>44734</v>
          </cell>
        </row>
        <row r="1509">
          <cell r="M1509">
            <v>44729</v>
          </cell>
          <cell r="N1509">
            <v>44732</v>
          </cell>
          <cell r="Q1509">
            <v>44735</v>
          </cell>
        </row>
        <row r="1510">
          <cell r="M1510">
            <v>44732</v>
          </cell>
          <cell r="N1510">
            <v>44733</v>
          </cell>
          <cell r="Q1510">
            <v>44736</v>
          </cell>
        </row>
        <row r="1511">
          <cell r="M1511">
            <v>44733</v>
          </cell>
          <cell r="N1511">
            <v>44734</v>
          </cell>
          <cell r="Q1511">
            <v>44739</v>
          </cell>
        </row>
        <row r="1512">
          <cell r="M1512">
            <v>44734</v>
          </cell>
          <cell r="N1512">
            <v>44735</v>
          </cell>
          <cell r="Q1512">
            <v>44740</v>
          </cell>
        </row>
        <row r="1513">
          <cell r="M1513">
            <v>44735</v>
          </cell>
          <cell r="N1513">
            <v>44736</v>
          </cell>
          <cell r="Q1513">
            <v>44741</v>
          </cell>
        </row>
        <row r="1514">
          <cell r="M1514">
            <v>44736</v>
          </cell>
          <cell r="N1514">
            <v>44739</v>
          </cell>
          <cell r="Q1514">
            <v>44742</v>
          </cell>
        </row>
        <row r="1515">
          <cell r="M1515">
            <v>44739</v>
          </cell>
          <cell r="N1515">
            <v>44740</v>
          </cell>
          <cell r="Q1515">
            <v>44743</v>
          </cell>
        </row>
        <row r="1516">
          <cell r="M1516">
            <v>44740</v>
          </cell>
          <cell r="N1516">
            <v>44741</v>
          </cell>
          <cell r="Q1516">
            <v>44746</v>
          </cell>
        </row>
        <row r="1517">
          <cell r="M1517">
            <v>44741</v>
          </cell>
          <cell r="N1517">
            <v>44742</v>
          </cell>
          <cell r="Q1517">
            <v>44747</v>
          </cell>
        </row>
        <row r="1518">
          <cell r="M1518">
            <v>44742</v>
          </cell>
          <cell r="N1518">
            <v>44743</v>
          </cell>
          <cell r="Q1518">
            <v>44748</v>
          </cell>
        </row>
        <row r="1519">
          <cell r="M1519">
            <v>44743</v>
          </cell>
          <cell r="N1519">
            <v>44746</v>
          </cell>
          <cell r="Q1519">
            <v>44749</v>
          </cell>
        </row>
        <row r="1520">
          <cell r="M1520">
            <v>44746</v>
          </cell>
          <cell r="N1520">
            <v>44747</v>
          </cell>
          <cell r="Q1520">
            <v>44750</v>
          </cell>
        </row>
        <row r="1521">
          <cell r="M1521">
            <v>44747</v>
          </cell>
          <cell r="N1521">
            <v>44748</v>
          </cell>
          <cell r="Q1521">
            <v>44753</v>
          </cell>
        </row>
        <row r="1522">
          <cell r="M1522">
            <v>44748</v>
          </cell>
          <cell r="N1522">
            <v>44749</v>
          </cell>
          <cell r="Q1522">
            <v>44754</v>
          </cell>
        </row>
        <row r="1523">
          <cell r="M1523">
            <v>44749</v>
          </cell>
          <cell r="N1523">
            <v>44750</v>
          </cell>
          <cell r="Q1523">
            <v>44755</v>
          </cell>
        </row>
        <row r="1524">
          <cell r="M1524">
            <v>44750</v>
          </cell>
          <cell r="N1524">
            <v>44753</v>
          </cell>
          <cell r="Q1524">
            <v>44756</v>
          </cell>
        </row>
        <row r="1525">
          <cell r="M1525">
            <v>44753</v>
          </cell>
          <cell r="N1525">
            <v>44754</v>
          </cell>
          <cell r="Q1525">
            <v>44757</v>
          </cell>
        </row>
        <row r="1526">
          <cell r="M1526">
            <v>44754</v>
          </cell>
          <cell r="N1526">
            <v>44755</v>
          </cell>
          <cell r="Q1526">
            <v>44761</v>
          </cell>
        </row>
        <row r="1527">
          <cell r="M1527">
            <v>44755</v>
          </cell>
          <cell r="N1527">
            <v>44756</v>
          </cell>
          <cell r="Q1527">
            <v>44762</v>
          </cell>
        </row>
        <row r="1528">
          <cell r="M1528">
            <v>44756</v>
          </cell>
          <cell r="N1528">
            <v>44757</v>
          </cell>
          <cell r="Q1528">
            <v>44763</v>
          </cell>
        </row>
        <row r="1529">
          <cell r="M1529">
            <v>44757</v>
          </cell>
          <cell r="N1529">
            <v>44761</v>
          </cell>
          <cell r="Q1529">
            <v>44764</v>
          </cell>
        </row>
        <row r="1530">
          <cell r="M1530">
            <v>44761</v>
          </cell>
          <cell r="N1530">
            <v>44762</v>
          </cell>
          <cell r="Q1530">
            <v>44767</v>
          </cell>
        </row>
        <row r="1531">
          <cell r="M1531">
            <v>44762</v>
          </cell>
          <cell r="N1531">
            <v>44763</v>
          </cell>
          <cell r="Q1531">
            <v>44768</v>
          </cell>
        </row>
        <row r="1532">
          <cell r="M1532">
            <v>44763</v>
          </cell>
          <cell r="N1532">
            <v>44764</v>
          </cell>
          <cell r="Q1532">
            <v>44769</v>
          </cell>
        </row>
        <row r="1533">
          <cell r="M1533">
            <v>44764</v>
          </cell>
          <cell r="N1533">
            <v>44767</v>
          </cell>
          <cell r="Q1533">
            <v>44770</v>
          </cell>
        </row>
        <row r="1534">
          <cell r="M1534">
            <v>44767</v>
          </cell>
          <cell r="N1534">
            <v>44768</v>
          </cell>
          <cell r="Q1534">
            <v>44771</v>
          </cell>
        </row>
        <row r="1535">
          <cell r="M1535">
            <v>44768</v>
          </cell>
          <cell r="N1535">
            <v>44769</v>
          </cell>
          <cell r="Q1535">
            <v>44774</v>
          </cell>
        </row>
        <row r="1536">
          <cell r="M1536">
            <v>44769</v>
          </cell>
          <cell r="N1536">
            <v>44770</v>
          </cell>
          <cell r="Q1536">
            <v>44775</v>
          </cell>
        </row>
        <row r="1537">
          <cell r="M1537">
            <v>44770</v>
          </cell>
          <cell r="N1537">
            <v>44771</v>
          </cell>
          <cell r="Q1537">
            <v>44776</v>
          </cell>
        </row>
        <row r="1538">
          <cell r="M1538">
            <v>44771</v>
          </cell>
          <cell r="N1538">
            <v>44774</v>
          </cell>
          <cell r="Q1538">
            <v>44777</v>
          </cell>
        </row>
        <row r="1539">
          <cell r="M1539">
            <v>44774</v>
          </cell>
          <cell r="N1539">
            <v>44775</v>
          </cell>
          <cell r="Q1539">
            <v>44778</v>
          </cell>
        </row>
        <row r="1540">
          <cell r="M1540">
            <v>44775</v>
          </cell>
          <cell r="N1540">
            <v>44776</v>
          </cell>
          <cell r="Q1540">
            <v>44781</v>
          </cell>
        </row>
        <row r="1541">
          <cell r="M1541">
            <v>44776</v>
          </cell>
          <cell r="N1541">
            <v>44777</v>
          </cell>
          <cell r="Q1541">
            <v>44782</v>
          </cell>
        </row>
        <row r="1542">
          <cell r="M1542">
            <v>44777</v>
          </cell>
          <cell r="N1542">
            <v>44778</v>
          </cell>
          <cell r="Q1542">
            <v>44783</v>
          </cell>
        </row>
        <row r="1543">
          <cell r="M1543">
            <v>44778</v>
          </cell>
          <cell r="N1543">
            <v>44781</v>
          </cell>
          <cell r="Q1543">
            <v>44789</v>
          </cell>
        </row>
        <row r="1544">
          <cell r="M1544">
            <v>44781</v>
          </cell>
          <cell r="N1544">
            <v>44782</v>
          </cell>
          <cell r="Q1544">
            <v>44790</v>
          </cell>
        </row>
        <row r="1545">
          <cell r="M1545">
            <v>44782</v>
          </cell>
          <cell r="N1545">
            <v>44783</v>
          </cell>
          <cell r="Q1545">
            <v>44791</v>
          </cell>
        </row>
        <row r="1546">
          <cell r="M1546">
            <v>44783</v>
          </cell>
          <cell r="N1546">
            <v>44789</v>
          </cell>
          <cell r="Q1546">
            <v>44792</v>
          </cell>
        </row>
        <row r="1547">
          <cell r="M1547">
            <v>44789</v>
          </cell>
          <cell r="N1547">
            <v>44790</v>
          </cell>
          <cell r="Q1547">
            <v>44795</v>
          </cell>
        </row>
        <row r="1548">
          <cell r="M1548">
            <v>44790</v>
          </cell>
          <cell r="N1548">
            <v>44791</v>
          </cell>
          <cell r="Q1548">
            <v>44796</v>
          </cell>
        </row>
        <row r="1549">
          <cell r="M1549">
            <v>44791</v>
          </cell>
          <cell r="N1549">
            <v>44792</v>
          </cell>
          <cell r="Q1549">
            <v>44797</v>
          </cell>
        </row>
        <row r="1550">
          <cell r="M1550">
            <v>44792</v>
          </cell>
          <cell r="N1550">
            <v>44795</v>
          </cell>
          <cell r="Q1550">
            <v>44798</v>
          </cell>
        </row>
        <row r="1551">
          <cell r="M1551">
            <v>44795</v>
          </cell>
          <cell r="N1551">
            <v>44796</v>
          </cell>
          <cell r="Q1551">
            <v>44799</v>
          </cell>
        </row>
        <row r="1552">
          <cell r="M1552">
            <v>44796</v>
          </cell>
          <cell r="N1552">
            <v>44797</v>
          </cell>
          <cell r="Q1552">
            <v>44802</v>
          </cell>
        </row>
        <row r="1553">
          <cell r="M1553">
            <v>44797</v>
          </cell>
          <cell r="N1553">
            <v>44798</v>
          </cell>
          <cell r="Q1553">
            <v>44803</v>
          </cell>
        </row>
        <row r="1554">
          <cell r="M1554">
            <v>44798</v>
          </cell>
          <cell r="N1554">
            <v>44799</v>
          </cell>
          <cell r="Q1554">
            <v>44804</v>
          </cell>
        </row>
        <row r="1555">
          <cell r="M1555">
            <v>44799</v>
          </cell>
          <cell r="N1555">
            <v>44802</v>
          </cell>
          <cell r="Q1555">
            <v>44805</v>
          </cell>
        </row>
        <row r="1556">
          <cell r="M1556">
            <v>44802</v>
          </cell>
          <cell r="N1556">
            <v>44803</v>
          </cell>
          <cell r="Q1556">
            <v>44806</v>
          </cell>
        </row>
        <row r="1557">
          <cell r="M1557">
            <v>44803</v>
          </cell>
          <cell r="N1557">
            <v>44804</v>
          </cell>
          <cell r="Q1557">
            <v>44809</v>
          </cell>
        </row>
        <row r="1558">
          <cell r="M1558">
            <v>44804</v>
          </cell>
          <cell r="N1558">
            <v>44805</v>
          </cell>
          <cell r="Q1558">
            <v>44810</v>
          </cell>
        </row>
        <row r="1559">
          <cell r="M1559">
            <v>44805</v>
          </cell>
          <cell r="N1559">
            <v>44806</v>
          </cell>
          <cell r="Q1559">
            <v>44811</v>
          </cell>
        </row>
        <row r="1560">
          <cell r="M1560">
            <v>44806</v>
          </cell>
          <cell r="N1560">
            <v>44809</v>
          </cell>
          <cell r="Q1560">
            <v>44812</v>
          </cell>
        </row>
        <row r="1561">
          <cell r="M1561">
            <v>44809</v>
          </cell>
          <cell r="N1561">
            <v>44810</v>
          </cell>
          <cell r="Q1561">
            <v>44813</v>
          </cell>
        </row>
        <row r="1562">
          <cell r="M1562">
            <v>44810</v>
          </cell>
          <cell r="N1562">
            <v>44811</v>
          </cell>
          <cell r="Q1562">
            <v>44816</v>
          </cell>
        </row>
        <row r="1563">
          <cell r="M1563">
            <v>44811</v>
          </cell>
          <cell r="N1563">
            <v>44812</v>
          </cell>
          <cell r="Q1563">
            <v>44817</v>
          </cell>
        </row>
        <row r="1564">
          <cell r="M1564">
            <v>44812</v>
          </cell>
          <cell r="N1564">
            <v>44813</v>
          </cell>
          <cell r="Q1564">
            <v>44818</v>
          </cell>
        </row>
        <row r="1565">
          <cell r="M1565">
            <v>44813</v>
          </cell>
          <cell r="N1565">
            <v>44816</v>
          </cell>
          <cell r="Q1565">
            <v>44819</v>
          </cell>
        </row>
        <row r="1566">
          <cell r="M1566">
            <v>44816</v>
          </cell>
          <cell r="N1566">
            <v>44817</v>
          </cell>
          <cell r="Q1566">
            <v>44820</v>
          </cell>
        </row>
        <row r="1567">
          <cell r="M1567">
            <v>44817</v>
          </cell>
          <cell r="N1567">
            <v>44818</v>
          </cell>
          <cell r="Q1567">
            <v>44824</v>
          </cell>
        </row>
        <row r="1568">
          <cell r="M1568">
            <v>44818</v>
          </cell>
          <cell r="N1568">
            <v>44819</v>
          </cell>
          <cell r="Q1568">
            <v>44825</v>
          </cell>
        </row>
        <row r="1569">
          <cell r="M1569">
            <v>44819</v>
          </cell>
          <cell r="N1569">
            <v>44820</v>
          </cell>
          <cell r="Q1569">
            <v>44826</v>
          </cell>
        </row>
        <row r="1570">
          <cell r="M1570">
            <v>44820</v>
          </cell>
          <cell r="N1570">
            <v>44824</v>
          </cell>
          <cell r="Q1570">
            <v>44828</v>
          </cell>
        </row>
        <row r="1571">
          <cell r="M1571">
            <v>44824</v>
          </cell>
          <cell r="N1571">
            <v>44825</v>
          </cell>
          <cell r="Q1571">
            <v>44830</v>
          </cell>
        </row>
        <row r="1572">
          <cell r="M1572">
            <v>44825</v>
          </cell>
          <cell r="N1572">
            <v>44826</v>
          </cell>
          <cell r="Q1572">
            <v>44831</v>
          </cell>
        </row>
        <row r="1573">
          <cell r="M1573">
            <v>44826</v>
          </cell>
          <cell r="N1573">
            <v>44828</v>
          </cell>
          <cell r="Q1573">
            <v>44832</v>
          </cell>
        </row>
        <row r="1574">
          <cell r="M1574">
            <v>44828</v>
          </cell>
          <cell r="N1574">
            <v>44830</v>
          </cell>
          <cell r="Q1574">
            <v>44833</v>
          </cell>
        </row>
        <row r="1575">
          <cell r="M1575">
            <v>44830</v>
          </cell>
          <cell r="N1575">
            <v>44831</v>
          </cell>
          <cell r="Q1575">
            <v>44834</v>
          </cell>
        </row>
        <row r="1576">
          <cell r="M1576">
            <v>44831</v>
          </cell>
          <cell r="N1576">
            <v>44832</v>
          </cell>
          <cell r="Q1576">
            <v>44837</v>
          </cell>
        </row>
        <row r="1577">
          <cell r="M1577">
            <v>44832</v>
          </cell>
          <cell r="N1577">
            <v>44833</v>
          </cell>
          <cell r="Q1577">
            <v>44838</v>
          </cell>
        </row>
        <row r="1578">
          <cell r="M1578">
            <v>44833</v>
          </cell>
          <cell r="N1578">
            <v>44834</v>
          </cell>
          <cell r="Q1578">
            <v>44839</v>
          </cell>
        </row>
        <row r="1579">
          <cell r="M1579">
            <v>44834</v>
          </cell>
          <cell r="N1579">
            <v>44837</v>
          </cell>
          <cell r="Q1579">
            <v>44840</v>
          </cell>
        </row>
        <row r="1580">
          <cell r="M1580">
            <v>44837</v>
          </cell>
          <cell r="N1580">
            <v>44838</v>
          </cell>
          <cell r="Q1580">
            <v>44841</v>
          </cell>
        </row>
        <row r="1581">
          <cell r="M1581">
            <v>44838</v>
          </cell>
          <cell r="N1581">
            <v>44839</v>
          </cell>
          <cell r="Q1581">
            <v>44845</v>
          </cell>
        </row>
        <row r="1582">
          <cell r="M1582">
            <v>44839</v>
          </cell>
          <cell r="N1582">
            <v>44840</v>
          </cell>
          <cell r="Q1582">
            <v>44846</v>
          </cell>
        </row>
        <row r="1583">
          <cell r="M1583">
            <v>44840</v>
          </cell>
          <cell r="N1583">
            <v>44841</v>
          </cell>
          <cell r="Q1583">
            <v>44847</v>
          </cell>
        </row>
        <row r="1584">
          <cell r="M1584">
            <v>44841</v>
          </cell>
          <cell r="N1584">
            <v>44845</v>
          </cell>
          <cell r="Q1584">
            <v>44848</v>
          </cell>
        </row>
        <row r="1585">
          <cell r="M1585">
            <v>44845</v>
          </cell>
          <cell r="N1585">
            <v>44846</v>
          </cell>
          <cell r="Q1585">
            <v>44851</v>
          </cell>
        </row>
        <row r="1586">
          <cell r="M1586">
            <v>44846</v>
          </cell>
          <cell r="N1586">
            <v>44847</v>
          </cell>
          <cell r="Q1586">
            <v>44852</v>
          </cell>
        </row>
        <row r="1587">
          <cell r="M1587">
            <v>44847</v>
          </cell>
          <cell r="N1587">
            <v>44848</v>
          </cell>
          <cell r="Q1587">
            <v>44853</v>
          </cell>
        </row>
        <row r="1588">
          <cell r="M1588">
            <v>44848</v>
          </cell>
          <cell r="N1588">
            <v>44851</v>
          </cell>
          <cell r="Q1588">
            <v>44854</v>
          </cell>
        </row>
        <row r="1589">
          <cell r="M1589">
            <v>44851</v>
          </cell>
          <cell r="N1589">
            <v>44852</v>
          </cell>
          <cell r="Q1589">
            <v>44855</v>
          </cell>
        </row>
        <row r="1590">
          <cell r="M1590">
            <v>44852</v>
          </cell>
          <cell r="N1590">
            <v>44853</v>
          </cell>
          <cell r="Q1590">
            <v>44858</v>
          </cell>
        </row>
        <row r="1591">
          <cell r="M1591">
            <v>44853</v>
          </cell>
          <cell r="N1591">
            <v>44854</v>
          </cell>
          <cell r="Q1591">
            <v>44859</v>
          </cell>
        </row>
        <row r="1592">
          <cell r="M1592">
            <v>44854</v>
          </cell>
          <cell r="N1592">
            <v>44855</v>
          </cell>
          <cell r="Q1592">
            <v>44860</v>
          </cell>
        </row>
        <row r="1593">
          <cell r="M1593">
            <v>44855</v>
          </cell>
          <cell r="N1593">
            <v>44858</v>
          </cell>
          <cell r="Q1593">
            <v>44861</v>
          </cell>
        </row>
        <row r="1594">
          <cell r="M1594">
            <v>44858</v>
          </cell>
          <cell r="N1594">
            <v>44859</v>
          </cell>
          <cell r="Q1594">
            <v>44862</v>
          </cell>
        </row>
        <row r="1595">
          <cell r="M1595">
            <v>44859</v>
          </cell>
          <cell r="N1595">
            <v>44860</v>
          </cell>
          <cell r="Q1595">
            <v>44865</v>
          </cell>
        </row>
        <row r="1596">
          <cell r="M1596">
            <v>44860</v>
          </cell>
          <cell r="N1596">
            <v>44861</v>
          </cell>
          <cell r="Q1596">
            <v>44866</v>
          </cell>
        </row>
        <row r="1597">
          <cell r="M1597">
            <v>44861</v>
          </cell>
          <cell r="N1597">
            <v>44862</v>
          </cell>
          <cell r="Q1597">
            <v>44867</v>
          </cell>
        </row>
        <row r="1598">
          <cell r="M1598">
            <v>44862</v>
          </cell>
          <cell r="N1598">
            <v>44865</v>
          </cell>
          <cell r="Q1598">
            <v>44869</v>
          </cell>
        </row>
        <row r="1599">
          <cell r="M1599">
            <v>44865</v>
          </cell>
          <cell r="N1599">
            <v>44866</v>
          </cell>
          <cell r="Q1599">
            <v>44870</v>
          </cell>
        </row>
        <row r="1600">
          <cell r="M1600">
            <v>44866</v>
          </cell>
          <cell r="N1600">
            <v>44867</v>
          </cell>
          <cell r="Q1600">
            <v>44872</v>
          </cell>
        </row>
        <row r="1601">
          <cell r="M1601">
            <v>44867</v>
          </cell>
          <cell r="N1601">
            <v>44869</v>
          </cell>
          <cell r="Q1601">
            <v>44873</v>
          </cell>
        </row>
        <row r="1602">
          <cell r="M1602">
            <v>44869</v>
          </cell>
          <cell r="N1602">
            <v>44870</v>
          </cell>
          <cell r="Q1602">
            <v>44874</v>
          </cell>
        </row>
        <row r="1603">
          <cell r="M1603">
            <v>44870</v>
          </cell>
          <cell r="N1603">
            <v>44872</v>
          </cell>
          <cell r="Q1603">
            <v>44875</v>
          </cell>
        </row>
        <row r="1604">
          <cell r="M1604">
            <v>44872</v>
          </cell>
          <cell r="N1604">
            <v>44873</v>
          </cell>
          <cell r="Q1604">
            <v>44876</v>
          </cell>
        </row>
        <row r="1605">
          <cell r="M1605">
            <v>44873</v>
          </cell>
          <cell r="N1605">
            <v>44874</v>
          </cell>
          <cell r="Q1605">
            <v>44879</v>
          </cell>
        </row>
        <row r="1606">
          <cell r="M1606">
            <v>44874</v>
          </cell>
          <cell r="N1606">
            <v>44875</v>
          </cell>
          <cell r="Q1606">
            <v>44880</v>
          </cell>
        </row>
        <row r="1607">
          <cell r="M1607">
            <v>44875</v>
          </cell>
          <cell r="N1607">
            <v>44876</v>
          </cell>
          <cell r="Q1607">
            <v>44881</v>
          </cell>
        </row>
        <row r="1608">
          <cell r="M1608">
            <v>44876</v>
          </cell>
          <cell r="N1608">
            <v>44879</v>
          </cell>
          <cell r="Q1608">
            <v>44882</v>
          </cell>
        </row>
        <row r="1609">
          <cell r="M1609">
            <v>44879</v>
          </cell>
          <cell r="N1609">
            <v>44880</v>
          </cell>
          <cell r="Q1609">
            <v>44883</v>
          </cell>
        </row>
        <row r="1610">
          <cell r="M1610">
            <v>44880</v>
          </cell>
          <cell r="N1610">
            <v>44881</v>
          </cell>
          <cell r="Q1610">
            <v>44886</v>
          </cell>
        </row>
        <row r="1611">
          <cell r="M1611">
            <v>44881</v>
          </cell>
          <cell r="N1611">
            <v>44882</v>
          </cell>
          <cell r="Q1611">
            <v>44887</v>
          </cell>
        </row>
        <row r="1612">
          <cell r="M1612">
            <v>44882</v>
          </cell>
          <cell r="N1612">
            <v>44883</v>
          </cell>
          <cell r="Q1612">
            <v>44889</v>
          </cell>
        </row>
        <row r="1613">
          <cell r="M1613">
            <v>44883</v>
          </cell>
          <cell r="N1613">
            <v>44886</v>
          </cell>
          <cell r="Q1613">
            <v>44890</v>
          </cell>
        </row>
        <row r="1614">
          <cell r="M1614">
            <v>44886</v>
          </cell>
          <cell r="N1614">
            <v>44887</v>
          </cell>
          <cell r="Q1614">
            <v>44891</v>
          </cell>
        </row>
        <row r="1615">
          <cell r="M1615">
            <v>44887</v>
          </cell>
          <cell r="N1615">
            <v>44889</v>
          </cell>
          <cell r="Q1615">
            <v>44893</v>
          </cell>
        </row>
        <row r="1616">
          <cell r="M1616">
            <v>44889</v>
          </cell>
          <cell r="N1616">
            <v>44890</v>
          </cell>
          <cell r="Q1616">
            <v>44894</v>
          </cell>
        </row>
        <row r="1617">
          <cell r="M1617">
            <v>44890</v>
          </cell>
          <cell r="N1617">
            <v>44891</v>
          </cell>
          <cell r="Q1617">
            <v>44895</v>
          </cell>
        </row>
        <row r="1618">
          <cell r="M1618">
            <v>44891</v>
          </cell>
          <cell r="N1618">
            <v>44893</v>
          </cell>
          <cell r="Q1618">
            <v>44896</v>
          </cell>
        </row>
        <row r="1619">
          <cell r="M1619">
            <v>44893</v>
          </cell>
          <cell r="N1619">
            <v>44894</v>
          </cell>
          <cell r="Q1619">
            <v>44897</v>
          </cell>
        </row>
        <row r="1620">
          <cell r="M1620">
            <v>44894</v>
          </cell>
          <cell r="N1620">
            <v>44895</v>
          </cell>
          <cell r="Q1620">
            <v>44900</v>
          </cell>
        </row>
        <row r="1621">
          <cell r="M1621">
            <v>44895</v>
          </cell>
          <cell r="N1621">
            <v>44896</v>
          </cell>
          <cell r="Q1621">
            <v>44901</v>
          </cell>
        </row>
        <row r="1622">
          <cell r="M1622">
            <v>44896</v>
          </cell>
          <cell r="N1622">
            <v>44897</v>
          </cell>
          <cell r="Q1622">
            <v>44902</v>
          </cell>
        </row>
        <row r="1623">
          <cell r="M1623">
            <v>44897</v>
          </cell>
          <cell r="N1623">
            <v>44900</v>
          </cell>
          <cell r="Q1623">
            <v>44903</v>
          </cell>
        </row>
        <row r="1624">
          <cell r="M1624">
            <v>44900</v>
          </cell>
          <cell r="N1624">
            <v>44901</v>
          </cell>
          <cell r="Q1624">
            <v>44904</v>
          </cell>
        </row>
        <row r="1625">
          <cell r="M1625">
            <v>44901</v>
          </cell>
          <cell r="N1625">
            <v>44902</v>
          </cell>
          <cell r="Q1625">
            <v>44907</v>
          </cell>
        </row>
        <row r="1626">
          <cell r="M1626">
            <v>44902</v>
          </cell>
          <cell r="N1626">
            <v>44903</v>
          </cell>
          <cell r="Q1626">
            <v>44908</v>
          </cell>
        </row>
        <row r="1627">
          <cell r="M1627">
            <v>44903</v>
          </cell>
          <cell r="N1627">
            <v>44904</v>
          </cell>
          <cell r="Q1627">
            <v>44909</v>
          </cell>
        </row>
        <row r="1628">
          <cell r="M1628">
            <v>44904</v>
          </cell>
          <cell r="N1628">
            <v>44907</v>
          </cell>
          <cell r="Q1628">
            <v>44910</v>
          </cell>
        </row>
        <row r="1629">
          <cell r="M1629">
            <v>44907</v>
          </cell>
          <cell r="N1629">
            <v>44908</v>
          </cell>
          <cell r="Q1629">
            <v>44911</v>
          </cell>
        </row>
        <row r="1630">
          <cell r="M1630">
            <v>44908</v>
          </cell>
          <cell r="N1630">
            <v>44909</v>
          </cell>
          <cell r="Q1630">
            <v>44914</v>
          </cell>
        </row>
        <row r="1631">
          <cell r="M1631">
            <v>44909</v>
          </cell>
          <cell r="N1631">
            <v>44910</v>
          </cell>
          <cell r="Q1631">
            <v>44915</v>
          </cell>
        </row>
        <row r="1632">
          <cell r="M1632">
            <v>44910</v>
          </cell>
          <cell r="N1632">
            <v>44911</v>
          </cell>
          <cell r="Q1632">
            <v>44916</v>
          </cell>
        </row>
        <row r="1633">
          <cell r="M1633">
            <v>44911</v>
          </cell>
          <cell r="N1633">
            <v>44914</v>
          </cell>
          <cell r="Q1633">
            <v>44917</v>
          </cell>
        </row>
        <row r="1634">
          <cell r="M1634">
            <v>44914</v>
          </cell>
          <cell r="N1634">
            <v>44915</v>
          </cell>
          <cell r="Q1634">
            <v>44918</v>
          </cell>
        </row>
        <row r="1635">
          <cell r="M1635">
            <v>44915</v>
          </cell>
          <cell r="N1635">
            <v>44916</v>
          </cell>
          <cell r="Q1635">
            <v>44921</v>
          </cell>
        </row>
        <row r="1636">
          <cell r="M1636">
            <v>44916</v>
          </cell>
          <cell r="N1636">
            <v>44917</v>
          </cell>
          <cell r="Q1636">
            <v>44922</v>
          </cell>
        </row>
        <row r="1637">
          <cell r="M1637">
            <v>44917</v>
          </cell>
          <cell r="N1637">
            <v>44918</v>
          </cell>
          <cell r="Q1637">
            <v>44923</v>
          </cell>
        </row>
        <row r="1638">
          <cell r="M1638">
            <v>44918</v>
          </cell>
          <cell r="N1638">
            <v>44921</v>
          </cell>
          <cell r="Q1638">
            <v>44931</v>
          </cell>
        </row>
        <row r="1639">
          <cell r="M1639">
            <v>44921</v>
          </cell>
          <cell r="N1639">
            <v>44922</v>
          </cell>
          <cell r="Q1639">
            <v>44932</v>
          </cell>
        </row>
        <row r="1640">
          <cell r="M1640">
            <v>44922</v>
          </cell>
          <cell r="N1640">
            <v>44923</v>
          </cell>
          <cell r="Q1640">
            <v>44933</v>
          </cell>
        </row>
        <row r="1641">
          <cell r="M1641">
            <v>44923</v>
          </cell>
          <cell r="N1641">
            <v>44931</v>
          </cell>
          <cell r="Q1641">
            <v>44936</v>
          </cell>
        </row>
        <row r="1642">
          <cell r="M1642">
            <v>44931</v>
          </cell>
          <cell r="N1642">
            <v>44932</v>
          </cell>
          <cell r="Q1642">
            <v>44937</v>
          </cell>
        </row>
        <row r="1643">
          <cell r="M1643">
            <v>44932</v>
          </cell>
          <cell r="N1643">
            <v>44933</v>
          </cell>
          <cell r="Q1643">
            <v>44938</v>
          </cell>
        </row>
        <row r="1644">
          <cell r="M1644">
            <v>44933</v>
          </cell>
          <cell r="N1644">
            <v>44936</v>
          </cell>
          <cell r="Q1644">
            <v>44939</v>
          </cell>
        </row>
        <row r="1645">
          <cell r="M1645">
            <v>44936</v>
          </cell>
          <cell r="N1645">
            <v>44937</v>
          </cell>
          <cell r="Q1645">
            <v>44942</v>
          </cell>
        </row>
        <row r="1646">
          <cell r="M1646">
            <v>44937</v>
          </cell>
          <cell r="N1646">
            <v>44938</v>
          </cell>
          <cell r="Q1646">
            <v>44943</v>
          </cell>
        </row>
        <row r="1647">
          <cell r="M1647">
            <v>44938</v>
          </cell>
          <cell r="N1647">
            <v>44939</v>
          </cell>
          <cell r="Q1647">
            <v>44944</v>
          </cell>
        </row>
        <row r="1648">
          <cell r="M1648">
            <v>44939</v>
          </cell>
          <cell r="N1648">
            <v>44942</v>
          </cell>
          <cell r="Q1648">
            <v>44945</v>
          </cell>
        </row>
        <row r="1649">
          <cell r="M1649">
            <v>44942</v>
          </cell>
          <cell r="N1649">
            <v>44943</v>
          </cell>
          <cell r="Q1649">
            <v>44946</v>
          </cell>
        </row>
        <row r="1650">
          <cell r="M1650">
            <v>44943</v>
          </cell>
          <cell r="N1650">
            <v>44944</v>
          </cell>
          <cell r="Q1650">
            <v>44949</v>
          </cell>
        </row>
        <row r="1651">
          <cell r="M1651">
            <v>44944</v>
          </cell>
          <cell r="N1651">
            <v>44945</v>
          </cell>
          <cell r="Q1651">
            <v>44950</v>
          </cell>
        </row>
        <row r="1652">
          <cell r="M1652">
            <v>44945</v>
          </cell>
          <cell r="N1652">
            <v>44946</v>
          </cell>
          <cell r="Q1652">
            <v>44951</v>
          </cell>
        </row>
        <row r="1653">
          <cell r="M1653">
            <v>44946</v>
          </cell>
          <cell r="N1653">
            <v>44949</v>
          </cell>
          <cell r="Q1653">
            <v>44952</v>
          </cell>
        </row>
        <row r="1654">
          <cell r="M1654">
            <v>44949</v>
          </cell>
          <cell r="N1654">
            <v>44950</v>
          </cell>
          <cell r="Q1654">
            <v>44953</v>
          </cell>
        </row>
        <row r="1655">
          <cell r="M1655">
            <v>44950</v>
          </cell>
          <cell r="N1655">
            <v>44951</v>
          </cell>
          <cell r="Q1655">
            <v>44956</v>
          </cell>
        </row>
        <row r="1656">
          <cell r="M1656">
            <v>44951</v>
          </cell>
          <cell r="N1656">
            <v>44952</v>
          </cell>
          <cell r="Q1656">
            <v>44957</v>
          </cell>
        </row>
        <row r="1657">
          <cell r="M1657">
            <v>44952</v>
          </cell>
          <cell r="N1657">
            <v>44953</v>
          </cell>
          <cell r="Q1657">
            <v>44958</v>
          </cell>
        </row>
        <row r="1658">
          <cell r="M1658">
            <v>44953</v>
          </cell>
          <cell r="N1658">
            <v>44956</v>
          </cell>
          <cell r="Q1658">
            <v>44959</v>
          </cell>
        </row>
        <row r="1659">
          <cell r="M1659">
            <v>44956</v>
          </cell>
          <cell r="N1659">
            <v>44957</v>
          </cell>
          <cell r="Q1659">
            <v>44960</v>
          </cell>
        </row>
        <row r="1660">
          <cell r="M1660">
            <v>44957</v>
          </cell>
          <cell r="N1660">
            <v>44958</v>
          </cell>
          <cell r="Q1660">
            <v>44963</v>
          </cell>
        </row>
        <row r="1661">
          <cell r="M1661">
            <v>44958</v>
          </cell>
          <cell r="N1661">
            <v>44959</v>
          </cell>
          <cell r="Q1661">
            <v>44964</v>
          </cell>
        </row>
        <row r="1662">
          <cell r="M1662">
            <v>44959</v>
          </cell>
          <cell r="N1662">
            <v>44960</v>
          </cell>
          <cell r="Q1662">
            <v>44965</v>
          </cell>
        </row>
        <row r="1663">
          <cell r="M1663">
            <v>44960</v>
          </cell>
          <cell r="N1663">
            <v>44963</v>
          </cell>
          <cell r="Q1663">
            <v>44966</v>
          </cell>
        </row>
        <row r="1664">
          <cell r="M1664">
            <v>44963</v>
          </cell>
          <cell r="N1664">
            <v>44964</v>
          </cell>
          <cell r="Q1664">
            <v>44967</v>
          </cell>
        </row>
        <row r="1665">
          <cell r="M1665">
            <v>44964</v>
          </cell>
          <cell r="N1665">
            <v>44965</v>
          </cell>
          <cell r="Q1665">
            <v>44970</v>
          </cell>
        </row>
        <row r="1666">
          <cell r="M1666">
            <v>44965</v>
          </cell>
          <cell r="N1666">
            <v>44966</v>
          </cell>
          <cell r="Q1666">
            <v>44971</v>
          </cell>
        </row>
        <row r="1667">
          <cell r="M1667">
            <v>44966</v>
          </cell>
          <cell r="N1667">
            <v>44967</v>
          </cell>
          <cell r="Q1667">
            <v>44972</v>
          </cell>
        </row>
        <row r="1668">
          <cell r="M1668">
            <v>44967</v>
          </cell>
          <cell r="N1668">
            <v>44970</v>
          </cell>
          <cell r="Q1668">
            <v>44973</v>
          </cell>
        </row>
        <row r="1669">
          <cell r="M1669">
            <v>44970</v>
          </cell>
          <cell r="N1669">
            <v>44971</v>
          </cell>
          <cell r="Q1669">
            <v>44974</v>
          </cell>
        </row>
        <row r="1670">
          <cell r="M1670">
            <v>44971</v>
          </cell>
          <cell r="N1670">
            <v>44972</v>
          </cell>
          <cell r="Q1670">
            <v>44977</v>
          </cell>
        </row>
        <row r="1671">
          <cell r="M1671">
            <v>44972</v>
          </cell>
          <cell r="N1671">
            <v>44973</v>
          </cell>
          <cell r="Q1671">
            <v>44978</v>
          </cell>
        </row>
        <row r="1672">
          <cell r="M1672">
            <v>44973</v>
          </cell>
          <cell r="N1672">
            <v>44974</v>
          </cell>
          <cell r="Q1672">
            <v>44979</v>
          </cell>
        </row>
        <row r="1673">
          <cell r="M1673">
            <v>44974</v>
          </cell>
          <cell r="N1673">
            <v>44977</v>
          </cell>
          <cell r="Q1673">
            <v>44981</v>
          </cell>
        </row>
        <row r="1674">
          <cell r="M1674">
            <v>44977</v>
          </cell>
          <cell r="N1674">
            <v>44978</v>
          </cell>
          <cell r="Q1674">
            <v>44982</v>
          </cell>
        </row>
        <row r="1675">
          <cell r="M1675">
            <v>44978</v>
          </cell>
          <cell r="N1675">
            <v>44979</v>
          </cell>
          <cell r="Q1675">
            <v>44984</v>
          </cell>
        </row>
        <row r="1676">
          <cell r="M1676">
            <v>44979</v>
          </cell>
          <cell r="N1676">
            <v>44981</v>
          </cell>
          <cell r="Q1676">
            <v>44985</v>
          </cell>
        </row>
        <row r="1677">
          <cell r="M1677">
            <v>44981</v>
          </cell>
          <cell r="N1677">
            <v>44982</v>
          </cell>
          <cell r="Q1677">
            <v>44986</v>
          </cell>
        </row>
        <row r="1678">
          <cell r="M1678">
            <v>44982</v>
          </cell>
          <cell r="N1678">
            <v>44984</v>
          </cell>
          <cell r="Q1678">
            <v>44987</v>
          </cell>
        </row>
        <row r="1679">
          <cell r="M1679">
            <v>44984</v>
          </cell>
          <cell r="N1679">
            <v>44985</v>
          </cell>
          <cell r="Q1679">
            <v>44988</v>
          </cell>
        </row>
        <row r="1680">
          <cell r="M1680">
            <v>44985</v>
          </cell>
          <cell r="N1680">
            <v>44986</v>
          </cell>
          <cell r="Q1680">
            <v>44991</v>
          </cell>
        </row>
        <row r="1681">
          <cell r="M1681">
            <v>44986</v>
          </cell>
          <cell r="N1681">
            <v>44987</v>
          </cell>
          <cell r="Q1681">
            <v>44992</v>
          </cell>
        </row>
        <row r="1682">
          <cell r="M1682">
            <v>44987</v>
          </cell>
          <cell r="N1682">
            <v>44988</v>
          </cell>
          <cell r="Q1682">
            <v>44993</v>
          </cell>
        </row>
        <row r="1683">
          <cell r="M1683">
            <v>44988</v>
          </cell>
          <cell r="N1683">
            <v>44991</v>
          </cell>
          <cell r="Q1683">
            <v>44994</v>
          </cell>
        </row>
        <row r="1684">
          <cell r="M1684">
            <v>44991</v>
          </cell>
          <cell r="N1684">
            <v>44992</v>
          </cell>
          <cell r="Q1684">
            <v>44995</v>
          </cell>
        </row>
        <row r="1685">
          <cell r="M1685">
            <v>44992</v>
          </cell>
          <cell r="N1685">
            <v>44993</v>
          </cell>
          <cell r="Q1685">
            <v>44998</v>
          </cell>
        </row>
        <row r="1686">
          <cell r="M1686">
            <v>44993</v>
          </cell>
          <cell r="N1686">
            <v>44994</v>
          </cell>
          <cell r="Q1686">
            <v>44999</v>
          </cell>
        </row>
        <row r="1687">
          <cell r="M1687">
            <v>44994</v>
          </cell>
          <cell r="N1687">
            <v>44995</v>
          </cell>
          <cell r="Q1687">
            <v>45000</v>
          </cell>
        </row>
        <row r="1688">
          <cell r="M1688">
            <v>44995</v>
          </cell>
          <cell r="N1688">
            <v>44998</v>
          </cell>
          <cell r="Q1688">
            <v>45001</v>
          </cell>
        </row>
        <row r="1689">
          <cell r="M1689">
            <v>44998</v>
          </cell>
          <cell r="N1689">
            <v>44999</v>
          </cell>
          <cell r="Q1689">
            <v>45002</v>
          </cell>
        </row>
        <row r="1690">
          <cell r="M1690">
            <v>44999</v>
          </cell>
          <cell r="N1690">
            <v>45000</v>
          </cell>
          <cell r="Q1690">
            <v>45005</v>
          </cell>
        </row>
        <row r="1691">
          <cell r="M1691">
            <v>45000</v>
          </cell>
          <cell r="N1691">
            <v>45001</v>
          </cell>
          <cell r="Q1691">
            <v>45007</v>
          </cell>
        </row>
        <row r="1692">
          <cell r="M1692">
            <v>45001</v>
          </cell>
          <cell r="N1692">
            <v>45002</v>
          </cell>
          <cell r="Q1692">
            <v>45008</v>
          </cell>
        </row>
        <row r="1693">
          <cell r="M1693">
            <v>45002</v>
          </cell>
          <cell r="N1693">
            <v>45005</v>
          </cell>
          <cell r="Q1693">
            <v>45009</v>
          </cell>
        </row>
        <row r="1694">
          <cell r="M1694">
            <v>45005</v>
          </cell>
          <cell r="N1694">
            <v>45007</v>
          </cell>
          <cell r="Q1694">
            <v>45012</v>
          </cell>
        </row>
        <row r="1695">
          <cell r="M1695">
            <v>45007</v>
          </cell>
          <cell r="N1695">
            <v>45008</v>
          </cell>
          <cell r="Q1695">
            <v>45013</v>
          </cell>
        </row>
        <row r="1696">
          <cell r="M1696">
            <v>45008</v>
          </cell>
          <cell r="N1696">
            <v>45009</v>
          </cell>
          <cell r="Q1696">
            <v>45014</v>
          </cell>
        </row>
        <row r="1697">
          <cell r="M1697">
            <v>45009</v>
          </cell>
          <cell r="N1697">
            <v>45012</v>
          </cell>
          <cell r="Q1697">
            <v>45015</v>
          </cell>
        </row>
        <row r="1698">
          <cell r="M1698">
            <v>45012</v>
          </cell>
          <cell r="N1698">
            <v>45013</v>
          </cell>
          <cell r="Q1698">
            <v>45016</v>
          </cell>
        </row>
        <row r="1699">
          <cell r="M1699">
            <v>45013</v>
          </cell>
          <cell r="N1699">
            <v>45014</v>
          </cell>
          <cell r="Q1699">
            <v>45019</v>
          </cell>
        </row>
        <row r="1700">
          <cell r="M1700">
            <v>45014</v>
          </cell>
          <cell r="N1700">
            <v>45015</v>
          </cell>
          <cell r="Q1700">
            <v>45020</v>
          </cell>
        </row>
        <row r="1701">
          <cell r="M1701">
            <v>45015</v>
          </cell>
          <cell r="N1701">
            <v>45016</v>
          </cell>
          <cell r="Q1701">
            <v>45021</v>
          </cell>
        </row>
        <row r="1702">
          <cell r="M1702">
            <v>45016</v>
          </cell>
          <cell r="N1702">
            <v>45019</v>
          </cell>
          <cell r="Q1702">
            <v>45022</v>
          </cell>
        </row>
        <row r="1703">
          <cell r="M1703">
            <v>45019</v>
          </cell>
          <cell r="N1703">
            <v>45020</v>
          </cell>
          <cell r="Q1703">
            <v>45023</v>
          </cell>
        </row>
        <row r="1704">
          <cell r="M1704">
            <v>45020</v>
          </cell>
          <cell r="N1704">
            <v>45021</v>
          </cell>
          <cell r="Q1704">
            <v>45026</v>
          </cell>
        </row>
        <row r="1705">
          <cell r="M1705">
            <v>45021</v>
          </cell>
          <cell r="N1705">
            <v>45022</v>
          </cell>
          <cell r="Q1705">
            <v>45027</v>
          </cell>
        </row>
        <row r="1706">
          <cell r="M1706">
            <v>45022</v>
          </cell>
          <cell r="N1706">
            <v>45023</v>
          </cell>
          <cell r="Q1706">
            <v>45028</v>
          </cell>
        </row>
        <row r="1707">
          <cell r="M1707">
            <v>45023</v>
          </cell>
          <cell r="N1707">
            <v>45026</v>
          </cell>
          <cell r="Q1707">
            <v>45029</v>
          </cell>
        </row>
        <row r="1708">
          <cell r="M1708">
            <v>45026</v>
          </cell>
          <cell r="N1708">
            <v>45027</v>
          </cell>
          <cell r="Q1708">
            <v>45030</v>
          </cell>
        </row>
        <row r="1709">
          <cell r="M1709">
            <v>45027</v>
          </cell>
          <cell r="N1709">
            <v>45028</v>
          </cell>
          <cell r="Q1709">
            <v>45033</v>
          </cell>
        </row>
        <row r="1710">
          <cell r="M1710">
            <v>45028</v>
          </cell>
          <cell r="N1710">
            <v>45029</v>
          </cell>
          <cell r="Q1710">
            <v>45034</v>
          </cell>
        </row>
        <row r="1711">
          <cell r="M1711">
            <v>45029</v>
          </cell>
          <cell r="N1711">
            <v>45030</v>
          </cell>
          <cell r="Q1711">
            <v>45035</v>
          </cell>
        </row>
        <row r="1712">
          <cell r="M1712">
            <v>45030</v>
          </cell>
          <cell r="N1712">
            <v>45033</v>
          </cell>
          <cell r="Q1712">
            <v>45036</v>
          </cell>
        </row>
        <row r="1713">
          <cell r="M1713">
            <v>45033</v>
          </cell>
          <cell r="N1713">
            <v>45034</v>
          </cell>
          <cell r="Q1713">
            <v>45037</v>
          </cell>
        </row>
        <row r="1714">
          <cell r="M1714">
            <v>45034</v>
          </cell>
          <cell r="N1714">
            <v>45035</v>
          </cell>
          <cell r="Q1714">
            <v>45040</v>
          </cell>
        </row>
        <row r="1715">
          <cell r="M1715">
            <v>45035</v>
          </cell>
          <cell r="N1715">
            <v>45036</v>
          </cell>
          <cell r="Q1715">
            <v>45041</v>
          </cell>
        </row>
        <row r="1716">
          <cell r="M1716">
            <v>45036</v>
          </cell>
          <cell r="N1716">
            <v>45037</v>
          </cell>
          <cell r="Q1716">
            <v>45042</v>
          </cell>
        </row>
        <row r="1717">
          <cell r="M1717">
            <v>45037</v>
          </cell>
          <cell r="N1717">
            <v>45040</v>
          </cell>
          <cell r="Q1717">
            <v>45043</v>
          </cell>
        </row>
        <row r="1718">
          <cell r="M1718">
            <v>45040</v>
          </cell>
          <cell r="N1718">
            <v>45041</v>
          </cell>
          <cell r="Q1718">
            <v>45044</v>
          </cell>
        </row>
        <row r="1719">
          <cell r="M1719">
            <v>45041</v>
          </cell>
          <cell r="N1719">
            <v>45042</v>
          </cell>
          <cell r="Q1719">
            <v>45047</v>
          </cell>
        </row>
        <row r="1720">
          <cell r="M1720">
            <v>45042</v>
          </cell>
          <cell r="N1720">
            <v>45043</v>
          </cell>
          <cell r="Q1720">
            <v>45048</v>
          </cell>
        </row>
        <row r="1721">
          <cell r="M1721">
            <v>45043</v>
          </cell>
          <cell r="N1721">
            <v>45044</v>
          </cell>
          <cell r="Q1721">
            <v>45054</v>
          </cell>
        </row>
        <row r="1722">
          <cell r="M1722">
            <v>45044</v>
          </cell>
          <cell r="N1722">
            <v>45047</v>
          </cell>
          <cell r="Q1722">
            <v>45055</v>
          </cell>
        </row>
        <row r="1723">
          <cell r="M1723">
            <v>45047</v>
          </cell>
          <cell r="N1723">
            <v>45048</v>
          </cell>
          <cell r="Q1723">
            <v>45056</v>
          </cell>
        </row>
        <row r="1724">
          <cell r="M1724">
            <v>45048</v>
          </cell>
          <cell r="N1724">
            <v>45054</v>
          </cell>
          <cell r="Q1724">
            <v>45057</v>
          </cell>
        </row>
        <row r="1725">
          <cell r="M1725">
            <v>45054</v>
          </cell>
          <cell r="N1725">
            <v>45055</v>
          </cell>
          <cell r="Q1725">
            <v>45058</v>
          </cell>
        </row>
        <row r="1726">
          <cell r="M1726">
            <v>45055</v>
          </cell>
          <cell r="N1726">
            <v>45056</v>
          </cell>
          <cell r="Q1726">
            <v>45061</v>
          </cell>
        </row>
        <row r="1727">
          <cell r="M1727">
            <v>45056</v>
          </cell>
          <cell r="N1727">
            <v>45057</v>
          </cell>
          <cell r="Q1727">
            <v>45062</v>
          </cell>
        </row>
        <row r="1728">
          <cell r="M1728">
            <v>45057</v>
          </cell>
          <cell r="N1728">
            <v>45058</v>
          </cell>
          <cell r="Q1728">
            <v>45063</v>
          </cell>
        </row>
        <row r="1729">
          <cell r="M1729">
            <v>45058</v>
          </cell>
          <cell r="N1729">
            <v>45061</v>
          </cell>
          <cell r="Q1729">
            <v>45064</v>
          </cell>
        </row>
        <row r="1730">
          <cell r="M1730">
            <v>45061</v>
          </cell>
          <cell r="N1730">
            <v>45062</v>
          </cell>
          <cell r="Q1730">
            <v>45065</v>
          </cell>
        </row>
        <row r="1731">
          <cell r="M1731">
            <v>45062</v>
          </cell>
          <cell r="N1731">
            <v>45063</v>
          </cell>
          <cell r="Q1731">
            <v>45068</v>
          </cell>
        </row>
        <row r="1732">
          <cell r="M1732">
            <v>45063</v>
          </cell>
          <cell r="N1732">
            <v>45064</v>
          </cell>
          <cell r="Q1732">
            <v>45069</v>
          </cell>
        </row>
        <row r="1733">
          <cell r="M1733">
            <v>45064</v>
          </cell>
          <cell r="N1733">
            <v>45065</v>
          </cell>
          <cell r="Q1733">
            <v>45070</v>
          </cell>
        </row>
        <row r="1734">
          <cell r="M1734">
            <v>45065</v>
          </cell>
          <cell r="N1734">
            <v>45068</v>
          </cell>
          <cell r="Q1734">
            <v>45071</v>
          </cell>
        </row>
        <row r="1735">
          <cell r="M1735">
            <v>45068</v>
          </cell>
          <cell r="N1735">
            <v>45069</v>
          </cell>
          <cell r="Q1735">
            <v>45072</v>
          </cell>
        </row>
        <row r="1736">
          <cell r="M1736">
            <v>45069</v>
          </cell>
          <cell r="N1736">
            <v>45070</v>
          </cell>
          <cell r="Q1736">
            <v>45075</v>
          </cell>
        </row>
        <row r="1737">
          <cell r="M1737">
            <v>45070</v>
          </cell>
          <cell r="N1737">
            <v>45071</v>
          </cell>
          <cell r="Q1737">
            <v>45076</v>
          </cell>
        </row>
        <row r="1738">
          <cell r="M1738">
            <v>45071</v>
          </cell>
          <cell r="N1738">
            <v>45072</v>
          </cell>
          <cell r="Q1738">
            <v>45077</v>
          </cell>
        </row>
        <row r="1739">
          <cell r="M1739">
            <v>45072</v>
          </cell>
          <cell r="N1739">
            <v>45075</v>
          </cell>
          <cell r="Q1739">
            <v>45078</v>
          </cell>
        </row>
        <row r="1740">
          <cell r="M1740">
            <v>45075</v>
          </cell>
          <cell r="N1740">
            <v>45076</v>
          </cell>
          <cell r="Q1740">
            <v>45079</v>
          </cell>
        </row>
        <row r="1741">
          <cell r="M1741">
            <v>45076</v>
          </cell>
          <cell r="N1741">
            <v>45077</v>
          </cell>
          <cell r="Q1741">
            <v>45082</v>
          </cell>
        </row>
        <row r="1742">
          <cell r="M1742">
            <v>45077</v>
          </cell>
          <cell r="N1742">
            <v>45078</v>
          </cell>
          <cell r="Q1742">
            <v>45083</v>
          </cell>
        </row>
        <row r="1743">
          <cell r="M1743">
            <v>45078</v>
          </cell>
          <cell r="N1743">
            <v>45079</v>
          </cell>
          <cell r="Q1743">
            <v>45084</v>
          </cell>
        </row>
        <row r="1744">
          <cell r="M1744">
            <v>45079</v>
          </cell>
          <cell r="N1744">
            <v>45082</v>
          </cell>
          <cell r="Q1744">
            <v>45085</v>
          </cell>
        </row>
        <row r="1745">
          <cell r="M1745">
            <v>45082</v>
          </cell>
          <cell r="N1745">
            <v>45083</v>
          </cell>
          <cell r="Q1745">
            <v>45086</v>
          </cell>
        </row>
        <row r="1746">
          <cell r="M1746">
            <v>45083</v>
          </cell>
          <cell r="N1746">
            <v>45084</v>
          </cell>
          <cell r="Q1746">
            <v>45089</v>
          </cell>
        </row>
        <row r="1747">
          <cell r="M1747">
            <v>45084</v>
          </cell>
          <cell r="N1747">
            <v>45085</v>
          </cell>
          <cell r="Q1747">
            <v>45090</v>
          </cell>
        </row>
        <row r="1748">
          <cell r="M1748">
            <v>45085</v>
          </cell>
          <cell r="N1748">
            <v>45086</v>
          </cell>
          <cell r="Q1748">
            <v>45091</v>
          </cell>
        </row>
        <row r="1749">
          <cell r="M1749">
            <v>45086</v>
          </cell>
          <cell r="N1749">
            <v>45089</v>
          </cell>
          <cell r="Q1749">
            <v>45092</v>
          </cell>
        </row>
        <row r="1750">
          <cell r="M1750">
            <v>45089</v>
          </cell>
          <cell r="N1750">
            <v>45090</v>
          </cell>
          <cell r="Q1750">
            <v>45093</v>
          </cell>
        </row>
        <row r="1751">
          <cell r="M1751">
            <v>45090</v>
          </cell>
          <cell r="N1751">
            <v>45091</v>
          </cell>
          <cell r="Q1751">
            <v>45096</v>
          </cell>
        </row>
        <row r="1752">
          <cell r="M1752">
            <v>45091</v>
          </cell>
          <cell r="N1752">
            <v>45092</v>
          </cell>
          <cell r="Q1752">
            <v>45097</v>
          </cell>
        </row>
        <row r="1753">
          <cell r="M1753">
            <v>45092</v>
          </cell>
          <cell r="N1753">
            <v>45093</v>
          </cell>
          <cell r="Q1753">
            <v>45098</v>
          </cell>
        </row>
        <row r="1754">
          <cell r="M1754">
            <v>45093</v>
          </cell>
          <cell r="N1754">
            <v>45096</v>
          </cell>
          <cell r="Q1754">
            <v>45099</v>
          </cell>
        </row>
        <row r="1755">
          <cell r="M1755">
            <v>45096</v>
          </cell>
          <cell r="N1755">
            <v>45097</v>
          </cell>
          <cell r="Q1755">
            <v>45100</v>
          </cell>
        </row>
        <row r="1756">
          <cell r="M1756">
            <v>45097</v>
          </cell>
          <cell r="N1756">
            <v>45098</v>
          </cell>
          <cell r="Q1756">
            <v>45103</v>
          </cell>
        </row>
        <row r="1757">
          <cell r="M1757">
            <v>45098</v>
          </cell>
          <cell r="N1757">
            <v>45099</v>
          </cell>
          <cell r="Q1757">
            <v>45104</v>
          </cell>
        </row>
        <row r="1758">
          <cell r="M1758">
            <v>45099</v>
          </cell>
          <cell r="N1758">
            <v>45100</v>
          </cell>
          <cell r="Q1758">
            <v>45105</v>
          </cell>
        </row>
        <row r="1759">
          <cell r="M1759">
            <v>45100</v>
          </cell>
          <cell r="N1759">
            <v>45103</v>
          </cell>
          <cell r="Q1759">
            <v>45106</v>
          </cell>
        </row>
        <row r="1760">
          <cell r="M1760">
            <v>45103</v>
          </cell>
          <cell r="N1760">
            <v>45104</v>
          </cell>
          <cell r="Q1760">
            <v>45107</v>
          </cell>
        </row>
        <row r="1761">
          <cell r="M1761">
            <v>45104</v>
          </cell>
          <cell r="N1761">
            <v>45105</v>
          </cell>
          <cell r="Q1761">
            <v>45110</v>
          </cell>
        </row>
        <row r="1762">
          <cell r="M1762">
            <v>45105</v>
          </cell>
          <cell r="N1762">
            <v>45106</v>
          </cell>
          <cell r="Q1762">
            <v>45111</v>
          </cell>
        </row>
        <row r="1763">
          <cell r="M1763">
            <v>45106</v>
          </cell>
          <cell r="N1763">
            <v>45107</v>
          </cell>
          <cell r="Q1763">
            <v>45112</v>
          </cell>
        </row>
        <row r="1764">
          <cell r="M1764">
            <v>45107</v>
          </cell>
          <cell r="N1764">
            <v>45110</v>
          </cell>
          <cell r="Q1764">
            <v>45113</v>
          </cell>
        </row>
        <row r="1765">
          <cell r="M1765">
            <v>45110</v>
          </cell>
          <cell r="N1765">
            <v>45111</v>
          </cell>
          <cell r="Q1765">
            <v>45114</v>
          </cell>
        </row>
        <row r="1766">
          <cell r="M1766">
            <v>45111</v>
          </cell>
          <cell r="N1766">
            <v>45112</v>
          </cell>
          <cell r="Q1766">
            <v>45117</v>
          </cell>
        </row>
        <row r="1767">
          <cell r="M1767">
            <v>45112</v>
          </cell>
          <cell r="N1767">
            <v>45113</v>
          </cell>
          <cell r="Q1767">
            <v>45118</v>
          </cell>
        </row>
        <row r="1768">
          <cell r="M1768">
            <v>45113</v>
          </cell>
          <cell r="N1768">
            <v>45114</v>
          </cell>
          <cell r="Q1768">
            <v>45119</v>
          </cell>
        </row>
        <row r="1769">
          <cell r="M1769">
            <v>45114</v>
          </cell>
          <cell r="N1769">
            <v>45117</v>
          </cell>
          <cell r="Q1769">
            <v>45120</v>
          </cell>
        </row>
        <row r="1770">
          <cell r="M1770">
            <v>45117</v>
          </cell>
          <cell r="N1770">
            <v>45118</v>
          </cell>
          <cell r="Q1770">
            <v>45121</v>
          </cell>
        </row>
        <row r="1771">
          <cell r="M1771">
            <v>45118</v>
          </cell>
          <cell r="N1771">
            <v>45119</v>
          </cell>
          <cell r="Q1771">
            <v>45125</v>
          </cell>
        </row>
        <row r="1772">
          <cell r="M1772">
            <v>45119</v>
          </cell>
          <cell r="N1772">
            <v>45120</v>
          </cell>
          <cell r="Q1772">
            <v>45126</v>
          </cell>
        </row>
        <row r="1773">
          <cell r="M1773">
            <v>45120</v>
          </cell>
          <cell r="N1773">
            <v>45121</v>
          </cell>
          <cell r="Q1773">
            <v>45127</v>
          </cell>
        </row>
        <row r="1774">
          <cell r="M1774">
            <v>45121</v>
          </cell>
          <cell r="N1774">
            <v>45125</v>
          </cell>
          <cell r="Q1774">
            <v>45128</v>
          </cell>
        </row>
        <row r="1775">
          <cell r="M1775">
            <v>45125</v>
          </cell>
          <cell r="N1775">
            <v>45126</v>
          </cell>
          <cell r="Q1775">
            <v>45131</v>
          </cell>
        </row>
        <row r="1776">
          <cell r="M1776">
            <v>45126</v>
          </cell>
          <cell r="N1776">
            <v>45127</v>
          </cell>
          <cell r="Q1776">
            <v>45132</v>
          </cell>
        </row>
        <row r="1777">
          <cell r="M1777">
            <v>45127</v>
          </cell>
          <cell r="N1777">
            <v>45128</v>
          </cell>
          <cell r="Q1777">
            <v>45133</v>
          </cell>
        </row>
        <row r="1778">
          <cell r="M1778">
            <v>45128</v>
          </cell>
          <cell r="N1778">
            <v>45131</v>
          </cell>
          <cell r="Q1778">
            <v>45134</v>
          </cell>
        </row>
        <row r="1779">
          <cell r="M1779">
            <v>45131</v>
          </cell>
          <cell r="N1779">
            <v>45132</v>
          </cell>
          <cell r="Q1779">
            <v>45135</v>
          </cell>
        </row>
        <row r="1780">
          <cell r="M1780">
            <v>45132</v>
          </cell>
          <cell r="N1780">
            <v>45133</v>
          </cell>
          <cell r="Q1780">
            <v>45138</v>
          </cell>
        </row>
        <row r="1781">
          <cell r="M1781">
            <v>45133</v>
          </cell>
          <cell r="N1781">
            <v>45134</v>
          </cell>
          <cell r="Q1781">
            <v>45139</v>
          </cell>
        </row>
        <row r="1782">
          <cell r="M1782">
            <v>45134</v>
          </cell>
          <cell r="N1782">
            <v>45135</v>
          </cell>
          <cell r="Q1782">
            <v>45140</v>
          </cell>
        </row>
        <row r="1783">
          <cell r="M1783">
            <v>45135</v>
          </cell>
          <cell r="N1783">
            <v>45138</v>
          </cell>
          <cell r="Q1783">
            <v>45141</v>
          </cell>
        </row>
        <row r="1784">
          <cell r="M1784">
            <v>45138</v>
          </cell>
          <cell r="N1784">
            <v>45139</v>
          </cell>
          <cell r="Q1784">
            <v>45142</v>
          </cell>
        </row>
        <row r="1785">
          <cell r="M1785">
            <v>45139</v>
          </cell>
          <cell r="N1785">
            <v>45140</v>
          </cell>
          <cell r="Q1785">
            <v>45145</v>
          </cell>
        </row>
        <row r="1786">
          <cell r="M1786">
            <v>45140</v>
          </cell>
          <cell r="N1786">
            <v>45141</v>
          </cell>
          <cell r="Q1786">
            <v>45146</v>
          </cell>
        </row>
        <row r="1787">
          <cell r="M1787">
            <v>45141</v>
          </cell>
          <cell r="N1787">
            <v>45142</v>
          </cell>
          <cell r="Q1787">
            <v>45147</v>
          </cell>
        </row>
        <row r="1788">
          <cell r="M1788">
            <v>45142</v>
          </cell>
          <cell r="N1788">
            <v>45145</v>
          </cell>
          <cell r="Q1788">
            <v>45148</v>
          </cell>
        </row>
        <row r="1789">
          <cell r="M1789">
            <v>45145</v>
          </cell>
          <cell r="N1789">
            <v>45146</v>
          </cell>
          <cell r="Q1789">
            <v>45154</v>
          </cell>
        </row>
        <row r="1790">
          <cell r="M1790">
            <v>45146</v>
          </cell>
          <cell r="N1790">
            <v>45147</v>
          </cell>
          <cell r="Q1790">
            <v>45155</v>
          </cell>
        </row>
        <row r="1791">
          <cell r="M1791">
            <v>45147</v>
          </cell>
          <cell r="N1791">
            <v>45148</v>
          </cell>
          <cell r="Q1791">
            <v>45156</v>
          </cell>
        </row>
        <row r="1792">
          <cell r="M1792">
            <v>45148</v>
          </cell>
          <cell r="N1792">
            <v>45154</v>
          </cell>
          <cell r="Q1792">
            <v>45157</v>
          </cell>
        </row>
        <row r="1793">
          <cell r="M1793">
            <v>45154</v>
          </cell>
          <cell r="N1793">
            <v>45155</v>
          </cell>
          <cell r="Q1793">
            <v>45159</v>
          </cell>
        </row>
        <row r="1794">
          <cell r="M1794">
            <v>45155</v>
          </cell>
          <cell r="N1794">
            <v>45156</v>
          </cell>
          <cell r="Q1794">
            <v>45160</v>
          </cell>
        </row>
        <row r="1795">
          <cell r="M1795">
            <v>45156</v>
          </cell>
          <cell r="N1795">
            <v>45157</v>
          </cell>
          <cell r="Q1795">
            <v>45161</v>
          </cell>
        </row>
        <row r="1796">
          <cell r="M1796">
            <v>45157</v>
          </cell>
          <cell r="N1796">
            <v>45159</v>
          </cell>
          <cell r="Q1796">
            <v>45162</v>
          </cell>
        </row>
        <row r="1797">
          <cell r="M1797">
            <v>45159</v>
          </cell>
          <cell r="N1797">
            <v>45160</v>
          </cell>
          <cell r="Q1797">
            <v>45163</v>
          </cell>
        </row>
        <row r="1798">
          <cell r="M1798">
            <v>45160</v>
          </cell>
          <cell r="N1798">
            <v>45161</v>
          </cell>
          <cell r="Q1798">
            <v>45166</v>
          </cell>
        </row>
        <row r="1799">
          <cell r="M1799">
            <v>45161</v>
          </cell>
          <cell r="N1799">
            <v>45162</v>
          </cell>
          <cell r="Q1799">
            <v>45167</v>
          </cell>
        </row>
        <row r="1800">
          <cell r="M1800">
            <v>45162</v>
          </cell>
          <cell r="N1800">
            <v>45163</v>
          </cell>
          <cell r="Q1800">
            <v>45168</v>
          </cell>
        </row>
        <row r="1801">
          <cell r="M1801">
            <v>45163</v>
          </cell>
          <cell r="N1801">
            <v>45166</v>
          </cell>
          <cell r="Q1801">
            <v>45169</v>
          </cell>
        </row>
        <row r="1802">
          <cell r="M1802">
            <v>45166</v>
          </cell>
          <cell r="N1802">
            <v>45167</v>
          </cell>
          <cell r="Q1802">
            <v>45170</v>
          </cell>
        </row>
        <row r="1803">
          <cell r="M1803">
            <v>45167</v>
          </cell>
          <cell r="N1803">
            <v>45168</v>
          </cell>
          <cell r="Q1803">
            <v>45173</v>
          </cell>
        </row>
        <row r="1804">
          <cell r="M1804">
            <v>45168</v>
          </cell>
          <cell r="N1804">
            <v>45169</v>
          </cell>
          <cell r="Q1804">
            <v>45174</v>
          </cell>
        </row>
        <row r="1805">
          <cell r="M1805">
            <v>45169</v>
          </cell>
          <cell r="N1805">
            <v>45170</v>
          </cell>
          <cell r="Q1805">
            <v>45175</v>
          </cell>
        </row>
        <row r="1806">
          <cell r="M1806">
            <v>45170</v>
          </cell>
          <cell r="N1806">
            <v>45173</v>
          </cell>
          <cell r="Q1806">
            <v>45176</v>
          </cell>
        </row>
        <row r="1807">
          <cell r="M1807">
            <v>45173</v>
          </cell>
          <cell r="N1807">
            <v>45174</v>
          </cell>
          <cell r="Q1807">
            <v>45177</v>
          </cell>
        </row>
        <row r="1808">
          <cell r="M1808">
            <v>45174</v>
          </cell>
          <cell r="N1808">
            <v>45175</v>
          </cell>
          <cell r="Q1808">
            <v>45180</v>
          </cell>
        </row>
        <row r="1809">
          <cell r="M1809">
            <v>45175</v>
          </cell>
          <cell r="N1809">
            <v>45176</v>
          </cell>
          <cell r="Q1809">
            <v>45181</v>
          </cell>
        </row>
        <row r="1810">
          <cell r="M1810">
            <v>45176</v>
          </cell>
          <cell r="N1810">
            <v>45177</v>
          </cell>
          <cell r="Q1810">
            <v>45182</v>
          </cell>
        </row>
        <row r="1811">
          <cell r="M1811">
            <v>45177</v>
          </cell>
          <cell r="N1811">
            <v>45180</v>
          </cell>
          <cell r="Q1811">
            <v>45183</v>
          </cell>
        </row>
        <row r="1812">
          <cell r="M1812">
            <v>45180</v>
          </cell>
          <cell r="N1812">
            <v>45181</v>
          </cell>
          <cell r="Q1812">
            <v>45184</v>
          </cell>
        </row>
        <row r="1813">
          <cell r="M1813">
            <v>45181</v>
          </cell>
          <cell r="N1813">
            <v>45182</v>
          </cell>
          <cell r="Q1813">
            <v>45188</v>
          </cell>
        </row>
        <row r="1814">
          <cell r="M1814">
            <v>45182</v>
          </cell>
          <cell r="N1814">
            <v>45183</v>
          </cell>
          <cell r="Q1814">
            <v>45189</v>
          </cell>
        </row>
        <row r="1815">
          <cell r="M1815">
            <v>45183</v>
          </cell>
          <cell r="N1815">
            <v>45184</v>
          </cell>
          <cell r="Q1815">
            <v>45190</v>
          </cell>
        </row>
        <row r="1816">
          <cell r="M1816">
            <v>45184</v>
          </cell>
          <cell r="N1816">
            <v>45188</v>
          </cell>
          <cell r="Q1816">
            <v>45191</v>
          </cell>
        </row>
        <row r="1817">
          <cell r="M1817">
            <v>45188</v>
          </cell>
          <cell r="N1817">
            <v>45189</v>
          </cell>
          <cell r="Q1817">
            <v>45194</v>
          </cell>
        </row>
        <row r="1818">
          <cell r="M1818">
            <v>45189</v>
          </cell>
          <cell r="N1818">
            <v>45190</v>
          </cell>
          <cell r="Q1818">
            <v>45195</v>
          </cell>
        </row>
        <row r="1819">
          <cell r="M1819">
            <v>45190</v>
          </cell>
          <cell r="N1819">
            <v>45191</v>
          </cell>
          <cell r="Q1819">
            <v>45196</v>
          </cell>
        </row>
        <row r="1820">
          <cell r="M1820">
            <v>45191</v>
          </cell>
          <cell r="N1820">
            <v>45194</v>
          </cell>
          <cell r="Q1820">
            <v>45197</v>
          </cell>
        </row>
        <row r="1821">
          <cell r="M1821">
            <v>45194</v>
          </cell>
          <cell r="N1821">
            <v>45195</v>
          </cell>
          <cell r="Q1821">
            <v>45198</v>
          </cell>
        </row>
        <row r="1822">
          <cell r="M1822">
            <v>45195</v>
          </cell>
          <cell r="N1822">
            <v>45196</v>
          </cell>
          <cell r="Q1822">
            <v>45201</v>
          </cell>
        </row>
        <row r="1823">
          <cell r="M1823">
            <v>45196</v>
          </cell>
          <cell r="N1823">
            <v>45197</v>
          </cell>
          <cell r="Q1823">
            <v>45202</v>
          </cell>
        </row>
        <row r="1824">
          <cell r="M1824">
            <v>45197</v>
          </cell>
          <cell r="N1824">
            <v>45198</v>
          </cell>
          <cell r="Q1824">
            <v>45203</v>
          </cell>
        </row>
        <row r="1825">
          <cell r="M1825">
            <v>45198</v>
          </cell>
          <cell r="N1825">
            <v>45201</v>
          </cell>
          <cell r="Q1825">
            <v>45204</v>
          </cell>
        </row>
        <row r="1826">
          <cell r="M1826">
            <v>45201</v>
          </cell>
          <cell r="N1826">
            <v>45202</v>
          </cell>
          <cell r="Q1826">
            <v>45205</v>
          </cell>
        </row>
        <row r="1827">
          <cell r="M1827">
            <v>45202</v>
          </cell>
          <cell r="N1827">
            <v>45203</v>
          </cell>
          <cell r="Q1827">
            <v>45209</v>
          </cell>
        </row>
        <row r="1828">
          <cell r="M1828">
            <v>45203</v>
          </cell>
          <cell r="N1828">
            <v>45204</v>
          </cell>
          <cell r="Q1828">
            <v>45210</v>
          </cell>
        </row>
        <row r="1829">
          <cell r="M1829">
            <v>45204</v>
          </cell>
          <cell r="N1829">
            <v>45205</v>
          </cell>
          <cell r="Q1829">
            <v>45211</v>
          </cell>
        </row>
        <row r="1830">
          <cell r="M1830">
            <v>45205</v>
          </cell>
          <cell r="N1830">
            <v>45209</v>
          </cell>
          <cell r="Q1830">
            <v>45212</v>
          </cell>
        </row>
        <row r="1831">
          <cell r="M1831">
            <v>45209</v>
          </cell>
          <cell r="N1831">
            <v>45210</v>
          </cell>
          <cell r="Q1831">
            <v>45213</v>
          </cell>
        </row>
        <row r="1832">
          <cell r="M1832">
            <v>45210</v>
          </cell>
          <cell r="N1832">
            <v>45211</v>
          </cell>
          <cell r="Q1832">
            <v>45215</v>
          </cell>
        </row>
        <row r="1833">
          <cell r="M1833">
            <v>45211</v>
          </cell>
          <cell r="N1833">
            <v>45212</v>
          </cell>
          <cell r="Q1833">
            <v>45216</v>
          </cell>
        </row>
        <row r="1834">
          <cell r="M1834">
            <v>45212</v>
          </cell>
          <cell r="N1834">
            <v>45213</v>
          </cell>
          <cell r="Q1834">
            <v>45217</v>
          </cell>
        </row>
        <row r="1835">
          <cell r="M1835">
            <v>45213</v>
          </cell>
          <cell r="N1835">
            <v>45215</v>
          </cell>
          <cell r="Q1835">
            <v>45218</v>
          </cell>
        </row>
        <row r="1836">
          <cell r="M1836">
            <v>45215</v>
          </cell>
          <cell r="N1836">
            <v>45216</v>
          </cell>
          <cell r="Q1836">
            <v>45219</v>
          </cell>
        </row>
        <row r="1837">
          <cell r="M1837">
            <v>45216</v>
          </cell>
          <cell r="N1837">
            <v>45217</v>
          </cell>
          <cell r="Q1837">
            <v>45222</v>
          </cell>
        </row>
        <row r="1838">
          <cell r="M1838">
            <v>45217</v>
          </cell>
          <cell r="N1838">
            <v>45218</v>
          </cell>
          <cell r="Q1838">
            <v>45223</v>
          </cell>
        </row>
        <row r="1839">
          <cell r="M1839">
            <v>45218</v>
          </cell>
          <cell r="N1839">
            <v>45219</v>
          </cell>
          <cell r="Q1839">
            <v>45224</v>
          </cell>
        </row>
        <row r="1840">
          <cell r="M1840">
            <v>45219</v>
          </cell>
          <cell r="N1840">
            <v>45222</v>
          </cell>
          <cell r="Q1840">
            <v>45225</v>
          </cell>
        </row>
        <row r="1841">
          <cell r="M1841">
            <v>45222</v>
          </cell>
          <cell r="N1841">
            <v>45223</v>
          </cell>
          <cell r="Q1841">
            <v>45226</v>
          </cell>
        </row>
        <row r="1842">
          <cell r="M1842">
            <v>45223</v>
          </cell>
          <cell r="N1842">
            <v>45224</v>
          </cell>
          <cell r="Q1842">
            <v>45229</v>
          </cell>
        </row>
        <row r="1843">
          <cell r="M1843">
            <v>45224</v>
          </cell>
          <cell r="N1843">
            <v>45225</v>
          </cell>
          <cell r="Q1843">
            <v>45230</v>
          </cell>
        </row>
        <row r="1844">
          <cell r="M1844">
            <v>45225</v>
          </cell>
          <cell r="N1844">
            <v>45226</v>
          </cell>
          <cell r="Q1844">
            <v>45231</v>
          </cell>
        </row>
        <row r="1845">
          <cell r="M1845">
            <v>45226</v>
          </cell>
          <cell r="N1845">
            <v>45229</v>
          </cell>
          <cell r="Q1845">
            <v>45232</v>
          </cell>
        </row>
        <row r="1846">
          <cell r="M1846">
            <v>45229</v>
          </cell>
          <cell r="N1846">
            <v>45230</v>
          </cell>
          <cell r="Q1846">
            <v>45236</v>
          </cell>
        </row>
        <row r="1847">
          <cell r="M1847">
            <v>45230</v>
          </cell>
          <cell r="N1847">
            <v>45231</v>
          </cell>
          <cell r="Q1847">
            <v>45237</v>
          </cell>
        </row>
        <row r="1848">
          <cell r="M1848">
            <v>45231</v>
          </cell>
          <cell r="N1848">
            <v>45232</v>
          </cell>
          <cell r="Q1848">
            <v>45238</v>
          </cell>
        </row>
        <row r="1849">
          <cell r="M1849">
            <v>45232</v>
          </cell>
          <cell r="N1849">
            <v>45236</v>
          </cell>
          <cell r="Q1849">
            <v>45239</v>
          </cell>
        </row>
        <row r="1850">
          <cell r="M1850">
            <v>45236</v>
          </cell>
          <cell r="N1850">
            <v>45237</v>
          </cell>
          <cell r="Q1850">
            <v>45240</v>
          </cell>
        </row>
        <row r="1851">
          <cell r="M1851">
            <v>45237</v>
          </cell>
          <cell r="N1851">
            <v>45238</v>
          </cell>
          <cell r="Q1851">
            <v>45243</v>
          </cell>
        </row>
        <row r="1852">
          <cell r="M1852">
            <v>45238</v>
          </cell>
          <cell r="N1852">
            <v>45239</v>
          </cell>
          <cell r="Q1852">
            <v>45244</v>
          </cell>
        </row>
        <row r="1853">
          <cell r="M1853">
            <v>45239</v>
          </cell>
          <cell r="N1853">
            <v>45240</v>
          </cell>
          <cell r="Q1853">
            <v>45245</v>
          </cell>
        </row>
        <row r="1854">
          <cell r="M1854">
            <v>45240</v>
          </cell>
          <cell r="N1854">
            <v>45243</v>
          </cell>
          <cell r="Q1854">
            <v>45246</v>
          </cell>
        </row>
        <row r="1855">
          <cell r="M1855">
            <v>45243</v>
          </cell>
          <cell r="N1855">
            <v>45244</v>
          </cell>
          <cell r="Q1855">
            <v>45247</v>
          </cell>
        </row>
        <row r="1856">
          <cell r="M1856">
            <v>45244</v>
          </cell>
          <cell r="N1856">
            <v>45245</v>
          </cell>
          <cell r="Q1856">
            <v>45250</v>
          </cell>
        </row>
        <row r="1857">
          <cell r="M1857">
            <v>45245</v>
          </cell>
          <cell r="N1857">
            <v>45246</v>
          </cell>
          <cell r="Q1857">
            <v>45251</v>
          </cell>
        </row>
        <row r="1858">
          <cell r="M1858">
            <v>45246</v>
          </cell>
          <cell r="N1858">
            <v>45247</v>
          </cell>
          <cell r="Q1858">
            <v>45252</v>
          </cell>
        </row>
        <row r="1859">
          <cell r="M1859">
            <v>45247</v>
          </cell>
          <cell r="N1859">
            <v>45250</v>
          </cell>
          <cell r="Q1859">
            <v>45254</v>
          </cell>
        </row>
        <row r="1860">
          <cell r="M1860">
            <v>45250</v>
          </cell>
          <cell r="N1860">
            <v>45251</v>
          </cell>
          <cell r="Q1860">
            <v>45257</v>
          </cell>
        </row>
        <row r="1861">
          <cell r="M1861">
            <v>45251</v>
          </cell>
          <cell r="N1861">
            <v>45252</v>
          </cell>
          <cell r="Q1861">
            <v>45258</v>
          </cell>
        </row>
        <row r="1862">
          <cell r="M1862">
            <v>45252</v>
          </cell>
          <cell r="N1862">
            <v>45254</v>
          </cell>
          <cell r="Q1862">
            <v>45259</v>
          </cell>
        </row>
        <row r="1863">
          <cell r="M1863">
            <v>45254</v>
          </cell>
          <cell r="N1863">
            <v>45257</v>
          </cell>
          <cell r="Q1863">
            <v>45260</v>
          </cell>
        </row>
        <row r="1864">
          <cell r="M1864">
            <v>45257</v>
          </cell>
          <cell r="N1864">
            <v>45258</v>
          </cell>
          <cell r="Q1864">
            <v>45261</v>
          </cell>
        </row>
        <row r="1865">
          <cell r="M1865">
            <v>45258</v>
          </cell>
          <cell r="N1865">
            <v>45259</v>
          </cell>
          <cell r="Q1865">
            <v>45264</v>
          </cell>
        </row>
        <row r="1866">
          <cell r="M1866">
            <v>45259</v>
          </cell>
          <cell r="N1866">
            <v>45260</v>
          </cell>
          <cell r="Q1866">
            <v>45265</v>
          </cell>
        </row>
        <row r="1867">
          <cell r="M1867">
            <v>45260</v>
          </cell>
          <cell r="N1867">
            <v>45261</v>
          </cell>
          <cell r="Q1867">
            <v>45266</v>
          </cell>
        </row>
        <row r="1868">
          <cell r="M1868">
            <v>45261</v>
          </cell>
          <cell r="N1868">
            <v>45264</v>
          </cell>
          <cell r="Q1868">
            <v>45267</v>
          </cell>
        </row>
        <row r="1869">
          <cell r="M1869">
            <v>45264</v>
          </cell>
          <cell r="N1869">
            <v>45265</v>
          </cell>
          <cell r="Q1869">
            <v>45268</v>
          </cell>
        </row>
        <row r="1870">
          <cell r="M1870">
            <v>45265</v>
          </cell>
          <cell r="N1870">
            <v>45266</v>
          </cell>
          <cell r="Q1870">
            <v>45271</v>
          </cell>
        </row>
        <row r="1871">
          <cell r="M1871">
            <v>45266</v>
          </cell>
          <cell r="N1871">
            <v>45267</v>
          </cell>
          <cell r="Q1871">
            <v>45272</v>
          </cell>
        </row>
        <row r="1872">
          <cell r="M1872">
            <v>45267</v>
          </cell>
          <cell r="N1872">
            <v>45268</v>
          </cell>
          <cell r="Q1872">
            <v>45273</v>
          </cell>
        </row>
        <row r="1873">
          <cell r="M1873">
            <v>45268</v>
          </cell>
          <cell r="N1873">
            <v>45271</v>
          </cell>
          <cell r="Q1873">
            <v>45274</v>
          </cell>
        </row>
        <row r="1874">
          <cell r="M1874">
            <v>45271</v>
          </cell>
          <cell r="N1874">
            <v>45272</v>
          </cell>
          <cell r="Q1874">
            <v>45275</v>
          </cell>
        </row>
        <row r="1875">
          <cell r="M1875">
            <v>45272</v>
          </cell>
          <cell r="N1875">
            <v>45273</v>
          </cell>
          <cell r="Q1875">
            <v>45278</v>
          </cell>
        </row>
        <row r="1876">
          <cell r="M1876">
            <v>45273</v>
          </cell>
          <cell r="N1876">
            <v>45274</v>
          </cell>
          <cell r="Q1876">
            <v>45279</v>
          </cell>
        </row>
        <row r="1877">
          <cell r="M1877">
            <v>45274</v>
          </cell>
          <cell r="N1877">
            <v>45275</v>
          </cell>
          <cell r="Q1877">
            <v>45280</v>
          </cell>
        </row>
        <row r="1878">
          <cell r="M1878">
            <v>45275</v>
          </cell>
          <cell r="N1878">
            <v>45278</v>
          </cell>
          <cell r="Q1878">
            <v>45281</v>
          </cell>
        </row>
        <row r="1879">
          <cell r="M1879">
            <v>45278</v>
          </cell>
          <cell r="N1879">
            <v>45279</v>
          </cell>
          <cell r="Q1879">
            <v>45282</v>
          </cell>
        </row>
        <row r="1880">
          <cell r="M1880">
            <v>45279</v>
          </cell>
          <cell r="N1880">
            <v>45280</v>
          </cell>
          <cell r="Q1880">
            <v>45285</v>
          </cell>
        </row>
        <row r="1881">
          <cell r="M1881">
            <v>45280</v>
          </cell>
          <cell r="N1881">
            <v>45281</v>
          </cell>
          <cell r="Q1881">
            <v>45286</v>
          </cell>
        </row>
        <row r="1882">
          <cell r="M1882">
            <v>45281</v>
          </cell>
          <cell r="N1882">
            <v>45282</v>
          </cell>
          <cell r="Q1882">
            <v>45287</v>
          </cell>
        </row>
        <row r="1883">
          <cell r="M1883">
            <v>45282</v>
          </cell>
          <cell r="N1883">
            <v>45285</v>
          </cell>
          <cell r="Q1883">
            <v>45288</v>
          </cell>
        </row>
        <row r="1884">
          <cell r="M1884">
            <v>45285</v>
          </cell>
          <cell r="N1884">
            <v>45286</v>
          </cell>
          <cell r="Q1884">
            <v>45296</v>
          </cell>
        </row>
        <row r="1885">
          <cell r="M1885">
            <v>45286</v>
          </cell>
          <cell r="N1885">
            <v>45287</v>
          </cell>
          <cell r="Q1885">
            <v>45297</v>
          </cell>
        </row>
        <row r="1886">
          <cell r="M1886">
            <v>45287</v>
          </cell>
          <cell r="N1886">
            <v>45288</v>
          </cell>
          <cell r="Q1886">
            <v>45300</v>
          </cell>
        </row>
        <row r="1887">
          <cell r="M1887">
            <v>45288</v>
          </cell>
          <cell r="N1887">
            <v>45296</v>
          </cell>
          <cell r="Q1887">
            <v>45301</v>
          </cell>
        </row>
        <row r="1888">
          <cell r="M1888">
            <v>45296</v>
          </cell>
          <cell r="N1888">
            <v>45297</v>
          </cell>
          <cell r="Q1888">
            <v>45302</v>
          </cell>
        </row>
        <row r="1889">
          <cell r="M1889">
            <v>45297</v>
          </cell>
          <cell r="N1889">
            <v>45300</v>
          </cell>
          <cell r="Q1889">
            <v>45303</v>
          </cell>
        </row>
        <row r="1890">
          <cell r="M1890">
            <v>45300</v>
          </cell>
          <cell r="N1890">
            <v>45301</v>
          </cell>
          <cell r="Q1890">
            <v>45304</v>
          </cell>
        </row>
        <row r="1891">
          <cell r="M1891">
            <v>45301</v>
          </cell>
          <cell r="N1891">
            <v>45302</v>
          </cell>
          <cell r="Q1891">
            <v>45306</v>
          </cell>
        </row>
        <row r="1892">
          <cell r="M1892">
            <v>45302</v>
          </cell>
          <cell r="N1892">
            <v>45303</v>
          </cell>
          <cell r="Q1892">
            <v>45307</v>
          </cell>
        </row>
        <row r="1893">
          <cell r="M1893">
            <v>45303</v>
          </cell>
          <cell r="N1893">
            <v>45304</v>
          </cell>
          <cell r="Q1893">
            <v>45308</v>
          </cell>
        </row>
        <row r="1894">
          <cell r="M1894">
            <v>45304</v>
          </cell>
          <cell r="N1894">
            <v>45306</v>
          </cell>
          <cell r="Q1894">
            <v>45309</v>
          </cell>
        </row>
        <row r="1895">
          <cell r="M1895">
            <v>45306</v>
          </cell>
          <cell r="N1895">
            <v>45307</v>
          </cell>
          <cell r="Q1895">
            <v>45310</v>
          </cell>
        </row>
        <row r="1896">
          <cell r="M1896">
            <v>45307</v>
          </cell>
          <cell r="N1896">
            <v>45308</v>
          </cell>
          <cell r="Q1896">
            <v>45313</v>
          </cell>
        </row>
        <row r="1897">
          <cell r="M1897">
            <v>45308</v>
          </cell>
          <cell r="N1897">
            <v>45309</v>
          </cell>
          <cell r="Q1897">
            <v>45314</v>
          </cell>
        </row>
        <row r="1898">
          <cell r="M1898">
            <v>45309</v>
          </cell>
          <cell r="N1898">
            <v>45310</v>
          </cell>
          <cell r="Q1898">
            <v>45315</v>
          </cell>
        </row>
        <row r="1899">
          <cell r="M1899">
            <v>45310</v>
          </cell>
          <cell r="N1899">
            <v>45313</v>
          </cell>
          <cell r="Q1899">
            <v>45316</v>
          </cell>
        </row>
        <row r="1900">
          <cell r="M1900">
            <v>45313</v>
          </cell>
          <cell r="N1900">
            <v>45314</v>
          </cell>
          <cell r="Q1900">
            <v>45317</v>
          </cell>
        </row>
        <row r="1901">
          <cell r="M1901">
            <v>45314</v>
          </cell>
          <cell r="N1901">
            <v>45315</v>
          </cell>
          <cell r="Q1901">
            <v>45320</v>
          </cell>
        </row>
        <row r="1902">
          <cell r="M1902">
            <v>45315</v>
          </cell>
          <cell r="N1902">
            <v>45316</v>
          </cell>
          <cell r="Q1902">
            <v>45321</v>
          </cell>
        </row>
        <row r="1903">
          <cell r="M1903">
            <v>45316</v>
          </cell>
          <cell r="N1903">
            <v>45317</v>
          </cell>
          <cell r="Q1903">
            <v>45322</v>
          </cell>
        </row>
        <row r="1904">
          <cell r="M1904">
            <v>45317</v>
          </cell>
          <cell r="N1904">
            <v>45320</v>
          </cell>
          <cell r="Q1904">
            <v>45323</v>
          </cell>
        </row>
        <row r="1905">
          <cell r="M1905">
            <v>45320</v>
          </cell>
          <cell r="N1905">
            <v>45321</v>
          </cell>
          <cell r="Q1905">
            <v>45324</v>
          </cell>
        </row>
        <row r="1906">
          <cell r="M1906">
            <v>45321</v>
          </cell>
          <cell r="N1906">
            <v>45322</v>
          </cell>
          <cell r="Q1906">
            <v>45327</v>
          </cell>
        </row>
        <row r="1907">
          <cell r="M1907">
            <v>45322</v>
          </cell>
          <cell r="N1907">
            <v>45323</v>
          </cell>
          <cell r="Q1907">
            <v>45328</v>
          </cell>
        </row>
        <row r="1908">
          <cell r="M1908">
            <v>45323</v>
          </cell>
          <cell r="N1908">
            <v>45324</v>
          </cell>
          <cell r="Q1908">
            <v>45329</v>
          </cell>
        </row>
        <row r="1909">
          <cell r="M1909">
            <v>45324</v>
          </cell>
          <cell r="N1909">
            <v>45327</v>
          </cell>
          <cell r="Q1909">
            <v>45330</v>
          </cell>
        </row>
        <row r="1910">
          <cell r="M1910">
            <v>45327</v>
          </cell>
          <cell r="N1910">
            <v>45328</v>
          </cell>
          <cell r="Q1910">
            <v>45331</v>
          </cell>
        </row>
        <row r="1911">
          <cell r="M1911">
            <v>45328</v>
          </cell>
          <cell r="N1911">
            <v>45329</v>
          </cell>
          <cell r="Q1911">
            <v>45335</v>
          </cell>
        </row>
        <row r="1912">
          <cell r="M1912">
            <v>45329</v>
          </cell>
          <cell r="N1912">
            <v>45330</v>
          </cell>
          <cell r="Q1912">
            <v>45336</v>
          </cell>
        </row>
        <row r="1913">
          <cell r="M1913">
            <v>45330</v>
          </cell>
          <cell r="N1913">
            <v>45331</v>
          </cell>
          <cell r="Q1913">
            <v>45337</v>
          </cell>
        </row>
        <row r="1914">
          <cell r="M1914">
            <v>45331</v>
          </cell>
          <cell r="N1914">
            <v>45335</v>
          </cell>
          <cell r="Q1914">
            <v>45338</v>
          </cell>
        </row>
        <row r="1915">
          <cell r="M1915">
            <v>45335</v>
          </cell>
          <cell r="N1915">
            <v>45336</v>
          </cell>
          <cell r="Q1915">
            <v>45341</v>
          </cell>
        </row>
        <row r="1916">
          <cell r="M1916">
            <v>45336</v>
          </cell>
          <cell r="N1916">
            <v>45337</v>
          </cell>
          <cell r="Q1916">
            <v>45342</v>
          </cell>
        </row>
        <row r="1917">
          <cell r="M1917">
            <v>45337</v>
          </cell>
          <cell r="N1917">
            <v>45338</v>
          </cell>
          <cell r="Q1917">
            <v>45343</v>
          </cell>
        </row>
        <row r="1918">
          <cell r="M1918">
            <v>45338</v>
          </cell>
          <cell r="N1918">
            <v>45341</v>
          </cell>
          <cell r="Q1918">
            <v>45344</v>
          </cell>
        </row>
        <row r="1919">
          <cell r="M1919">
            <v>45341</v>
          </cell>
          <cell r="N1919">
            <v>45342</v>
          </cell>
          <cell r="Q1919">
            <v>45348</v>
          </cell>
        </row>
        <row r="1920">
          <cell r="M1920">
            <v>45342</v>
          </cell>
          <cell r="N1920">
            <v>45343</v>
          </cell>
          <cell r="Q1920">
            <v>45349</v>
          </cell>
        </row>
        <row r="1921">
          <cell r="M1921">
            <v>45343</v>
          </cell>
          <cell r="N1921">
            <v>45344</v>
          </cell>
          <cell r="Q1921">
            <v>45350</v>
          </cell>
        </row>
        <row r="1922">
          <cell r="M1922">
            <v>45344</v>
          </cell>
          <cell r="N1922">
            <v>45348</v>
          </cell>
          <cell r="Q1922">
            <v>45351</v>
          </cell>
        </row>
        <row r="1923">
          <cell r="M1923">
            <v>45348</v>
          </cell>
          <cell r="N1923">
            <v>45349</v>
          </cell>
          <cell r="Q1923">
            <v>45352</v>
          </cell>
        </row>
        <row r="1924">
          <cell r="M1924">
            <v>45349</v>
          </cell>
          <cell r="N1924">
            <v>45350</v>
          </cell>
          <cell r="Q1924">
            <v>45355</v>
          </cell>
        </row>
        <row r="1925">
          <cell r="M1925">
            <v>45350</v>
          </cell>
          <cell r="N1925">
            <v>45351</v>
          </cell>
          <cell r="Q1925">
            <v>45356</v>
          </cell>
        </row>
        <row r="1926">
          <cell r="M1926">
            <v>45351</v>
          </cell>
          <cell r="N1926">
            <v>45352</v>
          </cell>
          <cell r="Q1926">
            <v>45357</v>
          </cell>
        </row>
        <row r="1927">
          <cell r="M1927">
            <v>45352</v>
          </cell>
          <cell r="N1927">
            <v>45355</v>
          </cell>
          <cell r="Q1927">
            <v>45358</v>
          </cell>
        </row>
        <row r="1928">
          <cell r="M1928">
            <v>45355</v>
          </cell>
          <cell r="N1928">
            <v>45356</v>
          </cell>
          <cell r="Q1928">
            <v>45359</v>
          </cell>
        </row>
        <row r="1929">
          <cell r="M1929">
            <v>45356</v>
          </cell>
          <cell r="N1929">
            <v>45357</v>
          </cell>
          <cell r="Q1929">
            <v>45362</v>
          </cell>
        </row>
        <row r="1930">
          <cell r="M1930">
            <v>45357</v>
          </cell>
          <cell r="N1930">
            <v>45358</v>
          </cell>
          <cell r="Q1930">
            <v>45363</v>
          </cell>
        </row>
        <row r="1931">
          <cell r="M1931">
            <v>45358</v>
          </cell>
          <cell r="N1931">
            <v>45359</v>
          </cell>
          <cell r="Q1931">
            <v>45364</v>
          </cell>
        </row>
        <row r="1932">
          <cell r="M1932">
            <v>45359</v>
          </cell>
          <cell r="N1932">
            <v>45362</v>
          </cell>
          <cell r="Q1932">
            <v>45365</v>
          </cell>
        </row>
        <row r="1933">
          <cell r="M1933">
            <v>45362</v>
          </cell>
          <cell r="N1933">
            <v>45363</v>
          </cell>
          <cell r="Q1933">
            <v>45366</v>
          </cell>
        </row>
        <row r="1934">
          <cell r="M1934">
            <v>45363</v>
          </cell>
          <cell r="N1934">
            <v>45364</v>
          </cell>
          <cell r="Q1934">
            <v>45369</v>
          </cell>
        </row>
        <row r="1935">
          <cell r="M1935">
            <v>45364</v>
          </cell>
          <cell r="N1935">
            <v>45365</v>
          </cell>
          <cell r="Q1935">
            <v>45370</v>
          </cell>
        </row>
        <row r="1936">
          <cell r="M1936">
            <v>45365</v>
          </cell>
          <cell r="N1936">
            <v>45366</v>
          </cell>
          <cell r="Q1936">
            <v>45372</v>
          </cell>
        </row>
        <row r="1937">
          <cell r="M1937">
            <v>45366</v>
          </cell>
          <cell r="N1937">
            <v>45369</v>
          </cell>
          <cell r="Q1937">
            <v>45373</v>
          </cell>
        </row>
        <row r="1938">
          <cell r="M1938">
            <v>45369</v>
          </cell>
          <cell r="N1938">
            <v>45370</v>
          </cell>
          <cell r="Q1938">
            <v>45376</v>
          </cell>
        </row>
        <row r="1939">
          <cell r="M1939">
            <v>45370</v>
          </cell>
          <cell r="N1939">
            <v>45372</v>
          </cell>
          <cell r="Q1939">
            <v>45377</v>
          </cell>
        </row>
        <row r="1940">
          <cell r="M1940">
            <v>45372</v>
          </cell>
          <cell r="N1940">
            <v>45373</v>
          </cell>
          <cell r="Q1940">
            <v>45378</v>
          </cell>
        </row>
        <row r="1941">
          <cell r="M1941">
            <v>45373</v>
          </cell>
          <cell r="N1941">
            <v>45376</v>
          </cell>
          <cell r="Q1941">
            <v>45379</v>
          </cell>
        </row>
        <row r="1942">
          <cell r="M1942">
            <v>45376</v>
          </cell>
          <cell r="N1942">
            <v>45377</v>
          </cell>
          <cell r="Q1942">
            <v>45380</v>
          </cell>
        </row>
        <row r="1943">
          <cell r="M1943">
            <v>45377</v>
          </cell>
          <cell r="N1943">
            <v>45378</v>
          </cell>
          <cell r="Q1943">
            <v>45383</v>
          </cell>
        </row>
        <row r="1944">
          <cell r="M1944">
            <v>45378</v>
          </cell>
          <cell r="N1944">
            <v>45379</v>
          </cell>
          <cell r="Q1944">
            <v>45384</v>
          </cell>
        </row>
        <row r="1945">
          <cell r="M1945">
            <v>45379</v>
          </cell>
          <cell r="N1945">
            <v>45380</v>
          </cell>
          <cell r="Q1945">
            <v>45385</v>
          </cell>
        </row>
        <row r="1946">
          <cell r="M1946">
            <v>45380</v>
          </cell>
          <cell r="N1946">
            <v>45383</v>
          </cell>
          <cell r="Q1946">
            <v>45386</v>
          </cell>
        </row>
        <row r="1947">
          <cell r="M1947">
            <v>45383</v>
          </cell>
          <cell r="N1947">
            <v>45384</v>
          </cell>
          <cell r="Q1947">
            <v>45387</v>
          </cell>
        </row>
        <row r="1948">
          <cell r="M1948">
            <v>45384</v>
          </cell>
          <cell r="N1948">
            <v>45385</v>
          </cell>
          <cell r="Q1948">
            <v>45390</v>
          </cell>
        </row>
        <row r="1949">
          <cell r="M1949">
            <v>45385</v>
          </cell>
          <cell r="N1949">
            <v>45386</v>
          </cell>
          <cell r="Q1949">
            <v>45391</v>
          </cell>
        </row>
        <row r="1950">
          <cell r="M1950">
            <v>45386</v>
          </cell>
          <cell r="N1950">
            <v>45387</v>
          </cell>
          <cell r="Q1950">
            <v>45392</v>
          </cell>
        </row>
        <row r="1951">
          <cell r="M1951">
            <v>45387</v>
          </cell>
          <cell r="N1951">
            <v>45390</v>
          </cell>
          <cell r="Q1951">
            <v>45393</v>
          </cell>
        </row>
        <row r="1952">
          <cell r="M1952">
            <v>45390</v>
          </cell>
          <cell r="N1952">
            <v>45391</v>
          </cell>
          <cell r="Q1952">
            <v>45394</v>
          </cell>
        </row>
        <row r="1953">
          <cell r="M1953">
            <v>45391</v>
          </cell>
          <cell r="N1953">
            <v>45392</v>
          </cell>
          <cell r="Q1953">
            <v>45397</v>
          </cell>
        </row>
        <row r="1954">
          <cell r="M1954">
            <v>45392</v>
          </cell>
          <cell r="N1954">
            <v>45393</v>
          </cell>
          <cell r="Q1954">
            <v>45398</v>
          </cell>
        </row>
        <row r="1955">
          <cell r="M1955">
            <v>45393</v>
          </cell>
          <cell r="N1955">
            <v>45394</v>
          </cell>
          <cell r="Q1955">
            <v>45399</v>
          </cell>
        </row>
        <row r="1956">
          <cell r="M1956">
            <v>45394</v>
          </cell>
          <cell r="N1956">
            <v>45397</v>
          </cell>
          <cell r="Q1956">
            <v>45400</v>
          </cell>
        </row>
        <row r="1957">
          <cell r="M1957">
            <v>45397</v>
          </cell>
          <cell r="N1957">
            <v>45398</v>
          </cell>
          <cell r="Q1957">
            <v>45401</v>
          </cell>
        </row>
        <row r="1958">
          <cell r="M1958">
            <v>45398</v>
          </cell>
          <cell r="N1958">
            <v>45399</v>
          </cell>
          <cell r="Q1958">
            <v>45404</v>
          </cell>
        </row>
        <row r="1959">
          <cell r="M1959">
            <v>45399</v>
          </cell>
          <cell r="N1959">
            <v>45400</v>
          </cell>
          <cell r="Q1959">
            <v>45405</v>
          </cell>
        </row>
        <row r="1960">
          <cell r="M1960">
            <v>45400</v>
          </cell>
          <cell r="N1960">
            <v>45401</v>
          </cell>
          <cell r="Q1960">
            <v>45406</v>
          </cell>
        </row>
        <row r="1961">
          <cell r="M1961">
            <v>45401</v>
          </cell>
          <cell r="N1961">
            <v>45404</v>
          </cell>
          <cell r="Q1961">
            <v>45407</v>
          </cell>
        </row>
        <row r="1962">
          <cell r="M1962">
            <v>45404</v>
          </cell>
          <cell r="N1962">
            <v>45405</v>
          </cell>
          <cell r="Q1962">
            <v>45408</v>
          </cell>
        </row>
        <row r="1963">
          <cell r="M1963">
            <v>45405</v>
          </cell>
          <cell r="N1963">
            <v>45406</v>
          </cell>
          <cell r="Q1963">
            <v>45412</v>
          </cell>
        </row>
        <row r="1964">
          <cell r="M1964">
            <v>45406</v>
          </cell>
          <cell r="N1964">
            <v>45407</v>
          </cell>
          <cell r="Q1964">
            <v>45413</v>
          </cell>
        </row>
        <row r="1965">
          <cell r="M1965">
            <v>45407</v>
          </cell>
          <cell r="N1965">
            <v>45408</v>
          </cell>
          <cell r="Q1965">
            <v>45414</v>
          </cell>
        </row>
        <row r="1966">
          <cell r="M1966">
            <v>45408</v>
          </cell>
          <cell r="N1966">
            <v>45412</v>
          </cell>
          <cell r="Q1966">
            <v>45419</v>
          </cell>
        </row>
        <row r="1967">
          <cell r="M1967">
            <v>45412</v>
          </cell>
          <cell r="N1967">
            <v>45413</v>
          </cell>
          <cell r="Q1967">
            <v>45420</v>
          </cell>
        </row>
        <row r="1968">
          <cell r="M1968">
            <v>45413</v>
          </cell>
          <cell r="N1968">
            <v>45414</v>
          </cell>
          <cell r="Q1968">
            <v>45421</v>
          </cell>
        </row>
        <row r="1969">
          <cell r="M1969">
            <v>45414</v>
          </cell>
          <cell r="N1969">
            <v>45419</v>
          </cell>
          <cell r="Q1969">
            <v>45422</v>
          </cell>
        </row>
        <row r="1970">
          <cell r="M1970">
            <v>45419</v>
          </cell>
          <cell r="N1970">
            <v>45420</v>
          </cell>
          <cell r="Q1970">
            <v>45423</v>
          </cell>
        </row>
        <row r="1971">
          <cell r="M1971">
            <v>45420</v>
          </cell>
          <cell r="N1971">
            <v>45421</v>
          </cell>
          <cell r="Q1971">
            <v>45425</v>
          </cell>
        </row>
        <row r="1972">
          <cell r="M1972">
            <v>45421</v>
          </cell>
          <cell r="N1972">
            <v>45422</v>
          </cell>
          <cell r="Q1972">
            <v>45426</v>
          </cell>
        </row>
        <row r="1973">
          <cell r="M1973">
            <v>45422</v>
          </cell>
          <cell r="N1973">
            <v>45423</v>
          </cell>
          <cell r="Q1973">
            <v>45427</v>
          </cell>
        </row>
        <row r="1974">
          <cell r="M1974">
            <v>45423</v>
          </cell>
          <cell r="N1974">
            <v>45425</v>
          </cell>
          <cell r="Q1974">
            <v>45428</v>
          </cell>
        </row>
        <row r="1975">
          <cell r="M1975">
            <v>45425</v>
          </cell>
          <cell r="N1975">
            <v>45426</v>
          </cell>
          <cell r="Q1975">
            <v>45429</v>
          </cell>
        </row>
        <row r="1976">
          <cell r="M1976">
            <v>45426</v>
          </cell>
          <cell r="N1976">
            <v>45427</v>
          </cell>
          <cell r="Q1976">
            <v>45432</v>
          </cell>
        </row>
        <row r="1977">
          <cell r="M1977">
            <v>45427</v>
          </cell>
          <cell r="N1977">
            <v>45428</v>
          </cell>
          <cell r="Q1977">
            <v>45433</v>
          </cell>
        </row>
        <row r="1978">
          <cell r="M1978">
            <v>45428</v>
          </cell>
          <cell r="N1978">
            <v>45429</v>
          </cell>
          <cell r="Q1978">
            <v>45434</v>
          </cell>
        </row>
        <row r="1979">
          <cell r="M1979">
            <v>45429</v>
          </cell>
          <cell r="N1979">
            <v>45432</v>
          </cell>
          <cell r="Q1979">
            <v>45435</v>
          </cell>
        </row>
        <row r="1980">
          <cell r="M1980">
            <v>45432</v>
          </cell>
          <cell r="N1980">
            <v>45433</v>
          </cell>
          <cell r="Q1980">
            <v>45436</v>
          </cell>
        </row>
        <row r="1981">
          <cell r="M1981">
            <v>45433</v>
          </cell>
          <cell r="N1981">
            <v>45434</v>
          </cell>
          <cell r="Q1981">
            <v>45439</v>
          </cell>
        </row>
        <row r="1982">
          <cell r="M1982">
            <v>45434</v>
          </cell>
          <cell r="N1982">
            <v>45435</v>
          </cell>
          <cell r="Q1982">
            <v>45440</v>
          </cell>
        </row>
        <row r="1983">
          <cell r="M1983">
            <v>45435</v>
          </cell>
          <cell r="N1983">
            <v>45436</v>
          </cell>
          <cell r="Q1983">
            <v>45441</v>
          </cell>
        </row>
        <row r="1984">
          <cell r="M1984">
            <v>45436</v>
          </cell>
          <cell r="N1984">
            <v>45439</v>
          </cell>
          <cell r="Q1984">
            <v>45442</v>
          </cell>
        </row>
        <row r="1985">
          <cell r="M1985">
            <v>45439</v>
          </cell>
          <cell r="N1985">
            <v>45440</v>
          </cell>
          <cell r="Q1985">
            <v>45443</v>
          </cell>
        </row>
        <row r="1986">
          <cell r="M1986">
            <v>45440</v>
          </cell>
          <cell r="N1986">
            <v>45441</v>
          </cell>
          <cell r="Q1986">
            <v>45446</v>
          </cell>
        </row>
        <row r="1987">
          <cell r="M1987">
            <v>45441</v>
          </cell>
          <cell r="N1987">
            <v>45442</v>
          </cell>
          <cell r="Q1987">
            <v>45447</v>
          </cell>
        </row>
        <row r="1988">
          <cell r="M1988">
            <v>45442</v>
          </cell>
          <cell r="N1988">
            <v>45443</v>
          </cell>
          <cell r="Q1988">
            <v>45448</v>
          </cell>
        </row>
        <row r="1989">
          <cell r="M1989">
            <v>45443</v>
          </cell>
          <cell r="N1989">
            <v>45446</v>
          </cell>
          <cell r="Q1989">
            <v>45449</v>
          </cell>
        </row>
        <row r="1990">
          <cell r="M1990">
            <v>45446</v>
          </cell>
          <cell r="N1990">
            <v>45447</v>
          </cell>
          <cell r="Q1990">
            <v>45450</v>
          </cell>
        </row>
        <row r="1991">
          <cell r="M1991">
            <v>45447</v>
          </cell>
          <cell r="N1991">
            <v>45448</v>
          </cell>
          <cell r="Q1991">
            <v>45453</v>
          </cell>
        </row>
        <row r="1992">
          <cell r="M1992">
            <v>45448</v>
          </cell>
          <cell r="N1992">
            <v>45449</v>
          </cell>
          <cell r="Q1992">
            <v>45454</v>
          </cell>
        </row>
        <row r="1993">
          <cell r="M1993">
            <v>45449</v>
          </cell>
          <cell r="N1993">
            <v>45450</v>
          </cell>
          <cell r="Q1993">
            <v>45455</v>
          </cell>
        </row>
        <row r="1994">
          <cell r="M1994">
            <v>45450</v>
          </cell>
          <cell r="N1994">
            <v>45453</v>
          </cell>
          <cell r="Q1994">
            <v>45456</v>
          </cell>
        </row>
        <row r="1995">
          <cell r="M1995">
            <v>45453</v>
          </cell>
          <cell r="N1995">
            <v>45454</v>
          </cell>
          <cell r="Q1995">
            <v>45457</v>
          </cell>
        </row>
        <row r="1996">
          <cell r="M1996">
            <v>45454</v>
          </cell>
          <cell r="N1996">
            <v>45455</v>
          </cell>
          <cell r="Q1996">
            <v>45460</v>
          </cell>
        </row>
        <row r="1997">
          <cell r="M1997">
            <v>45455</v>
          </cell>
          <cell r="N1997">
            <v>45456</v>
          </cell>
          <cell r="Q1997">
            <v>45461</v>
          </cell>
        </row>
        <row r="1998">
          <cell r="M1998">
            <v>45456</v>
          </cell>
          <cell r="N1998">
            <v>45457</v>
          </cell>
          <cell r="Q1998">
            <v>45462</v>
          </cell>
        </row>
        <row r="1999">
          <cell r="M1999">
            <v>45457</v>
          </cell>
          <cell r="N1999">
            <v>45460</v>
          </cell>
          <cell r="Q1999">
            <v>45463</v>
          </cell>
        </row>
        <row r="2000">
          <cell r="M2000">
            <v>45460</v>
          </cell>
          <cell r="N2000">
            <v>45461</v>
          </cell>
          <cell r="Q2000">
            <v>45464</v>
          </cell>
        </row>
        <row r="2001">
          <cell r="M2001">
            <v>45461</v>
          </cell>
          <cell r="N2001">
            <v>45462</v>
          </cell>
          <cell r="Q2001">
            <v>45467</v>
          </cell>
        </row>
        <row r="2002">
          <cell r="M2002">
            <v>45462</v>
          </cell>
          <cell r="N2002">
            <v>45463</v>
          </cell>
          <cell r="Q2002">
            <v>45468</v>
          </cell>
        </row>
        <row r="2003">
          <cell r="M2003">
            <v>45463</v>
          </cell>
          <cell r="N2003">
            <v>45464</v>
          </cell>
          <cell r="Q2003">
            <v>45469</v>
          </cell>
        </row>
        <row r="2004">
          <cell r="M2004">
            <v>45464</v>
          </cell>
          <cell r="N2004">
            <v>45467</v>
          </cell>
          <cell r="Q2004">
            <v>45470</v>
          </cell>
        </row>
        <row r="2005">
          <cell r="M2005">
            <v>45467</v>
          </cell>
          <cell r="N2005">
            <v>45468</v>
          </cell>
          <cell r="Q2005">
            <v>45471</v>
          </cell>
        </row>
        <row r="2006">
          <cell r="M2006">
            <v>45468</v>
          </cell>
          <cell r="N2006">
            <v>45469</v>
          </cell>
          <cell r="Q2006">
            <v>45474</v>
          </cell>
        </row>
        <row r="2007">
          <cell r="M2007">
            <v>45469</v>
          </cell>
          <cell r="N2007">
            <v>45470</v>
          </cell>
          <cell r="Q2007">
            <v>45475</v>
          </cell>
        </row>
        <row r="2008">
          <cell r="M2008">
            <v>45470</v>
          </cell>
          <cell r="N2008">
            <v>45471</v>
          </cell>
          <cell r="Q2008">
            <v>45476</v>
          </cell>
        </row>
        <row r="2009">
          <cell r="M2009">
            <v>45471</v>
          </cell>
          <cell r="N2009">
            <v>45474</v>
          </cell>
          <cell r="Q2009">
            <v>45477</v>
          </cell>
        </row>
        <row r="2010">
          <cell r="M2010">
            <v>45474</v>
          </cell>
          <cell r="N2010">
            <v>45475</v>
          </cell>
          <cell r="Q2010">
            <v>45478</v>
          </cell>
        </row>
        <row r="2011">
          <cell r="M2011">
            <v>45475</v>
          </cell>
          <cell r="N2011">
            <v>45476</v>
          </cell>
          <cell r="Q2011">
            <v>45481</v>
          </cell>
        </row>
        <row r="2012">
          <cell r="M2012">
            <v>45476</v>
          </cell>
          <cell r="N2012">
            <v>45477</v>
          </cell>
          <cell r="Q2012">
            <v>45482</v>
          </cell>
        </row>
        <row r="2013">
          <cell r="M2013">
            <v>45477</v>
          </cell>
          <cell r="N2013">
            <v>45478</v>
          </cell>
          <cell r="Q2013">
            <v>45483</v>
          </cell>
        </row>
        <row r="2014">
          <cell r="M2014">
            <v>45478</v>
          </cell>
          <cell r="N2014">
            <v>45481</v>
          </cell>
          <cell r="Q2014">
            <v>45484</v>
          </cell>
        </row>
        <row r="2015">
          <cell r="M2015">
            <v>45481</v>
          </cell>
          <cell r="N2015">
            <v>45482</v>
          </cell>
          <cell r="Q2015">
            <v>45485</v>
          </cell>
        </row>
        <row r="2016">
          <cell r="M2016">
            <v>45482</v>
          </cell>
          <cell r="N2016">
            <v>45483</v>
          </cell>
          <cell r="Q2016">
            <v>45489</v>
          </cell>
        </row>
        <row r="2017">
          <cell r="M2017">
            <v>45483</v>
          </cell>
          <cell r="N2017">
            <v>45484</v>
          </cell>
          <cell r="Q2017">
            <v>45490</v>
          </cell>
        </row>
        <row r="2018">
          <cell r="M2018">
            <v>45484</v>
          </cell>
          <cell r="N2018">
            <v>45485</v>
          </cell>
          <cell r="Q2018">
            <v>45491</v>
          </cell>
        </row>
        <row r="2019">
          <cell r="M2019">
            <v>45485</v>
          </cell>
          <cell r="N2019">
            <v>45489</v>
          </cell>
          <cell r="Q2019">
            <v>45492</v>
          </cell>
        </row>
        <row r="2020">
          <cell r="M2020">
            <v>45489</v>
          </cell>
          <cell r="N2020">
            <v>45490</v>
          </cell>
          <cell r="Q2020">
            <v>45495</v>
          </cell>
        </row>
        <row r="2021">
          <cell r="M2021">
            <v>45490</v>
          </cell>
          <cell r="N2021">
            <v>45491</v>
          </cell>
          <cell r="Q2021">
            <v>45496</v>
          </cell>
        </row>
        <row r="2022">
          <cell r="M2022">
            <v>45491</v>
          </cell>
          <cell r="N2022">
            <v>45492</v>
          </cell>
          <cell r="Q2022">
            <v>45497</v>
          </cell>
        </row>
        <row r="2023">
          <cell r="M2023">
            <v>45492</v>
          </cell>
          <cell r="N2023">
            <v>45495</v>
          </cell>
          <cell r="Q2023">
            <v>45498</v>
          </cell>
        </row>
        <row r="2024">
          <cell r="M2024">
            <v>45495</v>
          </cell>
          <cell r="N2024">
            <v>45496</v>
          </cell>
          <cell r="Q2024">
            <v>45499</v>
          </cell>
        </row>
        <row r="2025">
          <cell r="M2025">
            <v>45496</v>
          </cell>
          <cell r="N2025">
            <v>45497</v>
          </cell>
          <cell r="Q2025">
            <v>45502</v>
          </cell>
        </row>
        <row r="2026">
          <cell r="M2026">
            <v>45497</v>
          </cell>
          <cell r="N2026">
            <v>45498</v>
          </cell>
          <cell r="Q2026">
            <v>45503</v>
          </cell>
        </row>
        <row r="2027">
          <cell r="M2027">
            <v>45498</v>
          </cell>
          <cell r="N2027">
            <v>45499</v>
          </cell>
          <cell r="Q2027">
            <v>45504</v>
          </cell>
        </row>
        <row r="2028">
          <cell r="M2028">
            <v>45499</v>
          </cell>
          <cell r="N2028">
            <v>45502</v>
          </cell>
          <cell r="Q2028">
            <v>45505</v>
          </cell>
        </row>
        <row r="2029">
          <cell r="M2029">
            <v>45502</v>
          </cell>
          <cell r="N2029">
            <v>45503</v>
          </cell>
          <cell r="Q2029">
            <v>45506</v>
          </cell>
        </row>
        <row r="2030">
          <cell r="M2030">
            <v>45503</v>
          </cell>
          <cell r="N2030">
            <v>45504</v>
          </cell>
          <cell r="Q2030">
            <v>45509</v>
          </cell>
        </row>
        <row r="2031">
          <cell r="M2031">
            <v>45504</v>
          </cell>
          <cell r="N2031">
            <v>45505</v>
          </cell>
          <cell r="Q2031">
            <v>45510</v>
          </cell>
        </row>
        <row r="2032">
          <cell r="M2032">
            <v>45505</v>
          </cell>
          <cell r="N2032">
            <v>45506</v>
          </cell>
          <cell r="Q2032">
            <v>45511</v>
          </cell>
        </row>
        <row r="2033">
          <cell r="M2033">
            <v>45506</v>
          </cell>
          <cell r="N2033">
            <v>45509</v>
          </cell>
          <cell r="Q2033">
            <v>45512</v>
          </cell>
        </row>
        <row r="2034">
          <cell r="M2034">
            <v>45509</v>
          </cell>
          <cell r="N2034">
            <v>45510</v>
          </cell>
          <cell r="Q2034">
            <v>45513</v>
          </cell>
        </row>
        <row r="2035">
          <cell r="M2035">
            <v>45510</v>
          </cell>
          <cell r="N2035">
            <v>45511</v>
          </cell>
          <cell r="Q2035">
            <v>45520</v>
          </cell>
        </row>
        <row r="2036">
          <cell r="M2036">
            <v>45511</v>
          </cell>
          <cell r="N2036">
            <v>45512</v>
          </cell>
          <cell r="Q2036">
            <v>45521</v>
          </cell>
        </row>
        <row r="2037">
          <cell r="M2037">
            <v>45512</v>
          </cell>
          <cell r="N2037">
            <v>45513</v>
          </cell>
          <cell r="Q2037">
            <v>45523</v>
          </cell>
        </row>
        <row r="2038">
          <cell r="M2038">
            <v>45513</v>
          </cell>
          <cell r="N2038">
            <v>45520</v>
          </cell>
          <cell r="Q2038">
            <v>45524</v>
          </cell>
        </row>
        <row r="2039">
          <cell r="M2039">
            <v>45520</v>
          </cell>
          <cell r="N2039">
            <v>45521</v>
          </cell>
          <cell r="Q2039">
            <v>45525</v>
          </cell>
        </row>
        <row r="2040">
          <cell r="M2040">
            <v>45521</v>
          </cell>
          <cell r="N2040">
            <v>45523</v>
          </cell>
          <cell r="Q2040">
            <v>45526</v>
          </cell>
        </row>
        <row r="2041">
          <cell r="M2041">
            <v>45523</v>
          </cell>
          <cell r="N2041">
            <v>45524</v>
          </cell>
          <cell r="Q2041">
            <v>45527</v>
          </cell>
        </row>
        <row r="2042">
          <cell r="M2042">
            <v>45524</v>
          </cell>
          <cell r="N2042">
            <v>45525</v>
          </cell>
          <cell r="Q2042">
            <v>45530</v>
          </cell>
        </row>
        <row r="2043">
          <cell r="M2043">
            <v>45525</v>
          </cell>
          <cell r="N2043">
            <v>45526</v>
          </cell>
          <cell r="Q2043">
            <v>45531</v>
          </cell>
        </row>
        <row r="2044">
          <cell r="M2044">
            <v>45526</v>
          </cell>
          <cell r="N2044">
            <v>45527</v>
          </cell>
          <cell r="Q2044">
            <v>45532</v>
          </cell>
        </row>
        <row r="2045">
          <cell r="M2045">
            <v>45527</v>
          </cell>
          <cell r="N2045">
            <v>45530</v>
          </cell>
          <cell r="Q2045">
            <v>45533</v>
          </cell>
        </row>
        <row r="2046">
          <cell r="M2046">
            <v>45530</v>
          </cell>
          <cell r="N2046">
            <v>45531</v>
          </cell>
          <cell r="Q2046">
            <v>45534</v>
          </cell>
        </row>
        <row r="2047">
          <cell r="M2047">
            <v>45531</v>
          </cell>
          <cell r="N2047">
            <v>45532</v>
          </cell>
          <cell r="Q2047">
            <v>45537</v>
          </cell>
        </row>
        <row r="2048">
          <cell r="M2048">
            <v>45532</v>
          </cell>
          <cell r="N2048">
            <v>45533</v>
          </cell>
          <cell r="Q2048">
            <v>45538</v>
          </cell>
        </row>
        <row r="2049">
          <cell r="M2049">
            <v>45533</v>
          </cell>
          <cell r="N2049">
            <v>45534</v>
          </cell>
          <cell r="Q2049">
            <v>45539</v>
          </cell>
        </row>
        <row r="2050">
          <cell r="M2050">
            <v>45534</v>
          </cell>
          <cell r="N2050">
            <v>45537</v>
          </cell>
          <cell r="Q2050">
            <v>45540</v>
          </cell>
        </row>
        <row r="2051">
          <cell r="M2051">
            <v>45537</v>
          </cell>
          <cell r="N2051">
            <v>45538</v>
          </cell>
          <cell r="Q2051">
            <v>45541</v>
          </cell>
        </row>
        <row r="2052">
          <cell r="M2052">
            <v>45538</v>
          </cell>
          <cell r="N2052">
            <v>45539</v>
          </cell>
          <cell r="Q2052">
            <v>45544</v>
          </cell>
        </row>
        <row r="2053">
          <cell r="M2053">
            <v>45539</v>
          </cell>
          <cell r="N2053">
            <v>45540</v>
          </cell>
          <cell r="Q2053">
            <v>45545</v>
          </cell>
        </row>
        <row r="2054">
          <cell r="M2054">
            <v>45540</v>
          </cell>
          <cell r="N2054">
            <v>45541</v>
          </cell>
          <cell r="Q2054">
            <v>45546</v>
          </cell>
        </row>
        <row r="2055">
          <cell r="M2055">
            <v>45541</v>
          </cell>
          <cell r="N2055">
            <v>45544</v>
          </cell>
          <cell r="Q2055">
            <v>45547</v>
          </cell>
        </row>
        <row r="2056">
          <cell r="M2056">
            <v>45544</v>
          </cell>
          <cell r="N2056">
            <v>45545</v>
          </cell>
          <cell r="Q2056">
            <v>45548</v>
          </cell>
        </row>
        <row r="2057">
          <cell r="M2057">
            <v>45545</v>
          </cell>
          <cell r="N2057">
            <v>45546</v>
          </cell>
          <cell r="Q2057">
            <v>45552</v>
          </cell>
        </row>
        <row r="2058">
          <cell r="M2058">
            <v>45546</v>
          </cell>
          <cell r="N2058">
            <v>45547</v>
          </cell>
          <cell r="Q2058">
            <v>45553</v>
          </cell>
        </row>
        <row r="2059">
          <cell r="M2059">
            <v>45547</v>
          </cell>
          <cell r="N2059">
            <v>45548</v>
          </cell>
          <cell r="Q2059">
            <v>45554</v>
          </cell>
        </row>
        <row r="2060">
          <cell r="M2060">
            <v>45548</v>
          </cell>
          <cell r="N2060">
            <v>45552</v>
          </cell>
          <cell r="Q2060">
            <v>45555</v>
          </cell>
        </row>
        <row r="2061">
          <cell r="M2061">
            <v>45552</v>
          </cell>
          <cell r="N2061">
            <v>45553</v>
          </cell>
          <cell r="Q2061">
            <v>45559</v>
          </cell>
        </row>
        <row r="2062">
          <cell r="M2062">
            <v>45553</v>
          </cell>
          <cell r="N2062">
            <v>45554</v>
          </cell>
          <cell r="Q2062">
            <v>45560</v>
          </cell>
        </row>
        <row r="2063">
          <cell r="M2063">
            <v>45554</v>
          </cell>
          <cell r="N2063">
            <v>45555</v>
          </cell>
          <cell r="Q2063">
            <v>45561</v>
          </cell>
        </row>
        <row r="2064">
          <cell r="M2064">
            <v>45555</v>
          </cell>
          <cell r="N2064">
            <v>45559</v>
          </cell>
          <cell r="Q2064">
            <v>45562</v>
          </cell>
        </row>
        <row r="2065">
          <cell r="M2065">
            <v>45559</v>
          </cell>
          <cell r="N2065">
            <v>45560</v>
          </cell>
          <cell r="Q2065">
            <v>45565</v>
          </cell>
        </row>
        <row r="2066">
          <cell r="M2066">
            <v>45560</v>
          </cell>
          <cell r="N2066">
            <v>45561</v>
          </cell>
          <cell r="Q2066">
            <v>45566</v>
          </cell>
        </row>
        <row r="2067">
          <cell r="M2067">
            <v>45561</v>
          </cell>
          <cell r="N2067">
            <v>45562</v>
          </cell>
          <cell r="Q2067">
            <v>45567</v>
          </cell>
        </row>
        <row r="2068">
          <cell r="M2068">
            <v>45562</v>
          </cell>
          <cell r="N2068">
            <v>45565</v>
          </cell>
          <cell r="Q2068">
            <v>45568</v>
          </cell>
        </row>
        <row r="2069">
          <cell r="M2069">
            <v>45565</v>
          </cell>
          <cell r="N2069">
            <v>45566</v>
          </cell>
          <cell r="Q2069">
            <v>45569</v>
          </cell>
        </row>
        <row r="2070">
          <cell r="M2070">
            <v>45566</v>
          </cell>
          <cell r="N2070">
            <v>45567</v>
          </cell>
          <cell r="Q2070">
            <v>45572</v>
          </cell>
        </row>
        <row r="2071">
          <cell r="M2071">
            <v>45567</v>
          </cell>
          <cell r="N2071">
            <v>45568</v>
          </cell>
          <cell r="Q2071">
            <v>45573</v>
          </cell>
        </row>
        <row r="2072">
          <cell r="M2072">
            <v>45568</v>
          </cell>
          <cell r="N2072">
            <v>45569</v>
          </cell>
          <cell r="Q2072">
            <v>45574</v>
          </cell>
        </row>
        <row r="2073">
          <cell r="M2073">
            <v>45569</v>
          </cell>
          <cell r="N2073">
            <v>45572</v>
          </cell>
          <cell r="Q2073">
            <v>45575</v>
          </cell>
        </row>
        <row r="2074">
          <cell r="M2074">
            <v>45572</v>
          </cell>
          <cell r="N2074">
            <v>45573</v>
          </cell>
          <cell r="Q2074">
            <v>45576</v>
          </cell>
        </row>
        <row r="2075">
          <cell r="M2075">
            <v>45573</v>
          </cell>
          <cell r="N2075">
            <v>45574</v>
          </cell>
          <cell r="Q2075">
            <v>45580</v>
          </cell>
        </row>
        <row r="2076">
          <cell r="M2076">
            <v>45574</v>
          </cell>
          <cell r="N2076">
            <v>45575</v>
          </cell>
          <cell r="Q2076">
            <v>45581</v>
          </cell>
        </row>
        <row r="2077">
          <cell r="M2077">
            <v>45575</v>
          </cell>
          <cell r="N2077">
            <v>45576</v>
          </cell>
          <cell r="Q2077">
            <v>45582</v>
          </cell>
        </row>
        <row r="2078">
          <cell r="M2078">
            <v>45576</v>
          </cell>
          <cell r="N2078">
            <v>45580</v>
          </cell>
          <cell r="Q2078">
            <v>45583</v>
          </cell>
        </row>
        <row r="2079">
          <cell r="M2079">
            <v>45580</v>
          </cell>
          <cell r="N2079">
            <v>45581</v>
          </cell>
          <cell r="Q2079">
            <v>45584</v>
          </cell>
        </row>
        <row r="2080">
          <cell r="M2080">
            <v>45581</v>
          </cell>
          <cell r="N2080">
            <v>45582</v>
          </cell>
          <cell r="Q2080">
            <v>45586</v>
          </cell>
        </row>
        <row r="2081">
          <cell r="M2081">
            <v>45582</v>
          </cell>
          <cell r="N2081">
            <v>45583</v>
          </cell>
          <cell r="Q2081">
            <v>45587</v>
          </cell>
        </row>
        <row r="2082">
          <cell r="M2082">
            <v>45583</v>
          </cell>
          <cell r="N2082">
            <v>45584</v>
          </cell>
          <cell r="Q2082">
            <v>45588</v>
          </cell>
        </row>
        <row r="2083">
          <cell r="M2083">
            <v>45584</v>
          </cell>
          <cell r="N2083">
            <v>45586</v>
          </cell>
          <cell r="Q2083">
            <v>45589</v>
          </cell>
        </row>
        <row r="2084">
          <cell r="M2084">
            <v>45586</v>
          </cell>
          <cell r="N2084">
            <v>45587</v>
          </cell>
          <cell r="Q2084">
            <v>45590</v>
          </cell>
        </row>
        <row r="2085">
          <cell r="M2085">
            <v>45587</v>
          </cell>
          <cell r="N2085">
            <v>45588</v>
          </cell>
          <cell r="Q2085">
            <v>45593</v>
          </cell>
        </row>
        <row r="2086">
          <cell r="M2086">
            <v>45588</v>
          </cell>
          <cell r="N2086">
            <v>45589</v>
          </cell>
          <cell r="Q2086">
            <v>45594</v>
          </cell>
        </row>
        <row r="2087">
          <cell r="M2087">
            <v>45589</v>
          </cell>
          <cell r="N2087">
            <v>45590</v>
          </cell>
          <cell r="Q2087">
            <v>45595</v>
          </cell>
        </row>
        <row r="2088">
          <cell r="M2088">
            <v>45590</v>
          </cell>
          <cell r="N2088">
            <v>45593</v>
          </cell>
          <cell r="Q2088">
            <v>45596</v>
          </cell>
        </row>
        <row r="2089">
          <cell r="M2089">
            <v>45593</v>
          </cell>
          <cell r="N2089">
            <v>45594</v>
          </cell>
          <cell r="Q2089">
            <v>45597</v>
          </cell>
        </row>
        <row r="2090">
          <cell r="M2090">
            <v>45594</v>
          </cell>
          <cell r="N2090">
            <v>45595</v>
          </cell>
          <cell r="Q2090">
            <v>45601</v>
          </cell>
        </row>
        <row r="2091">
          <cell r="M2091">
            <v>45595</v>
          </cell>
          <cell r="N2091">
            <v>45596</v>
          </cell>
          <cell r="Q2091">
            <v>45602</v>
          </cell>
        </row>
        <row r="2092">
          <cell r="M2092">
            <v>45596</v>
          </cell>
          <cell r="N2092">
            <v>45597</v>
          </cell>
          <cell r="Q2092">
            <v>45603</v>
          </cell>
        </row>
        <row r="2093">
          <cell r="M2093">
            <v>45597</v>
          </cell>
          <cell r="N2093">
            <v>45601</v>
          </cell>
          <cell r="Q2093">
            <v>45604</v>
          </cell>
        </row>
        <row r="2094">
          <cell r="M2094">
            <v>45601</v>
          </cell>
          <cell r="N2094">
            <v>45602</v>
          </cell>
          <cell r="Q2094">
            <v>45607</v>
          </cell>
        </row>
        <row r="2095">
          <cell r="M2095">
            <v>45602</v>
          </cell>
          <cell r="N2095">
            <v>45603</v>
          </cell>
          <cell r="Q2095">
            <v>45608</v>
          </cell>
        </row>
        <row r="2096">
          <cell r="M2096">
            <v>45603</v>
          </cell>
          <cell r="N2096">
            <v>45604</v>
          </cell>
          <cell r="Q2096">
            <v>45609</v>
          </cell>
        </row>
        <row r="2097">
          <cell r="M2097">
            <v>45604</v>
          </cell>
          <cell r="N2097">
            <v>45607</v>
          </cell>
          <cell r="Q2097">
            <v>45610</v>
          </cell>
        </row>
        <row r="2098">
          <cell r="M2098">
            <v>45607</v>
          </cell>
          <cell r="N2098">
            <v>45608</v>
          </cell>
          <cell r="Q2098">
            <v>45611</v>
          </cell>
        </row>
        <row r="2099">
          <cell r="M2099">
            <v>45608</v>
          </cell>
          <cell r="N2099">
            <v>45609</v>
          </cell>
          <cell r="Q2099">
            <v>45614</v>
          </cell>
        </row>
        <row r="2100">
          <cell r="M2100">
            <v>45609</v>
          </cell>
          <cell r="N2100">
            <v>45610</v>
          </cell>
          <cell r="Q2100">
            <v>45615</v>
          </cell>
        </row>
        <row r="2101">
          <cell r="M2101">
            <v>45610</v>
          </cell>
          <cell r="N2101">
            <v>45611</v>
          </cell>
          <cell r="Q2101">
            <v>45616</v>
          </cell>
        </row>
        <row r="2102">
          <cell r="M2102">
            <v>45611</v>
          </cell>
          <cell r="N2102">
            <v>45614</v>
          </cell>
          <cell r="Q2102">
            <v>45617</v>
          </cell>
        </row>
        <row r="2103">
          <cell r="M2103">
            <v>45614</v>
          </cell>
          <cell r="N2103">
            <v>45615</v>
          </cell>
          <cell r="Q2103">
            <v>45618</v>
          </cell>
        </row>
        <row r="2104">
          <cell r="M2104">
            <v>45615</v>
          </cell>
          <cell r="N2104">
            <v>45616</v>
          </cell>
          <cell r="Q2104">
            <v>45621</v>
          </cell>
        </row>
        <row r="2105">
          <cell r="M2105">
            <v>45616</v>
          </cell>
          <cell r="N2105">
            <v>45617</v>
          </cell>
          <cell r="Q2105">
            <v>45622</v>
          </cell>
        </row>
        <row r="2106">
          <cell r="M2106">
            <v>45617</v>
          </cell>
          <cell r="N2106">
            <v>45618</v>
          </cell>
          <cell r="Q2106">
            <v>45623</v>
          </cell>
        </row>
        <row r="2107">
          <cell r="M2107">
            <v>45618</v>
          </cell>
          <cell r="N2107">
            <v>45621</v>
          </cell>
          <cell r="Q2107">
            <v>45624</v>
          </cell>
        </row>
        <row r="2108">
          <cell r="M2108">
            <v>45621</v>
          </cell>
          <cell r="N2108">
            <v>45622</v>
          </cell>
          <cell r="Q2108">
            <v>45625</v>
          </cell>
        </row>
        <row r="2109">
          <cell r="M2109">
            <v>45622</v>
          </cell>
          <cell r="N2109">
            <v>45623</v>
          </cell>
          <cell r="Q2109">
            <v>45628</v>
          </cell>
        </row>
        <row r="2110">
          <cell r="M2110">
            <v>45623</v>
          </cell>
          <cell r="N2110">
            <v>45624</v>
          </cell>
          <cell r="Q2110">
            <v>45629</v>
          </cell>
        </row>
        <row r="2111">
          <cell r="M2111">
            <v>45624</v>
          </cell>
          <cell r="N2111">
            <v>45625</v>
          </cell>
          <cell r="Q2111">
            <v>45630</v>
          </cell>
        </row>
        <row r="2112">
          <cell r="M2112">
            <v>45625</v>
          </cell>
          <cell r="N2112">
            <v>45628</v>
          </cell>
          <cell r="Q2112">
            <v>45631</v>
          </cell>
        </row>
        <row r="2113">
          <cell r="M2113">
            <v>45628</v>
          </cell>
          <cell r="N2113">
            <v>45629</v>
          </cell>
          <cell r="Q2113">
            <v>45632</v>
          </cell>
        </row>
        <row r="2114">
          <cell r="M2114">
            <v>45629</v>
          </cell>
          <cell r="N2114">
            <v>45630</v>
          </cell>
          <cell r="Q2114">
            <v>45635</v>
          </cell>
        </row>
        <row r="2115">
          <cell r="M2115">
            <v>45630</v>
          </cell>
          <cell r="N2115">
            <v>45631</v>
          </cell>
          <cell r="Q2115">
            <v>45636</v>
          </cell>
        </row>
        <row r="2116">
          <cell r="M2116">
            <v>45631</v>
          </cell>
          <cell r="N2116">
            <v>45632</v>
          </cell>
          <cell r="Q2116">
            <v>45637</v>
          </cell>
        </row>
        <row r="2117">
          <cell r="M2117">
            <v>45632</v>
          </cell>
          <cell r="N2117">
            <v>45635</v>
          </cell>
          <cell r="Q2117">
            <v>45638</v>
          </cell>
        </row>
        <row r="2118">
          <cell r="M2118">
            <v>45635</v>
          </cell>
          <cell r="N2118">
            <v>45636</v>
          </cell>
          <cell r="Q2118">
            <v>45639</v>
          </cell>
        </row>
        <row r="2119">
          <cell r="M2119">
            <v>45636</v>
          </cell>
          <cell r="N2119">
            <v>45637</v>
          </cell>
          <cell r="Q2119">
            <v>45642</v>
          </cell>
        </row>
        <row r="2120">
          <cell r="M2120">
            <v>45637</v>
          </cell>
          <cell r="N2120">
            <v>45638</v>
          </cell>
          <cell r="Q2120">
            <v>45643</v>
          </cell>
        </row>
        <row r="2121">
          <cell r="M2121">
            <v>45638</v>
          </cell>
          <cell r="N2121">
            <v>45639</v>
          </cell>
          <cell r="Q2121">
            <v>45644</v>
          </cell>
        </row>
        <row r="2122">
          <cell r="M2122">
            <v>45639</v>
          </cell>
          <cell r="N2122">
            <v>45642</v>
          </cell>
          <cell r="Q2122">
            <v>45645</v>
          </cell>
        </row>
        <row r="2123">
          <cell r="M2123">
            <v>45642</v>
          </cell>
          <cell r="N2123">
            <v>45643</v>
          </cell>
          <cell r="Q2123">
            <v>45646</v>
          </cell>
        </row>
        <row r="2124">
          <cell r="M2124">
            <v>45643</v>
          </cell>
          <cell r="N2124">
            <v>45644</v>
          </cell>
          <cell r="Q2124">
            <v>45649</v>
          </cell>
        </row>
        <row r="2125">
          <cell r="M2125">
            <v>45644</v>
          </cell>
          <cell r="N2125">
            <v>45645</v>
          </cell>
          <cell r="Q2125">
            <v>45650</v>
          </cell>
        </row>
        <row r="2126">
          <cell r="M2126">
            <v>45645</v>
          </cell>
          <cell r="N2126">
            <v>45646</v>
          </cell>
          <cell r="Q2126">
            <v>45651</v>
          </cell>
        </row>
        <row r="2127">
          <cell r="M2127">
            <v>45646</v>
          </cell>
          <cell r="N2127">
            <v>45649</v>
          </cell>
          <cell r="Q2127">
            <v>45652</v>
          </cell>
        </row>
        <row r="2128">
          <cell r="M2128">
            <v>45649</v>
          </cell>
          <cell r="N2128">
            <v>45650</v>
          </cell>
          <cell r="Q2128">
            <v>45653</v>
          </cell>
        </row>
        <row r="2129">
          <cell r="M2129">
            <v>45650</v>
          </cell>
          <cell r="N2129">
            <v>45651</v>
          </cell>
          <cell r="Q2129">
            <v>45663</v>
          </cell>
        </row>
        <row r="2130">
          <cell r="M2130">
            <v>45651</v>
          </cell>
          <cell r="N2130">
            <v>45652</v>
          </cell>
          <cell r="Q2130">
            <v>45664</v>
          </cell>
        </row>
        <row r="2131">
          <cell r="M2131">
            <v>45652</v>
          </cell>
          <cell r="N2131">
            <v>45653</v>
          </cell>
          <cell r="Q2131">
            <v>45665</v>
          </cell>
        </row>
        <row r="2132">
          <cell r="M2132">
            <v>45653</v>
          </cell>
          <cell r="N2132">
            <v>45663</v>
          </cell>
          <cell r="Q2132">
            <v>45666</v>
          </cell>
        </row>
        <row r="2133">
          <cell r="M2133">
            <v>45663</v>
          </cell>
          <cell r="N2133">
            <v>45664</v>
          </cell>
          <cell r="Q2133">
            <v>45667</v>
          </cell>
        </row>
        <row r="2134">
          <cell r="M2134">
            <v>45664</v>
          </cell>
          <cell r="N2134">
            <v>45665</v>
          </cell>
          <cell r="Q2134">
            <v>45671</v>
          </cell>
        </row>
        <row r="2135">
          <cell r="M2135">
            <v>45665</v>
          </cell>
          <cell r="N2135">
            <v>45666</v>
          </cell>
          <cell r="Q2135">
            <v>45672</v>
          </cell>
        </row>
        <row r="2136">
          <cell r="M2136">
            <v>45666</v>
          </cell>
          <cell r="N2136">
            <v>45667</v>
          </cell>
          <cell r="Q2136">
            <v>45673</v>
          </cell>
        </row>
        <row r="2137">
          <cell r="M2137">
            <v>45667</v>
          </cell>
          <cell r="N2137">
            <v>45671</v>
          </cell>
          <cell r="Q2137">
            <v>45674</v>
          </cell>
        </row>
        <row r="2138">
          <cell r="M2138">
            <v>45671</v>
          </cell>
          <cell r="N2138">
            <v>45672</v>
          </cell>
          <cell r="Q2138">
            <v>45675</v>
          </cell>
        </row>
        <row r="2139">
          <cell r="M2139">
            <v>45672</v>
          </cell>
          <cell r="N2139">
            <v>45673</v>
          </cell>
          <cell r="Q2139">
            <v>45677</v>
          </cell>
        </row>
        <row r="2140">
          <cell r="M2140">
            <v>45673</v>
          </cell>
          <cell r="N2140">
            <v>45674</v>
          </cell>
          <cell r="Q2140">
            <v>45678</v>
          </cell>
        </row>
        <row r="2141">
          <cell r="M2141">
            <v>45674</v>
          </cell>
          <cell r="N2141">
            <v>45675</v>
          </cell>
          <cell r="Q2141">
            <v>45679</v>
          </cell>
        </row>
        <row r="2142">
          <cell r="M2142">
            <v>45675</v>
          </cell>
          <cell r="N2142">
            <v>45677</v>
          </cell>
          <cell r="Q2142">
            <v>45680</v>
          </cell>
        </row>
        <row r="2143">
          <cell r="M2143">
            <v>45677</v>
          </cell>
          <cell r="N2143">
            <v>45678</v>
          </cell>
          <cell r="Q2143">
            <v>45681</v>
          </cell>
        </row>
        <row r="2144">
          <cell r="M2144">
            <v>45678</v>
          </cell>
          <cell r="N2144">
            <v>45679</v>
          </cell>
          <cell r="Q2144">
            <v>45684</v>
          </cell>
        </row>
        <row r="2145">
          <cell r="M2145">
            <v>45679</v>
          </cell>
          <cell r="N2145">
            <v>45680</v>
          </cell>
          <cell r="Q2145">
            <v>45685</v>
          </cell>
        </row>
        <row r="2146">
          <cell r="M2146">
            <v>45680</v>
          </cell>
          <cell r="N2146">
            <v>45681</v>
          </cell>
          <cell r="Q2146">
            <v>45686</v>
          </cell>
        </row>
        <row r="2147">
          <cell r="M2147">
            <v>45681</v>
          </cell>
          <cell r="N2147">
            <v>45684</v>
          </cell>
          <cell r="Q2147">
            <v>45687</v>
          </cell>
        </row>
        <row r="2148">
          <cell r="M2148">
            <v>45684</v>
          </cell>
          <cell r="N2148">
            <v>45685</v>
          </cell>
          <cell r="Q2148">
            <v>45688</v>
          </cell>
        </row>
        <row r="2149">
          <cell r="M2149">
            <v>45685</v>
          </cell>
          <cell r="N2149">
            <v>45686</v>
          </cell>
          <cell r="Q2149">
            <v>45691</v>
          </cell>
        </row>
        <row r="2150">
          <cell r="M2150">
            <v>45686</v>
          </cell>
          <cell r="N2150">
            <v>45687</v>
          </cell>
          <cell r="Q2150">
            <v>45692</v>
          </cell>
        </row>
        <row r="2151">
          <cell r="M2151">
            <v>45687</v>
          </cell>
          <cell r="N2151">
            <v>45688</v>
          </cell>
          <cell r="Q2151">
            <v>45693</v>
          </cell>
        </row>
        <row r="2152">
          <cell r="M2152">
            <v>45688</v>
          </cell>
          <cell r="N2152">
            <v>45691</v>
          </cell>
          <cell r="Q2152">
            <v>45694</v>
          </cell>
        </row>
        <row r="2153">
          <cell r="M2153">
            <v>45691</v>
          </cell>
          <cell r="N2153">
            <v>45692</v>
          </cell>
          <cell r="Q2153">
            <v>45695</v>
          </cell>
        </row>
        <row r="2154">
          <cell r="M2154">
            <v>45692</v>
          </cell>
          <cell r="N2154">
            <v>45693</v>
          </cell>
          <cell r="Q2154">
            <v>45698</v>
          </cell>
        </row>
        <row r="2155">
          <cell r="M2155">
            <v>45693</v>
          </cell>
          <cell r="N2155">
            <v>45694</v>
          </cell>
          <cell r="Q2155">
            <v>45700</v>
          </cell>
        </row>
        <row r="2156">
          <cell r="M2156">
            <v>45694</v>
          </cell>
          <cell r="N2156">
            <v>45695</v>
          </cell>
          <cell r="Q2156">
            <v>45701</v>
          </cell>
        </row>
        <row r="2157">
          <cell r="M2157">
            <v>45695</v>
          </cell>
          <cell r="N2157">
            <v>45698</v>
          </cell>
          <cell r="Q2157">
            <v>45702</v>
          </cell>
        </row>
        <row r="2158">
          <cell r="M2158">
            <v>45698</v>
          </cell>
          <cell r="N2158">
            <v>45700</v>
          </cell>
          <cell r="Q2158">
            <v>45703</v>
          </cell>
        </row>
        <row r="2159">
          <cell r="M2159">
            <v>45700</v>
          </cell>
          <cell r="N2159">
            <v>45701</v>
          </cell>
          <cell r="Q2159">
            <v>45705</v>
          </cell>
        </row>
        <row r="2160">
          <cell r="M2160">
            <v>45701</v>
          </cell>
          <cell r="N2160">
            <v>45702</v>
          </cell>
          <cell r="Q2160">
            <v>45706</v>
          </cell>
        </row>
        <row r="2161">
          <cell r="M2161">
            <v>45702</v>
          </cell>
          <cell r="N2161">
            <v>45703</v>
          </cell>
          <cell r="Q2161">
            <v>45707</v>
          </cell>
        </row>
        <row r="2162">
          <cell r="M2162">
            <v>45703</v>
          </cell>
          <cell r="N2162">
            <v>45705</v>
          </cell>
          <cell r="Q2162">
            <v>45708</v>
          </cell>
        </row>
        <row r="2163">
          <cell r="M2163">
            <v>45705</v>
          </cell>
          <cell r="N2163">
            <v>45706</v>
          </cell>
          <cell r="Q2163">
            <v>45709</v>
          </cell>
        </row>
        <row r="2164">
          <cell r="M2164">
            <v>45706</v>
          </cell>
          <cell r="N2164">
            <v>45707</v>
          </cell>
          <cell r="Q2164">
            <v>45713</v>
          </cell>
        </row>
        <row r="2165">
          <cell r="M2165">
            <v>45707</v>
          </cell>
          <cell r="N2165">
            <v>45708</v>
          </cell>
          <cell r="Q2165">
            <v>45714</v>
          </cell>
        </row>
        <row r="2166">
          <cell r="M2166">
            <v>45708</v>
          </cell>
          <cell r="N2166">
            <v>45709</v>
          </cell>
          <cell r="Q2166">
            <v>45715</v>
          </cell>
        </row>
        <row r="2167">
          <cell r="M2167">
            <v>45709</v>
          </cell>
          <cell r="N2167">
            <v>45713</v>
          </cell>
          <cell r="Q2167">
            <v>45716</v>
          </cell>
        </row>
        <row r="2168">
          <cell r="M2168">
            <v>45713</v>
          </cell>
          <cell r="N2168">
            <v>45714</v>
          </cell>
          <cell r="Q2168">
            <v>45719</v>
          </cell>
        </row>
        <row r="2169">
          <cell r="M2169">
            <v>45714</v>
          </cell>
          <cell r="N2169">
            <v>45715</v>
          </cell>
          <cell r="Q2169">
            <v>45720</v>
          </cell>
        </row>
        <row r="2170">
          <cell r="M2170">
            <v>45715</v>
          </cell>
          <cell r="N2170">
            <v>45716</v>
          </cell>
          <cell r="Q2170">
            <v>45721</v>
          </cell>
        </row>
        <row r="2171">
          <cell r="M2171">
            <v>45716</v>
          </cell>
          <cell r="N2171">
            <v>45719</v>
          </cell>
          <cell r="Q2171">
            <v>45722</v>
          </cell>
        </row>
        <row r="2172">
          <cell r="M2172">
            <v>45719</v>
          </cell>
          <cell r="N2172">
            <v>45720</v>
          </cell>
          <cell r="Q2172">
            <v>45723</v>
          </cell>
        </row>
        <row r="2173">
          <cell r="M2173">
            <v>45720</v>
          </cell>
          <cell r="N2173">
            <v>45721</v>
          </cell>
          <cell r="Q2173">
            <v>45726</v>
          </cell>
        </row>
        <row r="2174">
          <cell r="M2174">
            <v>45721</v>
          </cell>
          <cell r="N2174">
            <v>45722</v>
          </cell>
          <cell r="Q2174">
            <v>45727</v>
          </cell>
        </row>
        <row r="2175">
          <cell r="M2175">
            <v>45722</v>
          </cell>
          <cell r="N2175">
            <v>45723</v>
          </cell>
          <cell r="Q2175">
            <v>45728</v>
          </cell>
        </row>
        <row r="2176">
          <cell r="M2176">
            <v>45723</v>
          </cell>
          <cell r="N2176">
            <v>45726</v>
          </cell>
          <cell r="Q2176">
            <v>45729</v>
          </cell>
        </row>
        <row r="2177">
          <cell r="M2177">
            <v>45726</v>
          </cell>
          <cell r="N2177">
            <v>45727</v>
          </cell>
          <cell r="Q2177">
            <v>45730</v>
          </cell>
        </row>
        <row r="2178">
          <cell r="M2178">
            <v>45727</v>
          </cell>
          <cell r="N2178">
            <v>45728</v>
          </cell>
          <cell r="Q2178">
            <v>45733</v>
          </cell>
        </row>
        <row r="2179">
          <cell r="M2179">
            <v>45728</v>
          </cell>
          <cell r="N2179">
            <v>45729</v>
          </cell>
          <cell r="Q2179">
            <v>45734</v>
          </cell>
        </row>
        <row r="2180">
          <cell r="M2180">
            <v>45729</v>
          </cell>
          <cell r="N2180">
            <v>45730</v>
          </cell>
          <cell r="Q2180">
            <v>45735</v>
          </cell>
        </row>
        <row r="2181">
          <cell r="M2181">
            <v>45730</v>
          </cell>
          <cell r="N2181">
            <v>45733</v>
          </cell>
          <cell r="Q2181">
            <v>45740</v>
          </cell>
        </row>
        <row r="2182">
          <cell r="M2182">
            <v>45733</v>
          </cell>
          <cell r="N2182">
            <v>45734</v>
          </cell>
          <cell r="Q2182">
            <v>45741</v>
          </cell>
        </row>
        <row r="2183">
          <cell r="M2183">
            <v>45734</v>
          </cell>
          <cell r="N2183">
            <v>45735</v>
          </cell>
          <cell r="Q2183">
            <v>45742</v>
          </cell>
        </row>
        <row r="2184">
          <cell r="M2184">
            <v>45735</v>
          </cell>
          <cell r="N2184">
            <v>45740</v>
          </cell>
          <cell r="Q2184">
            <v>45743</v>
          </cell>
        </row>
        <row r="2185">
          <cell r="M2185">
            <v>45740</v>
          </cell>
          <cell r="N2185">
            <v>45741</v>
          </cell>
          <cell r="Q2185">
            <v>45744</v>
          </cell>
        </row>
        <row r="2186">
          <cell r="M2186">
            <v>45741</v>
          </cell>
          <cell r="N2186">
            <v>45742</v>
          </cell>
          <cell r="Q2186">
            <v>45747</v>
          </cell>
        </row>
        <row r="2187">
          <cell r="M2187">
            <v>45742</v>
          </cell>
          <cell r="N2187">
            <v>45743</v>
          </cell>
          <cell r="Q2187">
            <v>45748</v>
          </cell>
        </row>
        <row r="2188">
          <cell r="M2188">
            <v>45743</v>
          </cell>
          <cell r="N2188">
            <v>45744</v>
          </cell>
          <cell r="Q2188">
            <v>45749</v>
          </cell>
        </row>
        <row r="2189">
          <cell r="M2189">
            <v>45744</v>
          </cell>
          <cell r="N2189">
            <v>45747</v>
          </cell>
          <cell r="Q2189">
            <v>45750</v>
          </cell>
        </row>
        <row r="2190">
          <cell r="M2190">
            <v>45747</v>
          </cell>
          <cell r="N2190">
            <v>45748</v>
          </cell>
          <cell r="Q2190">
            <v>45751</v>
          </cell>
        </row>
        <row r="2191">
          <cell r="M2191">
            <v>45748</v>
          </cell>
          <cell r="N2191">
            <v>45749</v>
          </cell>
          <cell r="Q2191">
            <v>45754</v>
          </cell>
        </row>
        <row r="2192">
          <cell r="M2192">
            <v>45749</v>
          </cell>
          <cell r="N2192">
            <v>45750</v>
          </cell>
          <cell r="Q2192">
            <v>45755</v>
          </cell>
        </row>
        <row r="2193">
          <cell r="M2193">
            <v>45750</v>
          </cell>
          <cell r="N2193">
            <v>45751</v>
          </cell>
          <cell r="Q2193">
            <v>45756</v>
          </cell>
        </row>
        <row r="2194">
          <cell r="M2194">
            <v>45751</v>
          </cell>
          <cell r="N2194">
            <v>45754</v>
          </cell>
          <cell r="Q2194">
            <v>45757</v>
          </cell>
        </row>
        <row r="2195">
          <cell r="M2195">
            <v>45754</v>
          </cell>
          <cell r="N2195">
            <v>45755</v>
          </cell>
          <cell r="Q2195">
            <v>45758</v>
          </cell>
        </row>
        <row r="2196">
          <cell r="M2196">
            <v>45755</v>
          </cell>
          <cell r="N2196">
            <v>45756</v>
          </cell>
          <cell r="Q2196">
            <v>45761</v>
          </cell>
        </row>
        <row r="2197">
          <cell r="M2197">
            <v>45756</v>
          </cell>
          <cell r="N2197">
            <v>45757</v>
          </cell>
          <cell r="Q2197">
            <v>45762</v>
          </cell>
        </row>
        <row r="2198">
          <cell r="M2198">
            <v>45757</v>
          </cell>
          <cell r="N2198">
            <v>45758</v>
          </cell>
          <cell r="Q2198">
            <v>45763</v>
          </cell>
        </row>
        <row r="2199">
          <cell r="M2199">
            <v>45758</v>
          </cell>
          <cell r="N2199">
            <v>45761</v>
          </cell>
          <cell r="Q2199">
            <v>45764</v>
          </cell>
        </row>
        <row r="2200">
          <cell r="M2200">
            <v>45761</v>
          </cell>
          <cell r="N2200">
            <v>45762</v>
          </cell>
          <cell r="Q2200">
            <v>45765</v>
          </cell>
        </row>
        <row r="2201">
          <cell r="M2201">
            <v>45762</v>
          </cell>
          <cell r="N2201">
            <v>45763</v>
          </cell>
          <cell r="Q2201">
            <v>45768</v>
          </cell>
        </row>
        <row r="2202">
          <cell r="M2202">
            <v>45763</v>
          </cell>
          <cell r="N2202">
            <v>45764</v>
          </cell>
          <cell r="Q2202">
            <v>45769</v>
          </cell>
        </row>
        <row r="2203">
          <cell r="M2203">
            <v>45764</v>
          </cell>
          <cell r="N2203">
            <v>45765</v>
          </cell>
          <cell r="Q2203">
            <v>45770</v>
          </cell>
        </row>
        <row r="2204">
          <cell r="M2204">
            <v>45765</v>
          </cell>
          <cell r="N2204">
            <v>45768</v>
          </cell>
          <cell r="Q2204">
            <v>45771</v>
          </cell>
        </row>
        <row r="2205">
          <cell r="M2205">
            <v>45768</v>
          </cell>
          <cell r="N2205">
            <v>45769</v>
          </cell>
          <cell r="Q2205">
            <v>45772</v>
          </cell>
        </row>
        <row r="2206">
          <cell r="M2206">
            <v>45769</v>
          </cell>
          <cell r="N2206">
            <v>45770</v>
          </cell>
          <cell r="Q2206">
            <v>45775</v>
          </cell>
        </row>
        <row r="2207">
          <cell r="M2207">
            <v>45770</v>
          </cell>
          <cell r="N2207">
            <v>45771</v>
          </cell>
          <cell r="Q2207">
            <v>45777</v>
          </cell>
        </row>
        <row r="2208">
          <cell r="M2208">
            <v>45771</v>
          </cell>
          <cell r="N2208">
            <v>45772</v>
          </cell>
          <cell r="Q2208">
            <v>45778</v>
          </cell>
        </row>
        <row r="2209">
          <cell r="M2209">
            <v>45772</v>
          </cell>
          <cell r="N2209">
            <v>45775</v>
          </cell>
          <cell r="Q2209">
            <v>45779</v>
          </cell>
        </row>
        <row r="2210">
          <cell r="M2210">
            <v>45775</v>
          </cell>
          <cell r="N2210">
            <v>45777</v>
          </cell>
          <cell r="Q2210">
            <v>45784</v>
          </cell>
        </row>
        <row r="2211">
          <cell r="M2211">
            <v>45777</v>
          </cell>
          <cell r="N2211">
            <v>45778</v>
          </cell>
          <cell r="Q2211">
            <v>45785</v>
          </cell>
        </row>
        <row r="2212">
          <cell r="M2212">
            <v>45778</v>
          </cell>
          <cell r="N2212">
            <v>45779</v>
          </cell>
          <cell r="Q2212">
            <v>45786</v>
          </cell>
        </row>
        <row r="2213">
          <cell r="M2213">
            <v>45779</v>
          </cell>
          <cell r="N2213">
            <v>45784</v>
          </cell>
          <cell r="Q2213">
            <v>45787</v>
          </cell>
        </row>
        <row r="2214">
          <cell r="M2214">
            <v>45784</v>
          </cell>
          <cell r="N2214">
            <v>45785</v>
          </cell>
          <cell r="Q2214">
            <v>45789</v>
          </cell>
        </row>
        <row r="2215">
          <cell r="M2215">
            <v>45785</v>
          </cell>
          <cell r="N2215">
            <v>45786</v>
          </cell>
          <cell r="Q2215">
            <v>45790</v>
          </cell>
        </row>
        <row r="2216">
          <cell r="M2216">
            <v>45786</v>
          </cell>
          <cell r="N2216">
            <v>45787</v>
          </cell>
          <cell r="Q2216">
            <v>45791</v>
          </cell>
        </row>
        <row r="2217">
          <cell r="M2217">
            <v>45787</v>
          </cell>
          <cell r="N2217">
            <v>45789</v>
          </cell>
          <cell r="Q2217">
            <v>45792</v>
          </cell>
        </row>
        <row r="2218">
          <cell r="M2218">
            <v>45789</v>
          </cell>
          <cell r="N2218">
            <v>45790</v>
          </cell>
          <cell r="Q2218">
            <v>45793</v>
          </cell>
        </row>
        <row r="2219">
          <cell r="M2219">
            <v>45790</v>
          </cell>
          <cell r="N2219">
            <v>45791</v>
          </cell>
          <cell r="Q2219">
            <v>45796</v>
          </cell>
        </row>
        <row r="2220">
          <cell r="M2220">
            <v>45791</v>
          </cell>
          <cell r="N2220">
            <v>45792</v>
          </cell>
          <cell r="Q2220">
            <v>45797</v>
          </cell>
        </row>
        <row r="2221">
          <cell r="M2221">
            <v>45792</v>
          </cell>
          <cell r="N2221">
            <v>45793</v>
          </cell>
          <cell r="Q2221">
            <v>45798</v>
          </cell>
        </row>
        <row r="2222">
          <cell r="M2222">
            <v>45793</v>
          </cell>
          <cell r="N2222">
            <v>45796</v>
          </cell>
          <cell r="Q2222">
            <v>45799</v>
          </cell>
        </row>
        <row r="2223">
          <cell r="M2223">
            <v>45796</v>
          </cell>
          <cell r="N2223">
            <v>45797</v>
          </cell>
          <cell r="Q2223">
            <v>45800</v>
          </cell>
        </row>
        <row r="2224">
          <cell r="M2224">
            <v>45797</v>
          </cell>
          <cell r="N2224">
            <v>45798</v>
          </cell>
          <cell r="Q2224">
            <v>45803</v>
          </cell>
        </row>
        <row r="2225">
          <cell r="M2225">
            <v>45798</v>
          </cell>
          <cell r="N2225">
            <v>45799</v>
          </cell>
          <cell r="Q2225">
            <v>45804</v>
          </cell>
        </row>
        <row r="2226">
          <cell r="M2226">
            <v>45799</v>
          </cell>
          <cell r="N2226">
            <v>45800</v>
          </cell>
          <cell r="Q2226">
            <v>45805</v>
          </cell>
        </row>
        <row r="2227">
          <cell r="M2227">
            <v>45800</v>
          </cell>
          <cell r="N2227">
            <v>45803</v>
          </cell>
          <cell r="Q2227">
            <v>45806</v>
          </cell>
        </row>
        <row r="2228">
          <cell r="M2228">
            <v>45803</v>
          </cell>
          <cell r="N2228">
            <v>45804</v>
          </cell>
          <cell r="Q2228">
            <v>45807</v>
          </cell>
        </row>
        <row r="2229">
          <cell r="M2229">
            <v>45804</v>
          </cell>
          <cell r="N2229">
            <v>45805</v>
          </cell>
          <cell r="Q2229">
            <v>45810</v>
          </cell>
        </row>
        <row r="2230">
          <cell r="M2230">
            <v>45805</v>
          </cell>
          <cell r="N2230">
            <v>45806</v>
          </cell>
          <cell r="Q2230">
            <v>45811</v>
          </cell>
        </row>
        <row r="2231">
          <cell r="M2231">
            <v>45806</v>
          </cell>
          <cell r="N2231">
            <v>45807</v>
          </cell>
          <cell r="Q2231">
            <v>45812</v>
          </cell>
        </row>
        <row r="2232">
          <cell r="M2232">
            <v>45807</v>
          </cell>
          <cell r="N2232">
            <v>45810</v>
          </cell>
          <cell r="Q2232">
            <v>45813</v>
          </cell>
        </row>
        <row r="2233">
          <cell r="M2233">
            <v>45810</v>
          </cell>
          <cell r="N2233">
            <v>45811</v>
          </cell>
          <cell r="Q2233">
            <v>45814</v>
          </cell>
        </row>
        <row r="2234">
          <cell r="M2234">
            <v>45811</v>
          </cell>
          <cell r="N2234">
            <v>45812</v>
          </cell>
          <cell r="Q2234">
            <v>45817</v>
          </cell>
        </row>
        <row r="2235">
          <cell r="M2235">
            <v>45812</v>
          </cell>
          <cell r="N2235">
            <v>45813</v>
          </cell>
          <cell r="Q2235">
            <v>45818</v>
          </cell>
        </row>
        <row r="2236">
          <cell r="M2236">
            <v>45813</v>
          </cell>
          <cell r="N2236">
            <v>45814</v>
          </cell>
          <cell r="Q2236">
            <v>45819</v>
          </cell>
        </row>
        <row r="2237">
          <cell r="M2237">
            <v>45814</v>
          </cell>
          <cell r="N2237">
            <v>45817</v>
          </cell>
          <cell r="Q2237">
            <v>45820</v>
          </cell>
        </row>
        <row r="2238">
          <cell r="M2238">
            <v>45817</v>
          </cell>
          <cell r="N2238">
            <v>45818</v>
          </cell>
          <cell r="Q2238">
            <v>45821</v>
          </cell>
        </row>
        <row r="2239">
          <cell r="M2239">
            <v>45818</v>
          </cell>
          <cell r="N2239">
            <v>45819</v>
          </cell>
          <cell r="Q2239">
            <v>45824</v>
          </cell>
        </row>
        <row r="2240">
          <cell r="M2240">
            <v>45819</v>
          </cell>
          <cell r="N2240">
            <v>45820</v>
          </cell>
          <cell r="Q2240">
            <v>45825</v>
          </cell>
        </row>
        <row r="2241">
          <cell r="M2241">
            <v>45820</v>
          </cell>
          <cell r="N2241">
            <v>45821</v>
          </cell>
          <cell r="Q2241">
            <v>45826</v>
          </cell>
        </row>
        <row r="2242">
          <cell r="M2242">
            <v>45821</v>
          </cell>
          <cell r="N2242">
            <v>45824</v>
          </cell>
          <cell r="Q2242">
            <v>45827</v>
          </cell>
        </row>
        <row r="2243">
          <cell r="M2243">
            <v>45824</v>
          </cell>
          <cell r="N2243">
            <v>45825</v>
          </cell>
          <cell r="Q2243">
            <v>45828</v>
          </cell>
        </row>
        <row r="2244">
          <cell r="M2244">
            <v>45825</v>
          </cell>
          <cell r="N2244">
            <v>45826</v>
          </cell>
          <cell r="Q2244">
            <v>45831</v>
          </cell>
        </row>
        <row r="2245">
          <cell r="M2245">
            <v>45826</v>
          </cell>
          <cell r="N2245">
            <v>45827</v>
          </cell>
          <cell r="Q2245">
            <v>45832</v>
          </cell>
        </row>
        <row r="2246">
          <cell r="M2246">
            <v>45827</v>
          </cell>
          <cell r="N2246">
            <v>45828</v>
          </cell>
          <cell r="Q2246">
            <v>45833</v>
          </cell>
        </row>
        <row r="2247">
          <cell r="M2247">
            <v>45828</v>
          </cell>
          <cell r="N2247">
            <v>45831</v>
          </cell>
          <cell r="Q2247">
            <v>45834</v>
          </cell>
        </row>
        <row r="2248">
          <cell r="M2248">
            <v>45831</v>
          </cell>
          <cell r="N2248">
            <v>45832</v>
          </cell>
          <cell r="Q2248">
            <v>45835</v>
          </cell>
        </row>
        <row r="2249">
          <cell r="M2249">
            <v>45832</v>
          </cell>
          <cell r="N2249">
            <v>45833</v>
          </cell>
          <cell r="Q2249">
            <v>45838</v>
          </cell>
        </row>
        <row r="2250">
          <cell r="M2250">
            <v>45833</v>
          </cell>
          <cell r="N2250">
            <v>45834</v>
          </cell>
          <cell r="Q2250">
            <v>45839</v>
          </cell>
        </row>
        <row r="2251">
          <cell r="M2251">
            <v>45834</v>
          </cell>
          <cell r="N2251">
            <v>45835</v>
          </cell>
          <cell r="Q2251">
            <v>45840</v>
          </cell>
        </row>
        <row r="2252">
          <cell r="M2252">
            <v>45835</v>
          </cell>
          <cell r="N2252">
            <v>45838</v>
          </cell>
          <cell r="Q2252">
            <v>45841</v>
          </cell>
        </row>
        <row r="2253">
          <cell r="M2253">
            <v>45838</v>
          </cell>
          <cell r="N2253">
            <v>45839</v>
          </cell>
          <cell r="Q2253">
            <v>45842</v>
          </cell>
        </row>
        <row r="2254">
          <cell r="M2254">
            <v>45839</v>
          </cell>
          <cell r="N2254">
            <v>45840</v>
          </cell>
          <cell r="Q2254">
            <v>45845</v>
          </cell>
        </row>
        <row r="2255">
          <cell r="M2255">
            <v>45840</v>
          </cell>
          <cell r="N2255">
            <v>45841</v>
          </cell>
          <cell r="Q2255">
            <v>45846</v>
          </cell>
        </row>
        <row r="2256">
          <cell r="M2256">
            <v>45841</v>
          </cell>
          <cell r="N2256">
            <v>45842</v>
          </cell>
          <cell r="Q2256">
            <v>45847</v>
          </cell>
        </row>
        <row r="2257">
          <cell r="M2257">
            <v>45842</v>
          </cell>
          <cell r="N2257">
            <v>45845</v>
          </cell>
          <cell r="Q2257">
            <v>45848</v>
          </cell>
        </row>
        <row r="2258">
          <cell r="M2258">
            <v>45845</v>
          </cell>
          <cell r="N2258">
            <v>45846</v>
          </cell>
          <cell r="Q2258">
            <v>45849</v>
          </cell>
        </row>
        <row r="2259">
          <cell r="M2259">
            <v>45846</v>
          </cell>
          <cell r="N2259">
            <v>45847</v>
          </cell>
          <cell r="Q2259">
            <v>45852</v>
          </cell>
        </row>
        <row r="2260">
          <cell r="M2260">
            <v>45847</v>
          </cell>
          <cell r="N2260">
            <v>45848</v>
          </cell>
          <cell r="Q2260">
            <v>45853</v>
          </cell>
        </row>
        <row r="2261">
          <cell r="M2261">
            <v>45848</v>
          </cell>
          <cell r="N2261">
            <v>45849</v>
          </cell>
          <cell r="Q2261">
            <v>45854</v>
          </cell>
        </row>
        <row r="2262">
          <cell r="M2262">
            <v>45849</v>
          </cell>
          <cell r="N2262">
            <v>45852</v>
          </cell>
          <cell r="Q2262">
            <v>45855</v>
          </cell>
        </row>
        <row r="2263">
          <cell r="M2263">
            <v>45852</v>
          </cell>
          <cell r="N2263">
            <v>45853</v>
          </cell>
          <cell r="Q2263">
            <v>45856</v>
          </cell>
        </row>
        <row r="2264">
          <cell r="M2264">
            <v>45853</v>
          </cell>
          <cell r="N2264">
            <v>45854</v>
          </cell>
          <cell r="Q2264">
            <v>45860</v>
          </cell>
        </row>
        <row r="2265">
          <cell r="M2265">
            <v>45854</v>
          </cell>
          <cell r="N2265">
            <v>45855</v>
          </cell>
          <cell r="Q2265">
            <v>45861</v>
          </cell>
        </row>
        <row r="2266">
          <cell r="M2266">
            <v>45855</v>
          </cell>
          <cell r="N2266">
            <v>45856</v>
          </cell>
          <cell r="Q2266">
            <v>45862</v>
          </cell>
        </row>
        <row r="2267">
          <cell r="M2267">
            <v>45856</v>
          </cell>
          <cell r="N2267">
            <v>45860</v>
          </cell>
          <cell r="Q2267">
            <v>45863</v>
          </cell>
        </row>
        <row r="2268">
          <cell r="M2268">
            <v>45860</v>
          </cell>
          <cell r="N2268">
            <v>45861</v>
          </cell>
          <cell r="Q2268">
            <v>45866</v>
          </cell>
        </row>
        <row r="2269">
          <cell r="M2269">
            <v>45861</v>
          </cell>
          <cell r="N2269">
            <v>45862</v>
          </cell>
          <cell r="Q2269">
            <v>45867</v>
          </cell>
        </row>
        <row r="2270">
          <cell r="M2270">
            <v>45862</v>
          </cell>
          <cell r="N2270">
            <v>45863</v>
          </cell>
          <cell r="Q2270">
            <v>45868</v>
          </cell>
        </row>
        <row r="2271">
          <cell r="M2271">
            <v>45863</v>
          </cell>
          <cell r="N2271">
            <v>45866</v>
          </cell>
          <cell r="Q2271">
            <v>45869</v>
          </cell>
        </row>
        <row r="2272">
          <cell r="M2272">
            <v>45866</v>
          </cell>
          <cell r="N2272">
            <v>45867</v>
          </cell>
          <cell r="Q2272">
            <v>45870</v>
          </cell>
        </row>
        <row r="2273">
          <cell r="M2273">
            <v>45867</v>
          </cell>
          <cell r="N2273">
            <v>45868</v>
          </cell>
          <cell r="Q2273">
            <v>45873</v>
          </cell>
        </row>
        <row r="2274">
          <cell r="M2274">
            <v>45868</v>
          </cell>
          <cell r="N2274">
            <v>45869</v>
          </cell>
          <cell r="Q2274">
            <v>45874</v>
          </cell>
        </row>
        <row r="2275">
          <cell r="M2275">
            <v>45869</v>
          </cell>
          <cell r="N2275">
            <v>45870</v>
          </cell>
          <cell r="Q2275">
            <v>45875</v>
          </cell>
        </row>
        <row r="2276">
          <cell r="M2276">
            <v>45870</v>
          </cell>
          <cell r="N2276">
            <v>45873</v>
          </cell>
          <cell r="Q2276">
            <v>45876</v>
          </cell>
        </row>
        <row r="2277">
          <cell r="M2277">
            <v>45873</v>
          </cell>
          <cell r="N2277">
            <v>45874</v>
          </cell>
          <cell r="Q2277">
            <v>45877</v>
          </cell>
        </row>
        <row r="2278">
          <cell r="M2278">
            <v>45874</v>
          </cell>
          <cell r="N2278">
            <v>45875</v>
          </cell>
          <cell r="Q2278">
            <v>45881</v>
          </cell>
        </row>
        <row r="2279">
          <cell r="M2279">
            <v>45875</v>
          </cell>
          <cell r="N2279">
            <v>45876</v>
          </cell>
          <cell r="Q2279">
            <v>45882</v>
          </cell>
        </row>
        <row r="2280">
          <cell r="M2280">
            <v>45876</v>
          </cell>
          <cell r="N2280">
            <v>45877</v>
          </cell>
          <cell r="Q2280">
            <v>45887</v>
          </cell>
        </row>
        <row r="2281">
          <cell r="M2281">
            <v>45877</v>
          </cell>
          <cell r="N2281">
            <v>45881</v>
          </cell>
          <cell r="Q2281">
            <v>45888</v>
          </cell>
        </row>
        <row r="2282">
          <cell r="M2282">
            <v>45881</v>
          </cell>
          <cell r="N2282">
            <v>45882</v>
          </cell>
          <cell r="Q2282">
            <v>45889</v>
          </cell>
        </row>
        <row r="2283">
          <cell r="M2283">
            <v>45882</v>
          </cell>
          <cell r="N2283">
            <v>45887</v>
          </cell>
          <cell r="Q2283">
            <v>45890</v>
          </cell>
        </row>
        <row r="2284">
          <cell r="M2284">
            <v>45887</v>
          </cell>
          <cell r="N2284">
            <v>45888</v>
          </cell>
          <cell r="Q2284">
            <v>45891</v>
          </cell>
        </row>
        <row r="2285">
          <cell r="M2285">
            <v>45888</v>
          </cell>
          <cell r="N2285">
            <v>45889</v>
          </cell>
          <cell r="Q2285">
            <v>45894</v>
          </cell>
        </row>
        <row r="2286">
          <cell r="M2286">
            <v>45889</v>
          </cell>
          <cell r="N2286">
            <v>45890</v>
          </cell>
          <cell r="Q2286">
            <v>45895</v>
          </cell>
        </row>
        <row r="2287">
          <cell r="M2287">
            <v>45890</v>
          </cell>
          <cell r="N2287">
            <v>45891</v>
          </cell>
          <cell r="Q2287">
            <v>45896</v>
          </cell>
        </row>
        <row r="2288">
          <cell r="M2288">
            <v>45891</v>
          </cell>
          <cell r="N2288">
            <v>45894</v>
          </cell>
          <cell r="Q2288">
            <v>45897</v>
          </cell>
        </row>
        <row r="2289">
          <cell r="M2289">
            <v>45894</v>
          </cell>
          <cell r="N2289">
            <v>45895</v>
          </cell>
          <cell r="Q2289">
            <v>45898</v>
          </cell>
        </row>
        <row r="2290">
          <cell r="M2290">
            <v>45895</v>
          </cell>
          <cell r="N2290">
            <v>45896</v>
          </cell>
          <cell r="Q2290">
            <v>45901</v>
          </cell>
        </row>
        <row r="2291">
          <cell r="M2291">
            <v>45896</v>
          </cell>
          <cell r="N2291">
            <v>45897</v>
          </cell>
          <cell r="Q2291">
            <v>45902</v>
          </cell>
        </row>
        <row r="2292">
          <cell r="M2292">
            <v>45897</v>
          </cell>
          <cell r="N2292">
            <v>45898</v>
          </cell>
          <cell r="Q2292">
            <v>45903</v>
          </cell>
        </row>
        <row r="2293">
          <cell r="M2293">
            <v>45898</v>
          </cell>
          <cell r="N2293">
            <v>45901</v>
          </cell>
          <cell r="Q2293">
            <v>45904</v>
          </cell>
        </row>
        <row r="2294">
          <cell r="M2294">
            <v>45901</v>
          </cell>
          <cell r="N2294">
            <v>45902</v>
          </cell>
          <cell r="Q2294">
            <v>45905</v>
          </cell>
        </row>
        <row r="2295">
          <cell r="M2295">
            <v>45902</v>
          </cell>
          <cell r="N2295">
            <v>45903</v>
          </cell>
          <cell r="Q2295">
            <v>45908</v>
          </cell>
        </row>
        <row r="2296">
          <cell r="M2296">
            <v>45903</v>
          </cell>
          <cell r="N2296">
            <v>45904</v>
          </cell>
          <cell r="Q2296">
            <v>45909</v>
          </cell>
        </row>
        <row r="2297">
          <cell r="M2297">
            <v>45904</v>
          </cell>
          <cell r="N2297">
            <v>45905</v>
          </cell>
          <cell r="Q2297">
            <v>45910</v>
          </cell>
        </row>
        <row r="2298">
          <cell r="M2298">
            <v>45905</v>
          </cell>
          <cell r="N2298">
            <v>45908</v>
          </cell>
          <cell r="Q2298">
            <v>45911</v>
          </cell>
        </row>
        <row r="2299">
          <cell r="M2299">
            <v>45908</v>
          </cell>
          <cell r="N2299">
            <v>45909</v>
          </cell>
          <cell r="Q2299">
            <v>45912</v>
          </cell>
        </row>
        <row r="2300">
          <cell r="M2300">
            <v>45909</v>
          </cell>
          <cell r="N2300">
            <v>45910</v>
          </cell>
          <cell r="Q2300">
            <v>45916</v>
          </cell>
        </row>
        <row r="2301">
          <cell r="M2301">
            <v>45910</v>
          </cell>
          <cell r="N2301">
            <v>45911</v>
          </cell>
          <cell r="Q2301">
            <v>45917</v>
          </cell>
        </row>
        <row r="2302">
          <cell r="M2302">
            <v>45911</v>
          </cell>
          <cell r="N2302">
            <v>45912</v>
          </cell>
          <cell r="Q2302">
            <v>45918</v>
          </cell>
        </row>
        <row r="2303">
          <cell r="M2303">
            <v>45912</v>
          </cell>
          <cell r="N2303">
            <v>45916</v>
          </cell>
          <cell r="Q2303">
            <v>45919</v>
          </cell>
        </row>
        <row r="2304">
          <cell r="M2304">
            <v>45916</v>
          </cell>
          <cell r="N2304">
            <v>45917</v>
          </cell>
          <cell r="Q2304">
            <v>45922</v>
          </cell>
        </row>
        <row r="2305">
          <cell r="M2305">
            <v>45917</v>
          </cell>
          <cell r="N2305">
            <v>45918</v>
          </cell>
          <cell r="Q2305">
            <v>45924</v>
          </cell>
        </row>
        <row r="2306">
          <cell r="M2306">
            <v>45918</v>
          </cell>
          <cell r="N2306">
            <v>45919</v>
          </cell>
          <cell r="Q2306">
            <v>45925</v>
          </cell>
        </row>
        <row r="2307">
          <cell r="M2307">
            <v>45919</v>
          </cell>
          <cell r="N2307">
            <v>45922</v>
          </cell>
          <cell r="Q2307">
            <v>45926</v>
          </cell>
        </row>
        <row r="2308">
          <cell r="M2308">
            <v>45922</v>
          </cell>
          <cell r="N2308">
            <v>45924</v>
          </cell>
          <cell r="Q2308">
            <v>45929</v>
          </cell>
        </row>
        <row r="2309">
          <cell r="M2309">
            <v>45924</v>
          </cell>
          <cell r="N2309">
            <v>45925</v>
          </cell>
          <cell r="Q2309">
            <v>45930</v>
          </cell>
        </row>
        <row r="2310">
          <cell r="M2310">
            <v>45925</v>
          </cell>
          <cell r="N2310">
            <v>45926</v>
          </cell>
          <cell r="Q2310">
            <v>45931</v>
          </cell>
        </row>
        <row r="2311">
          <cell r="M2311">
            <v>45926</v>
          </cell>
          <cell r="N2311">
            <v>45929</v>
          </cell>
          <cell r="Q2311">
            <v>45932</v>
          </cell>
        </row>
        <row r="2312">
          <cell r="M2312">
            <v>45929</v>
          </cell>
          <cell r="N2312">
            <v>45930</v>
          </cell>
          <cell r="Q2312">
            <v>45933</v>
          </cell>
        </row>
        <row r="2313">
          <cell r="M2313">
            <v>45930</v>
          </cell>
          <cell r="N2313">
            <v>45931</v>
          </cell>
          <cell r="Q2313">
            <v>45936</v>
          </cell>
        </row>
        <row r="2314">
          <cell r="M2314">
            <v>45931</v>
          </cell>
          <cell r="N2314">
            <v>45932</v>
          </cell>
          <cell r="Q2314">
            <v>45937</v>
          </cell>
        </row>
        <row r="2315">
          <cell r="M2315">
            <v>45932</v>
          </cell>
          <cell r="N2315">
            <v>45933</v>
          </cell>
          <cell r="Q2315">
            <v>45938</v>
          </cell>
        </row>
        <row r="2316">
          <cell r="M2316">
            <v>45933</v>
          </cell>
          <cell r="N2316">
            <v>45936</v>
          </cell>
          <cell r="Q2316">
            <v>45939</v>
          </cell>
        </row>
        <row r="2317">
          <cell r="M2317">
            <v>45936</v>
          </cell>
          <cell r="N2317">
            <v>45937</v>
          </cell>
          <cell r="Q2317">
            <v>45940</v>
          </cell>
        </row>
        <row r="2318">
          <cell r="M2318">
            <v>45937</v>
          </cell>
          <cell r="N2318">
            <v>45938</v>
          </cell>
          <cell r="Q2318">
            <v>45944</v>
          </cell>
        </row>
        <row r="2319">
          <cell r="M2319">
            <v>45938</v>
          </cell>
          <cell r="N2319">
            <v>45939</v>
          </cell>
          <cell r="Q2319">
            <v>45945</v>
          </cell>
        </row>
        <row r="2320">
          <cell r="M2320">
            <v>45939</v>
          </cell>
          <cell r="N2320">
            <v>45940</v>
          </cell>
          <cell r="Q2320">
            <v>45946</v>
          </cell>
        </row>
        <row r="2321">
          <cell r="M2321">
            <v>45940</v>
          </cell>
          <cell r="N2321">
            <v>45944</v>
          </cell>
          <cell r="Q2321">
            <v>45947</v>
          </cell>
        </row>
        <row r="2322">
          <cell r="M2322">
            <v>45944</v>
          </cell>
          <cell r="N2322">
            <v>45945</v>
          </cell>
          <cell r="Q2322">
            <v>45950</v>
          </cell>
        </row>
        <row r="2323">
          <cell r="M2323">
            <v>45945</v>
          </cell>
          <cell r="N2323">
            <v>45946</v>
          </cell>
          <cell r="Q2323">
            <v>45951</v>
          </cell>
        </row>
        <row r="2324">
          <cell r="M2324">
            <v>45946</v>
          </cell>
          <cell r="N2324">
            <v>45947</v>
          </cell>
          <cell r="Q2324">
            <v>45952</v>
          </cell>
        </row>
        <row r="2325">
          <cell r="M2325">
            <v>45947</v>
          </cell>
          <cell r="N2325">
            <v>45950</v>
          </cell>
          <cell r="Q2325">
            <v>45953</v>
          </cell>
        </row>
        <row r="2326">
          <cell r="M2326">
            <v>45950</v>
          </cell>
          <cell r="N2326">
            <v>45951</v>
          </cell>
          <cell r="Q2326">
            <v>45954</v>
          </cell>
        </row>
        <row r="2327">
          <cell r="M2327">
            <v>45951</v>
          </cell>
          <cell r="N2327">
            <v>45952</v>
          </cell>
          <cell r="Q2327">
            <v>45957</v>
          </cell>
        </row>
        <row r="2328">
          <cell r="M2328">
            <v>45952</v>
          </cell>
          <cell r="N2328">
            <v>45953</v>
          </cell>
          <cell r="Q2328">
            <v>45958</v>
          </cell>
        </row>
        <row r="2329">
          <cell r="M2329">
            <v>45953</v>
          </cell>
          <cell r="N2329">
            <v>45954</v>
          </cell>
          <cell r="Q2329">
            <v>45959</v>
          </cell>
        </row>
        <row r="2330">
          <cell r="M2330">
            <v>45954</v>
          </cell>
          <cell r="N2330">
            <v>45957</v>
          </cell>
          <cell r="Q2330">
            <v>45960</v>
          </cell>
        </row>
        <row r="2331">
          <cell r="M2331">
            <v>45957</v>
          </cell>
          <cell r="N2331">
            <v>45958</v>
          </cell>
          <cell r="Q2331">
            <v>45961</v>
          </cell>
        </row>
        <row r="2332">
          <cell r="M2332">
            <v>45958</v>
          </cell>
          <cell r="N2332">
            <v>45959</v>
          </cell>
          <cell r="Q2332">
            <v>45965</v>
          </cell>
        </row>
        <row r="2333">
          <cell r="M2333">
            <v>45959</v>
          </cell>
          <cell r="N2333">
            <v>45960</v>
          </cell>
          <cell r="Q2333">
            <v>45966</v>
          </cell>
        </row>
        <row r="2334">
          <cell r="M2334">
            <v>45960</v>
          </cell>
          <cell r="N2334">
            <v>45961</v>
          </cell>
          <cell r="Q2334">
            <v>45967</v>
          </cell>
        </row>
        <row r="2335">
          <cell r="M2335">
            <v>45961</v>
          </cell>
          <cell r="N2335">
            <v>45965</v>
          </cell>
          <cell r="Q2335">
            <v>45968</v>
          </cell>
        </row>
        <row r="2336">
          <cell r="M2336">
            <v>45965</v>
          </cell>
          <cell r="N2336">
            <v>45966</v>
          </cell>
          <cell r="Q2336">
            <v>45969</v>
          </cell>
        </row>
        <row r="2337">
          <cell r="M2337">
            <v>45966</v>
          </cell>
          <cell r="N2337">
            <v>45967</v>
          </cell>
          <cell r="Q2337">
            <v>45971</v>
          </cell>
        </row>
        <row r="2338">
          <cell r="M2338">
            <v>45967</v>
          </cell>
          <cell r="N2338">
            <v>45968</v>
          </cell>
          <cell r="Q2338">
            <v>45972</v>
          </cell>
        </row>
        <row r="2339">
          <cell r="M2339">
            <v>45968</v>
          </cell>
          <cell r="N2339">
            <v>45969</v>
          </cell>
          <cell r="Q2339">
            <v>45973</v>
          </cell>
        </row>
        <row r="2340">
          <cell r="M2340">
            <v>45969</v>
          </cell>
          <cell r="N2340">
            <v>45971</v>
          </cell>
          <cell r="Q2340">
            <v>45974</v>
          </cell>
        </row>
        <row r="2341">
          <cell r="M2341">
            <v>45971</v>
          </cell>
          <cell r="N2341">
            <v>45972</v>
          </cell>
          <cell r="Q2341">
            <v>45975</v>
          </cell>
        </row>
        <row r="2342">
          <cell r="M2342">
            <v>45972</v>
          </cell>
          <cell r="N2342">
            <v>45973</v>
          </cell>
          <cell r="Q2342">
            <v>45978</v>
          </cell>
        </row>
        <row r="2343">
          <cell r="M2343">
            <v>45973</v>
          </cell>
          <cell r="N2343">
            <v>45974</v>
          </cell>
          <cell r="Q2343">
            <v>45979</v>
          </cell>
        </row>
        <row r="2344">
          <cell r="M2344">
            <v>45974</v>
          </cell>
          <cell r="N2344">
            <v>45975</v>
          </cell>
          <cell r="Q2344">
            <v>45980</v>
          </cell>
        </row>
        <row r="2345">
          <cell r="M2345">
            <v>45975</v>
          </cell>
          <cell r="N2345">
            <v>45978</v>
          </cell>
          <cell r="Q2345">
            <v>45981</v>
          </cell>
        </row>
        <row r="2346">
          <cell r="M2346">
            <v>45978</v>
          </cell>
          <cell r="N2346">
            <v>45979</v>
          </cell>
          <cell r="Q2346">
            <v>45982</v>
          </cell>
        </row>
        <row r="2347">
          <cell r="M2347">
            <v>45979</v>
          </cell>
          <cell r="N2347">
            <v>45980</v>
          </cell>
          <cell r="Q2347">
            <v>45986</v>
          </cell>
        </row>
        <row r="2348">
          <cell r="M2348">
            <v>45980</v>
          </cell>
          <cell r="N2348">
            <v>45981</v>
          </cell>
          <cell r="Q2348">
            <v>45987</v>
          </cell>
        </row>
        <row r="2349">
          <cell r="M2349">
            <v>45981</v>
          </cell>
          <cell r="N2349">
            <v>45982</v>
          </cell>
          <cell r="Q2349">
            <v>45988</v>
          </cell>
        </row>
        <row r="2350">
          <cell r="M2350">
            <v>45982</v>
          </cell>
          <cell r="N2350">
            <v>45986</v>
          </cell>
          <cell r="Q2350">
            <v>45989</v>
          </cell>
        </row>
        <row r="2351">
          <cell r="M2351">
            <v>45986</v>
          </cell>
          <cell r="N2351">
            <v>45987</v>
          </cell>
          <cell r="Q2351">
            <v>45992</v>
          </cell>
        </row>
        <row r="2352">
          <cell r="M2352">
            <v>45987</v>
          </cell>
          <cell r="N2352">
            <v>45988</v>
          </cell>
          <cell r="Q2352">
            <v>45993</v>
          </cell>
        </row>
        <row r="2353">
          <cell r="M2353">
            <v>45988</v>
          </cell>
          <cell r="N2353">
            <v>45989</v>
          </cell>
          <cell r="Q2353">
            <v>45994</v>
          </cell>
        </row>
        <row r="2354">
          <cell r="M2354">
            <v>45989</v>
          </cell>
          <cell r="N2354">
            <v>45992</v>
          </cell>
          <cell r="Q2354">
            <v>45995</v>
          </cell>
        </row>
        <row r="2355">
          <cell r="M2355">
            <v>45992</v>
          </cell>
          <cell r="N2355">
            <v>45993</v>
          </cell>
          <cell r="Q2355">
            <v>45996</v>
          </cell>
        </row>
        <row r="2356">
          <cell r="M2356">
            <v>45993</v>
          </cell>
          <cell r="N2356">
            <v>45994</v>
          </cell>
          <cell r="Q2356">
            <v>45999</v>
          </cell>
        </row>
        <row r="2357">
          <cell r="M2357">
            <v>45994</v>
          </cell>
          <cell r="N2357">
            <v>45995</v>
          </cell>
          <cell r="Q2357">
            <v>46000</v>
          </cell>
        </row>
        <row r="2358">
          <cell r="M2358">
            <v>45995</v>
          </cell>
          <cell r="N2358">
            <v>45996</v>
          </cell>
          <cell r="Q2358">
            <v>46001</v>
          </cell>
        </row>
        <row r="2359">
          <cell r="M2359">
            <v>45996</v>
          </cell>
          <cell r="N2359">
            <v>45999</v>
          </cell>
          <cell r="Q2359">
            <v>46002</v>
          </cell>
        </row>
        <row r="2360">
          <cell r="M2360">
            <v>45999</v>
          </cell>
          <cell r="N2360">
            <v>46000</v>
          </cell>
          <cell r="Q2360">
            <v>46003</v>
          </cell>
        </row>
        <row r="2361">
          <cell r="M2361">
            <v>46000</v>
          </cell>
          <cell r="N2361">
            <v>46001</v>
          </cell>
          <cell r="Q2361">
            <v>46006</v>
          </cell>
        </row>
        <row r="2362">
          <cell r="M2362">
            <v>46001</v>
          </cell>
          <cell r="N2362">
            <v>46002</v>
          </cell>
          <cell r="Q2362">
            <v>46007</v>
          </cell>
        </row>
        <row r="2363">
          <cell r="M2363">
            <v>46002</v>
          </cell>
          <cell r="N2363">
            <v>46003</v>
          </cell>
          <cell r="Q2363">
            <v>46008</v>
          </cell>
        </row>
        <row r="2364">
          <cell r="M2364">
            <v>46003</v>
          </cell>
          <cell r="N2364">
            <v>46006</v>
          </cell>
          <cell r="Q2364">
            <v>46009</v>
          </cell>
        </row>
        <row r="2365">
          <cell r="M2365">
            <v>46006</v>
          </cell>
          <cell r="N2365">
            <v>46007</v>
          </cell>
          <cell r="Q2365">
            <v>46010</v>
          </cell>
        </row>
        <row r="2366">
          <cell r="M2366">
            <v>46007</v>
          </cell>
          <cell r="N2366">
            <v>46008</v>
          </cell>
          <cell r="Q2366">
            <v>46013</v>
          </cell>
        </row>
        <row r="2367">
          <cell r="M2367">
            <v>46008</v>
          </cell>
          <cell r="N2367">
            <v>46009</v>
          </cell>
          <cell r="Q2367">
            <v>46014</v>
          </cell>
        </row>
        <row r="2368">
          <cell r="M2368">
            <v>46009</v>
          </cell>
          <cell r="N2368">
            <v>46010</v>
          </cell>
          <cell r="Q2368">
            <v>46015</v>
          </cell>
        </row>
        <row r="2369">
          <cell r="M2369">
            <v>46010</v>
          </cell>
          <cell r="N2369">
            <v>46013</v>
          </cell>
          <cell r="Q2369">
            <v>46016</v>
          </cell>
        </row>
        <row r="2370">
          <cell r="M2370">
            <v>46013</v>
          </cell>
          <cell r="N2370">
            <v>46014</v>
          </cell>
          <cell r="Q2370">
            <v>46017</v>
          </cell>
        </row>
        <row r="2371">
          <cell r="M2371">
            <v>46014</v>
          </cell>
          <cell r="N2371">
            <v>46015</v>
          </cell>
          <cell r="Q2371">
            <v>46027</v>
          </cell>
        </row>
        <row r="2372">
          <cell r="M2372">
            <v>46015</v>
          </cell>
          <cell r="N2372">
            <v>46016</v>
          </cell>
          <cell r="Q2372">
            <v>46028</v>
          </cell>
        </row>
        <row r="2373">
          <cell r="M2373">
            <v>46016</v>
          </cell>
          <cell r="N2373">
            <v>46017</v>
          </cell>
          <cell r="Q2373">
            <v>46029</v>
          </cell>
        </row>
        <row r="2374">
          <cell r="M2374">
            <v>46017</v>
          </cell>
          <cell r="N2374">
            <v>46027</v>
          </cell>
          <cell r="Q2374">
            <v>46030</v>
          </cell>
        </row>
        <row r="2375">
          <cell r="M2375">
            <v>46027</v>
          </cell>
          <cell r="N2375">
            <v>46028</v>
          </cell>
          <cell r="Q2375">
            <v>46031</v>
          </cell>
        </row>
        <row r="2376">
          <cell r="M2376">
            <v>46028</v>
          </cell>
          <cell r="N2376">
            <v>46029</v>
          </cell>
          <cell r="Q2376">
            <v>46035</v>
          </cell>
        </row>
        <row r="2377">
          <cell r="M2377">
            <v>46029</v>
          </cell>
          <cell r="N2377">
            <v>46030</v>
          </cell>
          <cell r="Q2377">
            <v>46036</v>
          </cell>
        </row>
        <row r="2378">
          <cell r="M2378">
            <v>46030</v>
          </cell>
          <cell r="N2378">
            <v>46031</v>
          </cell>
          <cell r="Q2378">
            <v>46037</v>
          </cell>
        </row>
        <row r="2379">
          <cell r="M2379">
            <v>46031</v>
          </cell>
          <cell r="N2379">
            <v>46035</v>
          </cell>
          <cell r="Q2379">
            <v>46038</v>
          </cell>
        </row>
        <row r="2380">
          <cell r="M2380">
            <v>46035</v>
          </cell>
          <cell r="N2380">
            <v>46036</v>
          </cell>
          <cell r="Q2380">
            <v>46039</v>
          </cell>
        </row>
        <row r="2381">
          <cell r="M2381">
            <v>46036</v>
          </cell>
          <cell r="N2381">
            <v>46037</v>
          </cell>
          <cell r="Q2381">
            <v>46041</v>
          </cell>
        </row>
        <row r="2382">
          <cell r="M2382">
            <v>46037</v>
          </cell>
          <cell r="N2382">
            <v>46038</v>
          </cell>
          <cell r="Q2382">
            <v>46042</v>
          </cell>
        </row>
        <row r="2383">
          <cell r="M2383">
            <v>46038</v>
          </cell>
          <cell r="N2383">
            <v>46039</v>
          </cell>
          <cell r="Q2383">
            <v>46043</v>
          </cell>
        </row>
        <row r="2384">
          <cell r="M2384">
            <v>46039</v>
          </cell>
          <cell r="N2384">
            <v>46041</v>
          </cell>
          <cell r="Q2384">
            <v>46044</v>
          </cell>
        </row>
        <row r="2385">
          <cell r="M2385">
            <v>46041</v>
          </cell>
          <cell r="N2385">
            <v>46042</v>
          </cell>
          <cell r="Q2385">
            <v>46045</v>
          </cell>
        </row>
        <row r="2386">
          <cell r="M2386">
            <v>46042</v>
          </cell>
          <cell r="N2386">
            <v>46043</v>
          </cell>
          <cell r="Q2386">
            <v>46048</v>
          </cell>
        </row>
        <row r="2387">
          <cell r="M2387">
            <v>46043</v>
          </cell>
          <cell r="N2387">
            <v>46044</v>
          </cell>
          <cell r="Q2387">
            <v>46049</v>
          </cell>
        </row>
        <row r="2388">
          <cell r="M2388">
            <v>46044</v>
          </cell>
          <cell r="N2388">
            <v>46045</v>
          </cell>
          <cell r="Q2388">
            <v>46050</v>
          </cell>
        </row>
        <row r="2389">
          <cell r="M2389">
            <v>46045</v>
          </cell>
          <cell r="N2389">
            <v>46048</v>
          </cell>
          <cell r="Q2389">
            <v>46051</v>
          </cell>
        </row>
        <row r="2390">
          <cell r="M2390">
            <v>46048</v>
          </cell>
          <cell r="N2390">
            <v>46049</v>
          </cell>
          <cell r="Q2390">
            <v>46052</v>
          </cell>
        </row>
        <row r="2391">
          <cell r="M2391">
            <v>46049</v>
          </cell>
          <cell r="N2391">
            <v>46050</v>
          </cell>
          <cell r="Q2391">
            <v>46055</v>
          </cell>
        </row>
        <row r="2392">
          <cell r="M2392">
            <v>46050</v>
          </cell>
          <cell r="N2392">
            <v>46051</v>
          </cell>
          <cell r="Q2392">
            <v>46056</v>
          </cell>
        </row>
        <row r="2393">
          <cell r="M2393">
            <v>46051</v>
          </cell>
          <cell r="N2393">
            <v>46052</v>
          </cell>
          <cell r="Q2393">
            <v>46057</v>
          </cell>
        </row>
        <row r="2394">
          <cell r="M2394">
            <v>46052</v>
          </cell>
          <cell r="N2394">
            <v>46055</v>
          </cell>
          <cell r="Q2394">
            <v>46058</v>
          </cell>
        </row>
        <row r="2395">
          <cell r="M2395">
            <v>46055</v>
          </cell>
          <cell r="N2395">
            <v>46056</v>
          </cell>
          <cell r="Q2395">
            <v>46059</v>
          </cell>
        </row>
        <row r="2396">
          <cell r="M2396">
            <v>46056</v>
          </cell>
          <cell r="N2396">
            <v>46057</v>
          </cell>
          <cell r="Q2396">
            <v>46062</v>
          </cell>
        </row>
        <row r="2397">
          <cell r="M2397">
            <v>46057</v>
          </cell>
          <cell r="N2397">
            <v>46058</v>
          </cell>
          <cell r="Q2397">
            <v>46063</v>
          </cell>
        </row>
        <row r="2398">
          <cell r="M2398">
            <v>46058</v>
          </cell>
          <cell r="N2398">
            <v>46059</v>
          </cell>
          <cell r="Q2398">
            <v>46065</v>
          </cell>
        </row>
        <row r="2399">
          <cell r="M2399">
            <v>46059</v>
          </cell>
          <cell r="N2399">
            <v>46062</v>
          </cell>
          <cell r="Q2399">
            <v>46066</v>
          </cell>
        </row>
        <row r="2400">
          <cell r="M2400">
            <v>46062</v>
          </cell>
          <cell r="N2400">
            <v>46063</v>
          </cell>
          <cell r="Q2400">
            <v>46069</v>
          </cell>
        </row>
        <row r="2401">
          <cell r="M2401">
            <v>46063</v>
          </cell>
          <cell r="N2401">
            <v>46065</v>
          </cell>
          <cell r="Q2401">
            <v>46070</v>
          </cell>
        </row>
        <row r="2402">
          <cell r="M2402">
            <v>46065</v>
          </cell>
          <cell r="N2402">
            <v>46066</v>
          </cell>
          <cell r="Q2402">
            <v>46071</v>
          </cell>
        </row>
        <row r="2403">
          <cell r="M2403">
            <v>46066</v>
          </cell>
          <cell r="N2403">
            <v>46069</v>
          </cell>
          <cell r="Q2403">
            <v>46072</v>
          </cell>
        </row>
        <row r="2404">
          <cell r="M2404">
            <v>46069</v>
          </cell>
          <cell r="N2404">
            <v>46070</v>
          </cell>
          <cell r="Q2404">
            <v>46073</v>
          </cell>
        </row>
        <row r="2405">
          <cell r="M2405">
            <v>46070</v>
          </cell>
          <cell r="N2405">
            <v>46071</v>
          </cell>
          <cell r="Q2405">
            <v>46077</v>
          </cell>
        </row>
        <row r="2406">
          <cell r="M2406">
            <v>46071</v>
          </cell>
          <cell r="N2406">
            <v>46072</v>
          </cell>
          <cell r="Q2406">
            <v>46078</v>
          </cell>
        </row>
        <row r="2407">
          <cell r="M2407">
            <v>46072</v>
          </cell>
          <cell r="N2407">
            <v>46073</v>
          </cell>
          <cell r="Q2407">
            <v>46079</v>
          </cell>
        </row>
        <row r="2408">
          <cell r="M2408">
            <v>46073</v>
          </cell>
          <cell r="N2408">
            <v>46077</v>
          </cell>
          <cell r="Q2408">
            <v>46080</v>
          </cell>
        </row>
        <row r="2409">
          <cell r="M2409">
            <v>46077</v>
          </cell>
          <cell r="N2409">
            <v>46078</v>
          </cell>
          <cell r="Q2409">
            <v>46083</v>
          </cell>
        </row>
        <row r="2410">
          <cell r="M2410">
            <v>46078</v>
          </cell>
          <cell r="N2410">
            <v>46079</v>
          </cell>
          <cell r="Q2410">
            <v>46084</v>
          </cell>
        </row>
        <row r="2411">
          <cell r="M2411">
            <v>46079</v>
          </cell>
          <cell r="N2411">
            <v>46080</v>
          </cell>
          <cell r="Q2411">
            <v>46085</v>
          </cell>
        </row>
        <row r="2412">
          <cell r="M2412">
            <v>46080</v>
          </cell>
          <cell r="N2412">
            <v>46083</v>
          </cell>
          <cell r="Q2412">
            <v>46086</v>
          </cell>
        </row>
        <row r="2413">
          <cell r="M2413">
            <v>46083</v>
          </cell>
          <cell r="N2413">
            <v>46084</v>
          </cell>
          <cell r="Q2413">
            <v>46087</v>
          </cell>
        </row>
        <row r="2414">
          <cell r="M2414">
            <v>46084</v>
          </cell>
          <cell r="N2414">
            <v>46085</v>
          </cell>
          <cell r="Q2414">
            <v>46090</v>
          </cell>
        </row>
        <row r="2415">
          <cell r="M2415">
            <v>46085</v>
          </cell>
          <cell r="N2415">
            <v>46086</v>
          </cell>
          <cell r="Q2415">
            <v>46091</v>
          </cell>
        </row>
        <row r="2416">
          <cell r="M2416">
            <v>46086</v>
          </cell>
          <cell r="N2416">
            <v>46087</v>
          </cell>
          <cell r="Q2416">
            <v>46092</v>
          </cell>
        </row>
        <row r="2417">
          <cell r="M2417">
            <v>46087</v>
          </cell>
          <cell r="N2417">
            <v>46090</v>
          </cell>
          <cell r="Q2417">
            <v>46093</v>
          </cell>
        </row>
        <row r="2418">
          <cell r="M2418">
            <v>46090</v>
          </cell>
          <cell r="N2418">
            <v>46091</v>
          </cell>
          <cell r="Q2418">
            <v>46094</v>
          </cell>
        </row>
        <row r="2419">
          <cell r="M2419">
            <v>46091</v>
          </cell>
          <cell r="N2419">
            <v>46092</v>
          </cell>
          <cell r="Q2419">
            <v>46097</v>
          </cell>
        </row>
        <row r="2420">
          <cell r="M2420">
            <v>46092</v>
          </cell>
          <cell r="N2420">
            <v>46093</v>
          </cell>
          <cell r="Q2420">
            <v>46098</v>
          </cell>
        </row>
        <row r="2421">
          <cell r="M2421">
            <v>46093</v>
          </cell>
          <cell r="N2421">
            <v>46094</v>
          </cell>
          <cell r="Q2421">
            <v>46099</v>
          </cell>
        </row>
        <row r="2422">
          <cell r="M2422">
            <v>46094</v>
          </cell>
          <cell r="N2422">
            <v>46097</v>
          </cell>
          <cell r="Q2422">
            <v>46100</v>
          </cell>
        </row>
        <row r="2423">
          <cell r="M2423">
            <v>46097</v>
          </cell>
          <cell r="N2423">
            <v>46098</v>
          </cell>
          <cell r="Q2423">
            <v>46104</v>
          </cell>
        </row>
        <row r="2424">
          <cell r="M2424">
            <v>46098</v>
          </cell>
          <cell r="N2424">
            <v>46099</v>
          </cell>
          <cell r="Q2424">
            <v>46105</v>
          </cell>
        </row>
        <row r="2425">
          <cell r="M2425">
            <v>46099</v>
          </cell>
          <cell r="N2425">
            <v>46100</v>
          </cell>
          <cell r="Q2425">
            <v>46106</v>
          </cell>
        </row>
        <row r="2426">
          <cell r="M2426">
            <v>46100</v>
          </cell>
          <cell r="N2426">
            <v>46104</v>
          </cell>
          <cell r="Q2426">
            <v>46107</v>
          </cell>
        </row>
        <row r="2427">
          <cell r="M2427">
            <v>46104</v>
          </cell>
          <cell r="N2427">
            <v>46105</v>
          </cell>
          <cell r="Q2427">
            <v>46108</v>
          </cell>
        </row>
        <row r="2428">
          <cell r="M2428">
            <v>46105</v>
          </cell>
          <cell r="N2428">
            <v>46106</v>
          </cell>
          <cell r="Q2428">
            <v>46111</v>
          </cell>
        </row>
        <row r="2429">
          <cell r="M2429">
            <v>46106</v>
          </cell>
          <cell r="N2429">
            <v>46107</v>
          </cell>
          <cell r="Q2429">
            <v>46112</v>
          </cell>
        </row>
        <row r="2430">
          <cell r="M2430">
            <v>46107</v>
          </cell>
          <cell r="N2430">
            <v>46108</v>
          </cell>
          <cell r="Q2430">
            <v>46113</v>
          </cell>
        </row>
        <row r="2431">
          <cell r="M2431">
            <v>46108</v>
          </cell>
          <cell r="N2431">
            <v>46111</v>
          </cell>
          <cell r="Q2431">
            <v>46114</v>
          </cell>
        </row>
        <row r="2432">
          <cell r="M2432">
            <v>46111</v>
          </cell>
          <cell r="N2432">
            <v>46112</v>
          </cell>
          <cell r="Q2432">
            <v>46115</v>
          </cell>
        </row>
        <row r="2433">
          <cell r="M2433">
            <v>46112</v>
          </cell>
          <cell r="N2433">
            <v>46113</v>
          </cell>
          <cell r="Q2433">
            <v>46118</v>
          </cell>
        </row>
        <row r="2434">
          <cell r="M2434">
            <v>46113</v>
          </cell>
          <cell r="N2434">
            <v>46114</v>
          </cell>
          <cell r="Q2434">
            <v>46119</v>
          </cell>
        </row>
        <row r="2435">
          <cell r="M2435">
            <v>46114</v>
          </cell>
          <cell r="N2435">
            <v>46115</v>
          </cell>
          <cell r="Q2435">
            <v>46120</v>
          </cell>
        </row>
        <row r="2436">
          <cell r="M2436">
            <v>46115</v>
          </cell>
          <cell r="N2436">
            <v>46118</v>
          </cell>
          <cell r="Q2436">
            <v>46121</v>
          </cell>
        </row>
        <row r="2437">
          <cell r="M2437">
            <v>46118</v>
          </cell>
          <cell r="N2437">
            <v>46119</v>
          </cell>
          <cell r="Q2437">
            <v>46122</v>
          </cell>
        </row>
        <row r="2438">
          <cell r="M2438">
            <v>46119</v>
          </cell>
          <cell r="N2438">
            <v>46120</v>
          </cell>
          <cell r="Q2438">
            <v>46125</v>
          </cell>
        </row>
        <row r="2439">
          <cell r="M2439">
            <v>46120</v>
          </cell>
          <cell r="N2439">
            <v>46121</v>
          </cell>
          <cell r="Q2439">
            <v>46126</v>
          </cell>
        </row>
        <row r="2440">
          <cell r="M2440">
            <v>46121</v>
          </cell>
          <cell r="N2440">
            <v>46122</v>
          </cell>
          <cell r="Q2440">
            <v>46127</v>
          </cell>
        </row>
        <row r="2441">
          <cell r="M2441">
            <v>46122</v>
          </cell>
          <cell r="N2441">
            <v>46125</v>
          </cell>
          <cell r="Q2441">
            <v>46128</v>
          </cell>
        </row>
        <row r="2442">
          <cell r="M2442">
            <v>46125</v>
          </cell>
          <cell r="N2442">
            <v>46126</v>
          </cell>
          <cell r="Q2442">
            <v>46129</v>
          </cell>
        </row>
        <row r="2443">
          <cell r="M2443">
            <v>46126</v>
          </cell>
          <cell r="N2443">
            <v>46127</v>
          </cell>
          <cell r="Q2443">
            <v>46132</v>
          </cell>
        </row>
        <row r="2444">
          <cell r="M2444">
            <v>46127</v>
          </cell>
          <cell r="N2444">
            <v>46128</v>
          </cell>
          <cell r="Q2444">
            <v>46133</v>
          </cell>
        </row>
        <row r="2445">
          <cell r="M2445">
            <v>46128</v>
          </cell>
          <cell r="N2445">
            <v>46129</v>
          </cell>
          <cell r="Q2445">
            <v>46134</v>
          </cell>
        </row>
        <row r="2446">
          <cell r="M2446">
            <v>46129</v>
          </cell>
          <cell r="N2446">
            <v>46132</v>
          </cell>
          <cell r="Q2446">
            <v>46135</v>
          </cell>
        </row>
        <row r="2447">
          <cell r="M2447">
            <v>46132</v>
          </cell>
          <cell r="N2447">
            <v>46133</v>
          </cell>
          <cell r="Q2447">
            <v>46136</v>
          </cell>
        </row>
        <row r="2448">
          <cell r="M2448">
            <v>46133</v>
          </cell>
          <cell r="N2448">
            <v>46134</v>
          </cell>
          <cell r="Q2448">
            <v>46139</v>
          </cell>
        </row>
        <row r="2449">
          <cell r="M2449">
            <v>46134</v>
          </cell>
          <cell r="N2449">
            <v>46135</v>
          </cell>
          <cell r="Q2449">
            <v>46140</v>
          </cell>
        </row>
        <row r="2450">
          <cell r="M2450">
            <v>46135</v>
          </cell>
          <cell r="N2450">
            <v>46136</v>
          </cell>
          <cell r="Q2450">
            <v>46142</v>
          </cell>
        </row>
        <row r="2451">
          <cell r="M2451">
            <v>46136</v>
          </cell>
          <cell r="N2451">
            <v>46139</v>
          </cell>
          <cell r="Q2451">
            <v>0</v>
          </cell>
        </row>
        <row r="2452">
          <cell r="M2452">
            <v>46139</v>
          </cell>
          <cell r="N2452">
            <v>46140</v>
          </cell>
          <cell r="Q2452">
            <v>0</v>
          </cell>
        </row>
        <row r="2453">
          <cell r="M2453">
            <v>46140</v>
          </cell>
          <cell r="N2453">
            <v>46142</v>
          </cell>
          <cell r="Q2453">
            <v>0</v>
          </cell>
        </row>
        <row r="2454">
          <cell r="M2454">
            <v>46142</v>
          </cell>
          <cell r="N2454">
            <v>0</v>
          </cell>
          <cell r="Q2454">
            <v>0</v>
          </cell>
        </row>
        <row r="2455">
          <cell r="M2455">
            <v>0</v>
          </cell>
          <cell r="N2455">
            <v>0</v>
          </cell>
          <cell r="Q2455">
            <v>0</v>
          </cell>
        </row>
        <row r="2456">
          <cell r="M2456">
            <v>0</v>
          </cell>
          <cell r="N2456">
            <v>0</v>
          </cell>
          <cell r="Q2456">
            <v>0</v>
          </cell>
        </row>
        <row r="2457">
          <cell r="M2457">
            <v>0</v>
          </cell>
          <cell r="N2457">
            <v>0</v>
          </cell>
          <cell r="Q2457">
            <v>0</v>
          </cell>
        </row>
        <row r="2458">
          <cell r="M2458">
            <v>0</v>
          </cell>
          <cell r="N2458">
            <v>0</v>
          </cell>
          <cell r="Q2458">
            <v>0</v>
          </cell>
        </row>
        <row r="2459">
          <cell r="M2459">
            <v>0</v>
          </cell>
          <cell r="N2459">
            <v>0</v>
          </cell>
          <cell r="Q2459">
            <v>0</v>
          </cell>
        </row>
        <row r="2460">
          <cell r="M2460">
            <v>0</v>
          </cell>
          <cell r="N2460">
            <v>0</v>
          </cell>
          <cell r="Q2460">
            <v>0</v>
          </cell>
        </row>
        <row r="2461">
          <cell r="M2461">
            <v>0</v>
          </cell>
          <cell r="N2461">
            <v>0</v>
          </cell>
          <cell r="Q2461">
            <v>0</v>
          </cell>
        </row>
        <row r="2462">
          <cell r="M2462">
            <v>0</v>
          </cell>
          <cell r="N2462">
            <v>0</v>
          </cell>
          <cell r="Q2462">
            <v>0</v>
          </cell>
        </row>
        <row r="2463">
          <cell r="M2463">
            <v>0</v>
          </cell>
          <cell r="N2463">
            <v>0</v>
          </cell>
          <cell r="Q2463">
            <v>0</v>
          </cell>
        </row>
        <row r="2464">
          <cell r="M2464">
            <v>0</v>
          </cell>
          <cell r="N2464">
            <v>0</v>
          </cell>
          <cell r="Q2464">
            <v>0</v>
          </cell>
        </row>
        <row r="2465">
          <cell r="M2465">
            <v>0</v>
          </cell>
          <cell r="N2465">
            <v>0</v>
          </cell>
          <cell r="Q2465">
            <v>0</v>
          </cell>
        </row>
        <row r="2466">
          <cell r="M2466">
            <v>0</v>
          </cell>
          <cell r="N2466">
            <v>0</v>
          </cell>
          <cell r="Q2466">
            <v>0</v>
          </cell>
        </row>
        <row r="2467">
          <cell r="M2467">
            <v>0</v>
          </cell>
          <cell r="N2467">
            <v>0</v>
          </cell>
          <cell r="Q2467">
            <v>0</v>
          </cell>
        </row>
        <row r="2468">
          <cell r="M2468">
            <v>0</v>
          </cell>
          <cell r="N2468">
            <v>0</v>
          </cell>
          <cell r="Q2468">
            <v>0</v>
          </cell>
        </row>
        <row r="2469">
          <cell r="N2469">
            <v>0</v>
          </cell>
          <cell r="Q2469">
            <v>0</v>
          </cell>
        </row>
        <row r="2470">
          <cell r="N2470">
            <v>0</v>
          </cell>
          <cell r="Q2470">
            <v>0</v>
          </cell>
        </row>
        <row r="2471">
          <cell r="N2471">
            <v>0</v>
          </cell>
          <cell r="Q2471">
            <v>0</v>
          </cell>
        </row>
        <row r="2472">
          <cell r="N2472">
            <v>0</v>
          </cell>
          <cell r="Q2472">
            <v>0</v>
          </cell>
        </row>
        <row r="2473">
          <cell r="N2473">
            <v>0</v>
          </cell>
          <cell r="Q2473">
            <v>0</v>
          </cell>
        </row>
        <row r="2474">
          <cell r="N2474">
            <v>0</v>
          </cell>
          <cell r="Q2474">
            <v>0</v>
          </cell>
        </row>
        <row r="2475">
          <cell r="N2475">
            <v>0</v>
          </cell>
          <cell r="Q2475">
            <v>0</v>
          </cell>
        </row>
        <row r="2476">
          <cell r="N2476">
            <v>0</v>
          </cell>
          <cell r="Q2476">
            <v>0</v>
          </cell>
        </row>
        <row r="2477">
          <cell r="N2477">
            <v>0</v>
          </cell>
          <cell r="Q2477">
            <v>0</v>
          </cell>
        </row>
        <row r="2478">
          <cell r="N2478">
            <v>0</v>
          </cell>
          <cell r="Q2478">
            <v>0</v>
          </cell>
        </row>
        <row r="2479">
          <cell r="N2479">
            <v>0</v>
          </cell>
          <cell r="Q2479">
            <v>0</v>
          </cell>
        </row>
        <row r="2480">
          <cell r="N2480">
            <v>0</v>
          </cell>
          <cell r="Q2480">
            <v>0</v>
          </cell>
        </row>
        <row r="2481">
          <cell r="N2481">
            <v>0</v>
          </cell>
          <cell r="Q2481">
            <v>0</v>
          </cell>
        </row>
        <row r="2482">
          <cell r="N2482">
            <v>0</v>
          </cell>
          <cell r="Q2482">
            <v>0</v>
          </cell>
        </row>
        <row r="2483">
          <cell r="N2483">
            <v>0</v>
          </cell>
          <cell r="Q2483">
            <v>0</v>
          </cell>
        </row>
        <row r="2484">
          <cell r="N2484">
            <v>0</v>
          </cell>
          <cell r="Q2484">
            <v>0</v>
          </cell>
        </row>
        <row r="2485">
          <cell r="N2485">
            <v>0</v>
          </cell>
          <cell r="Q2485">
            <v>0</v>
          </cell>
        </row>
        <row r="2486">
          <cell r="N2486">
            <v>0</v>
          </cell>
          <cell r="Q2486">
            <v>0</v>
          </cell>
        </row>
        <row r="2487">
          <cell r="N2487">
            <v>0</v>
          </cell>
          <cell r="Q2487">
            <v>0</v>
          </cell>
        </row>
        <row r="2488">
          <cell r="N2488">
            <v>0</v>
          </cell>
          <cell r="Q2488">
            <v>0</v>
          </cell>
        </row>
        <row r="2489">
          <cell r="N2489">
            <v>0</v>
          </cell>
          <cell r="Q2489">
            <v>0</v>
          </cell>
        </row>
        <row r="2490">
          <cell r="N2490">
            <v>0</v>
          </cell>
          <cell r="Q2490">
            <v>0</v>
          </cell>
        </row>
        <row r="2491">
          <cell r="N2491">
            <v>0</v>
          </cell>
          <cell r="Q2491">
            <v>0</v>
          </cell>
        </row>
        <row r="2492">
          <cell r="N2492">
            <v>0</v>
          </cell>
          <cell r="Q2492">
            <v>0</v>
          </cell>
        </row>
        <row r="2493">
          <cell r="N2493">
            <v>0</v>
          </cell>
          <cell r="Q2493">
            <v>0</v>
          </cell>
        </row>
        <row r="2494">
          <cell r="N2494">
            <v>0</v>
          </cell>
          <cell r="Q2494">
            <v>0</v>
          </cell>
        </row>
        <row r="2495">
          <cell r="N2495">
            <v>0</v>
          </cell>
          <cell r="Q2495">
            <v>0</v>
          </cell>
        </row>
        <row r="2496">
          <cell r="N2496">
            <v>0</v>
          </cell>
          <cell r="Q2496">
            <v>0</v>
          </cell>
        </row>
        <row r="2497">
          <cell r="N2497">
            <v>0</v>
          </cell>
          <cell r="Q2497">
            <v>0</v>
          </cell>
        </row>
        <row r="2498">
          <cell r="N2498">
            <v>0</v>
          </cell>
          <cell r="Q2498">
            <v>0</v>
          </cell>
        </row>
        <row r="2499">
          <cell r="N2499">
            <v>0</v>
          </cell>
          <cell r="Q2499">
            <v>0</v>
          </cell>
        </row>
        <row r="2500">
          <cell r="N2500">
            <v>0</v>
          </cell>
          <cell r="Q2500">
            <v>0</v>
          </cell>
        </row>
        <row r="2501">
          <cell r="N2501">
            <v>0</v>
          </cell>
          <cell r="Q2501">
            <v>0</v>
          </cell>
        </row>
        <row r="2502">
          <cell r="N2502">
            <v>0</v>
          </cell>
          <cell r="Q2502">
            <v>0</v>
          </cell>
        </row>
        <row r="2503">
          <cell r="N2503">
            <v>0</v>
          </cell>
          <cell r="Q2503">
            <v>0</v>
          </cell>
        </row>
        <row r="2504">
          <cell r="N2504">
            <v>0</v>
          </cell>
          <cell r="Q2504">
            <v>0</v>
          </cell>
        </row>
        <row r="2505">
          <cell r="N2505">
            <v>0</v>
          </cell>
          <cell r="Q2505">
            <v>0</v>
          </cell>
        </row>
        <row r="2506">
          <cell r="N2506">
            <v>0</v>
          </cell>
          <cell r="Q2506">
            <v>0</v>
          </cell>
        </row>
        <row r="2507">
          <cell r="N2507">
            <v>0</v>
          </cell>
          <cell r="Q2507">
            <v>0</v>
          </cell>
        </row>
        <row r="2508">
          <cell r="N2508">
            <v>0</v>
          </cell>
          <cell r="Q2508">
            <v>0</v>
          </cell>
        </row>
        <row r="2509">
          <cell r="N2509">
            <v>0</v>
          </cell>
          <cell r="Q2509">
            <v>0</v>
          </cell>
        </row>
        <row r="2510">
          <cell r="N2510">
            <v>0</v>
          </cell>
          <cell r="Q2510">
            <v>0</v>
          </cell>
        </row>
        <row r="2511">
          <cell r="N2511">
            <v>0</v>
          </cell>
          <cell r="Q2511">
            <v>0</v>
          </cell>
        </row>
        <row r="2512">
          <cell r="N2512">
            <v>0</v>
          </cell>
          <cell r="Q2512">
            <v>0</v>
          </cell>
        </row>
        <row r="2513">
          <cell r="N2513">
            <v>0</v>
          </cell>
          <cell r="Q2513">
            <v>0</v>
          </cell>
        </row>
        <row r="2514">
          <cell r="N2514">
            <v>0</v>
          </cell>
          <cell r="Q2514">
            <v>0</v>
          </cell>
        </row>
        <row r="2515">
          <cell r="N2515">
            <v>0</v>
          </cell>
          <cell r="Q2515">
            <v>0</v>
          </cell>
        </row>
        <row r="2516">
          <cell r="N2516">
            <v>0</v>
          </cell>
          <cell r="Q2516">
            <v>0</v>
          </cell>
        </row>
        <row r="2517">
          <cell r="N2517">
            <v>0</v>
          </cell>
          <cell r="Q2517">
            <v>0</v>
          </cell>
        </row>
        <row r="2518">
          <cell r="N2518">
            <v>0</v>
          </cell>
          <cell r="Q2518">
            <v>0</v>
          </cell>
        </row>
        <row r="2519">
          <cell r="N2519">
            <v>0</v>
          </cell>
          <cell r="Q2519">
            <v>0</v>
          </cell>
        </row>
        <row r="2520">
          <cell r="N2520">
            <v>0</v>
          </cell>
          <cell r="Q2520">
            <v>0</v>
          </cell>
        </row>
        <row r="2521">
          <cell r="N2521">
            <v>0</v>
          </cell>
          <cell r="Q2521">
            <v>0</v>
          </cell>
        </row>
        <row r="2522">
          <cell r="N2522">
            <v>0</v>
          </cell>
          <cell r="Q2522">
            <v>0</v>
          </cell>
        </row>
        <row r="2523">
          <cell r="N2523">
            <v>0</v>
          </cell>
          <cell r="Q2523">
            <v>0</v>
          </cell>
        </row>
        <row r="2524">
          <cell r="N2524">
            <v>0</v>
          </cell>
          <cell r="Q2524">
            <v>0</v>
          </cell>
        </row>
        <row r="2525">
          <cell r="N2525">
            <v>0</v>
          </cell>
          <cell r="Q2525">
            <v>0</v>
          </cell>
        </row>
        <row r="2526">
          <cell r="N2526">
            <v>0</v>
          </cell>
          <cell r="Q2526">
            <v>0</v>
          </cell>
        </row>
        <row r="2527">
          <cell r="N2527">
            <v>0</v>
          </cell>
          <cell r="Q2527">
            <v>0</v>
          </cell>
        </row>
        <row r="2528">
          <cell r="N2528">
            <v>0</v>
          </cell>
          <cell r="Q2528">
            <v>0</v>
          </cell>
        </row>
        <row r="2529">
          <cell r="N2529">
            <v>0</v>
          </cell>
          <cell r="Q2529">
            <v>0</v>
          </cell>
        </row>
        <row r="2530">
          <cell r="N2530">
            <v>0</v>
          </cell>
          <cell r="Q2530">
            <v>0</v>
          </cell>
        </row>
        <row r="2531">
          <cell r="N2531">
            <v>0</v>
          </cell>
          <cell r="Q2531">
            <v>0</v>
          </cell>
        </row>
        <row r="2532">
          <cell r="N2532">
            <v>0</v>
          </cell>
          <cell r="Q2532">
            <v>0</v>
          </cell>
        </row>
        <row r="2533">
          <cell r="N2533">
            <v>0</v>
          </cell>
          <cell r="Q2533">
            <v>0</v>
          </cell>
        </row>
        <row r="2534">
          <cell r="N2534">
            <v>0</v>
          </cell>
          <cell r="Q2534">
            <v>0</v>
          </cell>
        </row>
        <row r="2535">
          <cell r="N2535">
            <v>0</v>
          </cell>
          <cell r="Q2535">
            <v>0</v>
          </cell>
        </row>
        <row r="2536">
          <cell r="N2536">
            <v>0</v>
          </cell>
          <cell r="Q2536">
            <v>0</v>
          </cell>
        </row>
        <row r="2537">
          <cell r="N2537">
            <v>0</v>
          </cell>
          <cell r="Q2537">
            <v>0</v>
          </cell>
        </row>
        <row r="2538">
          <cell r="N2538">
            <v>0</v>
          </cell>
          <cell r="Q2538">
            <v>0</v>
          </cell>
        </row>
        <row r="2539">
          <cell r="N2539">
            <v>0</v>
          </cell>
          <cell r="Q2539">
            <v>0</v>
          </cell>
        </row>
        <row r="2540">
          <cell r="N2540">
            <v>0</v>
          </cell>
          <cell r="Q2540">
            <v>0</v>
          </cell>
        </row>
        <row r="2541">
          <cell r="N2541">
            <v>0</v>
          </cell>
          <cell r="Q2541">
            <v>0</v>
          </cell>
        </row>
        <row r="2542">
          <cell r="N2542">
            <v>0</v>
          </cell>
          <cell r="Q2542">
            <v>0</v>
          </cell>
        </row>
        <row r="2543">
          <cell r="N2543">
            <v>0</v>
          </cell>
          <cell r="Q2543">
            <v>0</v>
          </cell>
        </row>
        <row r="2544">
          <cell r="N2544">
            <v>0</v>
          </cell>
          <cell r="Q2544">
            <v>0</v>
          </cell>
        </row>
        <row r="2545">
          <cell r="N2545">
            <v>0</v>
          </cell>
          <cell r="Q2545">
            <v>0</v>
          </cell>
        </row>
        <row r="2546">
          <cell r="N2546">
            <v>0</v>
          </cell>
          <cell r="Q2546">
            <v>0</v>
          </cell>
        </row>
        <row r="2547">
          <cell r="N2547">
            <v>0</v>
          </cell>
          <cell r="Q2547">
            <v>0</v>
          </cell>
        </row>
        <row r="2548">
          <cell r="N2548">
            <v>0</v>
          </cell>
          <cell r="Q2548">
            <v>0</v>
          </cell>
        </row>
        <row r="2549">
          <cell r="N2549">
            <v>0</v>
          </cell>
          <cell r="Q2549">
            <v>0</v>
          </cell>
        </row>
        <row r="2550">
          <cell r="N2550">
            <v>0</v>
          </cell>
          <cell r="Q2550">
            <v>0</v>
          </cell>
        </row>
        <row r="2551">
          <cell r="N2551">
            <v>0</v>
          </cell>
          <cell r="Q2551">
            <v>0</v>
          </cell>
        </row>
        <row r="2552">
          <cell r="N2552">
            <v>0</v>
          </cell>
          <cell r="Q2552">
            <v>0</v>
          </cell>
        </row>
        <row r="2553">
          <cell r="N2553">
            <v>0</v>
          </cell>
          <cell r="Q2553">
            <v>0</v>
          </cell>
        </row>
        <row r="2554">
          <cell r="N2554">
            <v>0</v>
          </cell>
          <cell r="Q2554">
            <v>0</v>
          </cell>
        </row>
        <row r="2555">
          <cell r="N2555">
            <v>0</v>
          </cell>
          <cell r="Q2555">
            <v>0</v>
          </cell>
        </row>
        <row r="2556">
          <cell r="N2556">
            <v>0</v>
          </cell>
          <cell r="Q2556">
            <v>0</v>
          </cell>
        </row>
        <row r="2557">
          <cell r="N2557">
            <v>0</v>
          </cell>
          <cell r="Q2557">
            <v>0</v>
          </cell>
        </row>
        <row r="2558">
          <cell r="N2558">
            <v>0</v>
          </cell>
          <cell r="Q2558">
            <v>0</v>
          </cell>
        </row>
        <row r="2559">
          <cell r="N2559">
            <v>0</v>
          </cell>
          <cell r="Q2559">
            <v>0</v>
          </cell>
        </row>
        <row r="2560">
          <cell r="N2560">
            <v>0</v>
          </cell>
          <cell r="Q2560">
            <v>0</v>
          </cell>
        </row>
        <row r="2561">
          <cell r="N2561">
            <v>0</v>
          </cell>
          <cell r="Q2561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大槻 隆雄" refreshedDate="46035.624399189815" createdVersion="5" refreshedVersion="5" minRefreshableVersion="3" recordCount="406">
  <cacheSource type="worksheet">
    <worksheetSource ref="A4:CV410" sheet="日程表"/>
  </cacheSource>
  <cacheFields count="100">
    <cacheField name="№" numFmtId="179">
      <sharedItems containsSemiMixedTypes="0" containsString="0" containsNumber="1" containsInteger="1" minValue="1" maxValue="620"/>
    </cacheField>
    <cacheField name="生産計画№" numFmtId="49">
      <sharedItems/>
    </cacheField>
    <cacheField name="客先名" numFmtId="0">
      <sharedItems/>
    </cacheField>
    <cacheField name="駅名" numFmtId="0">
      <sharedItems containsBlank="1"/>
    </cacheField>
    <cacheField name="コーナー" numFmtId="0">
      <sharedItems containsBlank="1"/>
    </cacheField>
    <cacheField name="機種名" numFmtId="0">
      <sharedItems/>
    </cacheField>
    <cacheField name="型式" numFmtId="0">
      <sharedItems/>
    </cacheField>
    <cacheField name="機器品番" numFmtId="0">
      <sharedItems/>
    </cacheField>
    <cacheField name="属性" numFmtId="0">
      <sharedItems/>
    </cacheField>
    <cacheField name="正式_x000a_品番" numFmtId="0">
      <sharedItems containsSemiMixedTypes="0" containsString="0" containsNumber="1" containsInteger="1" minValue="0" maxValue="1"/>
    </cacheField>
    <cacheField name="追加_x000a_仕様" numFmtId="0">
      <sharedItems containsBlank="1"/>
    </cacheField>
    <cacheField name="数量" numFmtId="179">
      <sharedItems containsSemiMixedTypes="0" containsString="0" containsNumber="1" containsInteger="1" minValue="1" maxValue="90"/>
    </cacheField>
    <cacheField name="順序指示_x000a_発行日" numFmtId="178">
      <sharedItems containsNonDate="0" containsDate="1" containsString="0" containsBlank="1" minDate="2025-12-04T00:00:00" maxDate="2026-04-09T00:00:00"/>
    </cacheField>
    <cacheField name="光真ss_x000a_出荷日" numFmtId="178">
      <sharedItems containsSemiMixedTypes="0" containsNonDate="0" containsDate="1" containsString="0" minDate="2025-12-16T00:00:00" maxDate="2027-04-07T00:00:00"/>
    </cacheField>
    <cacheField name="M/C_x000a_着手日" numFmtId="178">
      <sharedItems containsSemiMixedTypes="0" containsNonDate="0" containsDate="1" containsString="0" minDate="2025-12-15T00:00:00" maxDate="2027-04-06T00:00:00"/>
    </cacheField>
    <cacheField name="機器_x000a_ﾘﾘｰｽ日" numFmtId="178">
      <sharedItems containsSemiMixedTypes="0" containsNonDate="0" containsDate="1" containsString="0" minDate="2025-12-17T00:00:00" maxDate="2027-04-07T00:00:00"/>
    </cacheField>
    <cacheField name="実出荷" numFmtId="178">
      <sharedItems containsBlank="1"/>
    </cacheField>
    <cacheField name="KP-No" numFmtId="0">
      <sharedItems containsBlank="1"/>
    </cacheField>
    <cacheField name="BH型式_x000a_TYPE" numFmtId="0">
      <sharedItems/>
    </cacheField>
    <cacheField name="V7ｶｾｯﾄ_x000a_品番" numFmtId="0">
      <sharedItems containsBlank="1" containsMixedTypes="1" containsNumber="1" containsInteger="1" minValue="0" maxValue="5"/>
    </cacheField>
    <cacheField name="MODEL" numFmtId="0">
      <sharedItems/>
    </cacheField>
    <cacheField name="shipment_x000a_month" numFmtId="0">
      <sharedItems count="17">
        <s v="25/12"/>
        <s v="26/01"/>
        <s v="26/02"/>
        <s v="26/03"/>
        <s v="26/04"/>
        <s v="26/05"/>
        <s v="26/06"/>
        <s v="26/07"/>
        <s v="26/08"/>
        <s v="26/09"/>
        <s v="26/10"/>
        <s v="26/11"/>
        <s v="26/12"/>
        <s v="27/01"/>
        <s v="27/02"/>
        <s v="27/03"/>
        <s v="27/04"/>
      </sharedItems>
    </cacheField>
    <cacheField name="T-No" numFmtId="0">
      <sharedItems containsString="0" containsBlank="1" containsNumber="1" containsInteger="1" minValue="1442" maxValue="21460"/>
    </cacheField>
    <cacheField name="V７号機" numFmtId="0">
      <sharedItems containsNonDate="0" containsString="0" containsBlank="1"/>
    </cacheField>
    <cacheField name="V8-LAZ_x000a_型式" numFmtId="0">
      <sharedItems containsBlank="1"/>
    </cacheField>
    <cacheField name="V8-LAY_x000a_型式" numFmtId="0">
      <sharedItems containsBlank="1"/>
    </cacheField>
    <cacheField name="Z002_x000a_号機" numFmtId="0">
      <sharedItems containsString="0" containsBlank="1" containsNumber="1" containsInteger="1" minValue="863" maxValue="3254"/>
    </cacheField>
    <cacheField name="Z003_x000a_号機" numFmtId="0">
      <sharedItems containsString="0" containsBlank="1" containsNumber="1" containsInteger="1" minValue="583" maxValue="652"/>
    </cacheField>
    <cacheField name="Z004_x000a_号機" numFmtId="0">
      <sharedItems containsString="0" containsBlank="1" containsNumber="1" containsInteger="1" minValue="916" maxValue="1058"/>
    </cacheField>
    <cacheField name="Z101_x000a_号機" numFmtId="0">
      <sharedItems containsString="0" containsBlank="1" containsNumber="1" containsInteger="1" minValue="530" maxValue="8244"/>
    </cacheField>
    <cacheField name="Z102_x000a_号機" numFmtId="0">
      <sharedItems containsString="0" containsBlank="1" containsNumber="1" containsInteger="1" minValue="1253" maxValue="1282"/>
    </cacheField>
    <cacheField name="Z103_x000a_号機" numFmtId="0">
      <sharedItems containsNonDate="0" containsString="0" containsBlank="1"/>
    </cacheField>
    <cacheField name="Z201_x000a_号機" numFmtId="0">
      <sharedItems containsString="0" containsBlank="1" containsNumber="1" containsInteger="1" minValue="3524" maxValue="3545"/>
    </cacheField>
    <cacheField name="備考" numFmtId="0">
      <sharedItems containsNonDate="0" containsString="0" containsBlank="1"/>
    </cacheField>
    <cacheField name="LAA101" numFmtId="180">
      <sharedItems containsSemiMixedTypes="0" containsString="0" containsNumber="1" containsInteger="1" minValue="0" maxValue="1"/>
    </cacheField>
    <cacheField name="LAF001" numFmtId="180">
      <sharedItems containsSemiMixedTypes="0" containsString="0" containsNumber="1" containsInteger="1" minValue="0" maxValue="1"/>
    </cacheField>
    <cacheField name="LAF002" numFmtId="180">
      <sharedItems containsSemiMixedTypes="0" containsString="0" containsNumber="1" containsInteger="1" minValue="0" maxValue="0"/>
    </cacheField>
    <cacheField name="LAF003" numFmtId="180">
      <sharedItems containsSemiMixedTypes="0" containsString="0" containsNumber="1" containsInteger="1" minValue="0" maxValue="0"/>
    </cacheField>
    <cacheField name="LAG001" numFmtId="180">
      <sharedItems containsSemiMixedTypes="0" containsString="0" containsNumber="1" containsInteger="1" minValue="0" maxValue="1"/>
    </cacheField>
    <cacheField name="LAG002" numFmtId="180">
      <sharedItems containsSemiMixedTypes="0" containsString="0" containsNumber="1" containsInteger="1" minValue="0" maxValue="0"/>
    </cacheField>
    <cacheField name="LAE101" numFmtId="180">
      <sharedItems containsSemiMixedTypes="0" containsString="0" containsNumber="1" containsInteger="1" minValue="0" maxValue="1"/>
    </cacheField>
    <cacheField name="LAE102" numFmtId="180">
      <sharedItems containsSemiMixedTypes="0" containsString="0" containsNumber="1" containsInteger="1" minValue="0" maxValue="1"/>
    </cacheField>
    <cacheField name="LAE201" numFmtId="180">
      <sharedItems containsSemiMixedTypes="0" containsString="0" containsNumber="1" containsInteger="1" minValue="0" maxValue="1"/>
    </cacheField>
    <cacheField name="LBL001" numFmtId="180">
      <sharedItems containsSemiMixedTypes="0" containsString="0" containsNumber="1" containsInteger="1" minValue="0" maxValue="1"/>
    </cacheField>
    <cacheField name="LBL002" numFmtId="180">
      <sharedItems containsSemiMixedTypes="0" containsString="0" containsNumber="1" containsInteger="1" minValue="0" maxValue="1"/>
    </cacheField>
    <cacheField name="LAL001" numFmtId="180">
      <sharedItems containsSemiMixedTypes="0" containsString="0" containsNumber="1" containsInteger="1" minValue="0" maxValue="1"/>
    </cacheField>
    <cacheField name="LAN001" numFmtId="180">
      <sharedItems containsSemiMixedTypes="0" containsString="0" containsNumber="1" containsInteger="1" minValue="0" maxValue="1"/>
    </cacheField>
    <cacheField name="LAN002" numFmtId="180">
      <sharedItems containsSemiMixedTypes="0" containsString="0" containsNumber="1" containsInteger="1" minValue="0" maxValue="0"/>
    </cacheField>
    <cacheField name="LCN001" numFmtId="180">
      <sharedItems containsSemiMixedTypes="0" containsString="0" containsNumber="1" containsInteger="1" minValue="0" maxValue="1"/>
    </cacheField>
    <cacheField name="LAC001" numFmtId="180">
      <sharedItems containsSemiMixedTypes="0" containsString="0" containsNumber="1" containsInteger="1" minValue="0" maxValue="1"/>
    </cacheField>
    <cacheField name="LAC002" numFmtId="180">
      <sharedItems containsSemiMixedTypes="0" containsString="0" containsNumber="1" containsInteger="1" minValue="0" maxValue="0"/>
    </cacheField>
    <cacheField name="LCC001" numFmtId="180">
      <sharedItems containsSemiMixedTypes="0" containsString="0" containsNumber="1" containsInteger="1" minValue="0" maxValue="0"/>
    </cacheField>
    <cacheField name="LCC002" numFmtId="180">
      <sharedItems containsSemiMixedTypes="0" containsString="0" containsNumber="1" containsInteger="1" minValue="0" maxValue="1"/>
    </cacheField>
    <cacheField name="LAD001" numFmtId="180">
      <sharedItems containsSemiMixedTypes="0" containsString="0" containsNumber="1" containsInteger="1" minValue="0" maxValue="1"/>
    </cacheField>
    <cacheField name="LAD002" numFmtId="180">
      <sharedItems containsSemiMixedTypes="0" containsString="0" containsNumber="1" containsInteger="1" minValue="0" maxValue="0"/>
    </cacheField>
    <cacheField name="LCD001" numFmtId="180">
      <sharedItems containsSemiMixedTypes="0" containsString="0" containsNumber="1" containsInteger="1" minValue="0" maxValue="0"/>
    </cacheField>
    <cacheField name="LCD002" numFmtId="180">
      <sharedItems containsSemiMixedTypes="0" containsString="0" containsNumber="1" containsInteger="1" minValue="0" maxValue="1"/>
    </cacheField>
    <cacheField name="LAH001" numFmtId="180">
      <sharedItems containsSemiMixedTypes="0" containsString="0" containsNumber="1" containsInteger="1" minValue="0" maxValue="1"/>
    </cacheField>
    <cacheField name="LAA001" numFmtId="180">
      <sharedItems containsSemiMixedTypes="0" containsString="0" containsNumber="1" containsInteger="1" minValue="0" maxValue="1"/>
    </cacheField>
    <cacheField name="LAF0012" numFmtId="180">
      <sharedItems containsSemiMixedTypes="0" containsString="0" containsNumber="1" containsInteger="1" minValue="0" maxValue="1"/>
    </cacheField>
    <cacheField name="LAG0012" numFmtId="180">
      <sharedItems containsSemiMixedTypes="0" containsString="0" containsNumber="1" containsInteger="1" minValue="0" maxValue="1"/>
    </cacheField>
    <cacheField name="LAE001" numFmtId="180">
      <sharedItems containsSemiMixedTypes="0" containsString="0" containsNumber="1" containsInteger="1" minValue="0" maxValue="1"/>
    </cacheField>
    <cacheField name="LAL0012" numFmtId="180">
      <sharedItems containsSemiMixedTypes="0" containsString="0" containsNumber="1" containsInteger="1" minValue="0" maxValue="1"/>
    </cacheField>
    <cacheField name="LAN0012" numFmtId="180">
      <sharedItems containsSemiMixedTypes="0" containsString="0" containsNumber="1" containsInteger="1" minValue="0" maxValue="1"/>
    </cacheField>
    <cacheField name="LAC0012" numFmtId="180">
      <sharedItems containsSemiMixedTypes="0" containsString="0" containsNumber="1" containsInteger="1" minValue="0" maxValue="1"/>
    </cacheField>
    <cacheField name="LAD0012" numFmtId="180">
      <sharedItems containsSemiMixedTypes="0" containsString="0" containsNumber="1" containsInteger="1" minValue="0" maxValue="1"/>
    </cacheField>
    <cacheField name="LAH0012" numFmtId="180">
      <sharedItems containsSemiMixedTypes="0" containsString="0" containsNumber="1" containsInteger="1" minValue="0" maxValue="1"/>
    </cacheField>
    <cacheField name="LAA101Q" numFmtId="180">
      <sharedItems containsSemiMixedTypes="0" containsString="0" containsNumber="1" containsInteger="1" minValue="0" maxValue="39"/>
    </cacheField>
    <cacheField name="LAF001Q" numFmtId="180">
      <sharedItems containsSemiMixedTypes="0" containsString="0" containsNumber="1" containsInteger="1" minValue="0" maxValue="39"/>
    </cacheField>
    <cacheField name="LAF002Q" numFmtId="180">
      <sharedItems containsSemiMixedTypes="0" containsString="0" containsNumber="1" containsInteger="1" minValue="0" maxValue="0"/>
    </cacheField>
    <cacheField name="LAF003Q" numFmtId="180">
      <sharedItems containsSemiMixedTypes="0" containsString="0" containsNumber="1" containsInteger="1" minValue="0" maxValue="0"/>
    </cacheField>
    <cacheField name="LAG001Q" numFmtId="180">
      <sharedItems containsSemiMixedTypes="0" containsString="0" containsNumber="1" containsInteger="1" minValue="0" maxValue="39"/>
    </cacheField>
    <cacheField name="LAG002Q" numFmtId="180">
      <sharedItems containsSemiMixedTypes="0" containsString="0" containsNumber="1" containsInteger="1" minValue="0" maxValue="0"/>
    </cacheField>
    <cacheField name="LAE101Q" numFmtId="180">
      <sharedItems containsSemiMixedTypes="0" containsString="0" containsNumber="1" containsInteger="1" minValue="0" maxValue="39"/>
    </cacheField>
    <cacheField name="LAE102Q" numFmtId="180">
      <sharedItems containsSemiMixedTypes="0" containsString="0" containsNumber="1" containsInteger="1" minValue="0" maxValue="7"/>
    </cacheField>
    <cacheField name="LAE201Q" numFmtId="180">
      <sharedItems containsSemiMixedTypes="0" containsString="0" containsNumber="1" containsInteger="1" minValue="0" maxValue="3"/>
    </cacheField>
    <cacheField name="LBL001Q" numFmtId="180">
      <sharedItems containsSemiMixedTypes="0" containsString="0" containsNumber="1" containsInteger="1" minValue="0" maxValue="5"/>
    </cacheField>
    <cacheField name="LBL002Q" numFmtId="180">
      <sharedItems containsSemiMixedTypes="0" containsString="0" containsNumber="1" containsInteger="1" minValue="0" maxValue="25"/>
    </cacheField>
    <cacheField name="LAL001Q" numFmtId="180">
      <sharedItems containsSemiMixedTypes="0" containsString="0" containsNumber="1" containsInteger="1" minValue="0" maxValue="39"/>
    </cacheField>
    <cacheField name="LAN001Q" numFmtId="180">
      <sharedItems containsSemiMixedTypes="0" containsString="0" containsNumber="1" containsInteger="1" minValue="0" maxValue="39"/>
    </cacheField>
    <cacheField name="LAN002Q" numFmtId="180">
      <sharedItems containsSemiMixedTypes="0" containsString="0" containsNumber="1" containsInteger="1" minValue="0" maxValue="0"/>
    </cacheField>
    <cacheField name="LCN001Q" numFmtId="180">
      <sharedItems containsSemiMixedTypes="0" containsString="0" containsNumber="1" containsInteger="1" minValue="0" maxValue="14"/>
    </cacheField>
    <cacheField name="LAC001Q" numFmtId="180">
      <sharedItems containsSemiMixedTypes="0" containsString="0" containsNumber="1" containsInteger="1" minValue="0" maxValue="39"/>
    </cacheField>
    <cacheField name="LAC002Q" numFmtId="180">
      <sharedItems containsSemiMixedTypes="0" containsString="0" containsNumber="1" containsInteger="1" minValue="0" maxValue="0"/>
    </cacheField>
    <cacheField name="LCC001Q" numFmtId="180">
      <sharedItems containsSemiMixedTypes="0" containsString="0" containsNumber="1" containsInteger="1" minValue="0" maxValue="0"/>
    </cacheField>
    <cacheField name="LCC002Q" numFmtId="180">
      <sharedItems containsSemiMixedTypes="0" containsString="0" containsNumber="1" containsInteger="1" minValue="0" maxValue="14"/>
    </cacheField>
    <cacheField name="LAD001Q" numFmtId="180">
      <sharedItems containsSemiMixedTypes="0" containsString="0" containsNumber="1" containsInteger="1" minValue="0" maxValue="39"/>
    </cacheField>
    <cacheField name="LAD002Q" numFmtId="180">
      <sharedItems containsSemiMixedTypes="0" containsString="0" containsNumber="1" containsInteger="1" minValue="0" maxValue="0"/>
    </cacheField>
    <cacheField name="LCD001Q" numFmtId="180">
      <sharedItems containsSemiMixedTypes="0" containsString="0" containsNumber="1" containsInteger="1" minValue="0" maxValue="0"/>
    </cacheField>
    <cacheField name="LCD002Q" numFmtId="180">
      <sharedItems containsSemiMixedTypes="0" containsString="0" containsNumber="1" containsInteger="1" minValue="0" maxValue="14"/>
    </cacheField>
    <cacheField name="LAH001Q" numFmtId="180">
      <sharedItems containsSemiMixedTypes="0" containsString="0" containsNumber="1" containsInteger="1" minValue="0" maxValue="39"/>
    </cacheField>
    <cacheField name="新LAA001Q" numFmtId="180">
      <sharedItems containsSemiMixedTypes="0" containsString="0" containsNumber="1" containsInteger="1" minValue="0" maxValue="90"/>
    </cacheField>
    <cacheField name="新LAＦ001Q" numFmtId="180">
      <sharedItems containsSemiMixedTypes="0" containsString="0" containsNumber="1" containsInteger="1" minValue="0" maxValue="90"/>
    </cacheField>
    <cacheField name="新LAＧ001Q" numFmtId="180">
      <sharedItems containsSemiMixedTypes="0" containsString="0" containsNumber="1" containsInteger="1" minValue="0" maxValue="90"/>
    </cacheField>
    <cacheField name="新LAＥ001Q" numFmtId="180">
      <sharedItems containsSemiMixedTypes="0" containsString="0" containsNumber="1" containsInteger="1" minValue="0" maxValue="90"/>
    </cacheField>
    <cacheField name="新LAL001Q" numFmtId="180">
      <sharedItems containsSemiMixedTypes="0" containsString="0" containsNumber="1" containsInteger="1" minValue="0" maxValue="90"/>
    </cacheField>
    <cacheField name="新LAN001Q" numFmtId="180">
      <sharedItems containsSemiMixedTypes="0" containsString="0" containsNumber="1" containsInteger="1" minValue="0" maxValue="90"/>
    </cacheField>
    <cacheField name="新LAC001Q" numFmtId="180">
      <sharedItems containsSemiMixedTypes="0" containsString="0" containsNumber="1" containsInteger="1" minValue="0" maxValue="90"/>
    </cacheField>
    <cacheField name="新LAD001Q" numFmtId="180">
      <sharedItems containsSemiMixedTypes="0" containsString="0" containsNumber="1" containsInteger="1" minValue="0" maxValue="90"/>
    </cacheField>
    <cacheField name="新LAH001Q" numFmtId="180">
      <sharedItems containsSemiMixedTypes="0" containsString="0" containsNumber="1" containsInteger="1" minValue="0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6">
  <r>
    <n v="31"/>
    <s v="000377924"/>
    <s v="南海"/>
    <s v="新今宮"/>
    <s v="４F"/>
    <s v="南海V8EXV"/>
    <s v="3S2EU-FBP-1001"/>
    <s v="2800681-5"/>
    <s v="機器"/>
    <n v="1"/>
    <s v="回転台"/>
    <n v="1"/>
    <d v="2025-12-04T00:00:00"/>
    <d v="2025-12-16T00:00:00"/>
    <d v="2025-12-15T00:00:00"/>
    <d v="2025-12-18T00:00:00"/>
    <m/>
    <s v="VV-26749"/>
    <s v="VU-LB106"/>
    <m/>
    <s v="V8"/>
    <x v="0"/>
    <n v="21326"/>
    <m/>
    <s v="LAZ101"/>
    <s v="LAY001"/>
    <m/>
    <m/>
    <m/>
    <n v="8201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5"/>
    <s v="000391729"/>
    <s v="N社（Ｎ）"/>
    <m/>
    <s v="VU-LA007"/>
    <s v="V8-4BH"/>
    <s v="VU-LA007"/>
    <s v="3251849-9"/>
    <s v="単体"/>
    <n v="1"/>
    <m/>
    <n v="1"/>
    <d v="2025-12-08T00:00:00"/>
    <d v="2025-12-18T00:00:00"/>
    <d v="2025-12-17T00:00:00"/>
    <d v="2025-12-17T00:00:00"/>
    <m/>
    <s v="MC-51692"/>
    <s v="VU-LA007"/>
    <m/>
    <s v="V8"/>
    <x v="0"/>
    <n v="21328"/>
    <m/>
    <s v="LAZ002"/>
    <s v="LAY002"/>
    <n v="3217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3"/>
    <s v="000378623"/>
    <s v="小田急"/>
    <s v="本鵠沼"/>
    <s v="西口"/>
    <s v="小田急V8EXV"/>
    <s v="3S2EU-FFP-1001"/>
    <s v="2841859-5"/>
    <s v="機器"/>
    <n v="1"/>
    <s v="ｽﾀﾝﾄﾞ"/>
    <n v="1"/>
    <d v="2025-12-09T00:00:00"/>
    <d v="2025-12-19T00:00:00"/>
    <d v="2025-12-18T00:00:00"/>
    <d v="2025-12-23T00:00:00"/>
    <m/>
    <s v="VV-26755"/>
    <s v="VU-LA012"/>
    <m/>
    <s v="V8"/>
    <x v="0"/>
    <n v="21330"/>
    <m/>
    <s v="LAZ101"/>
    <s v="LAY001"/>
    <m/>
    <m/>
    <m/>
    <n v="8202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2"/>
    <s v="000377925"/>
    <s v="南海"/>
    <s v="天下茶屋"/>
    <m/>
    <s v="南海V8EXV"/>
    <s v="3S2EU-FBP-1001"/>
    <s v="2800681-5"/>
    <s v="機器"/>
    <n v="1"/>
    <s v="回転台"/>
    <n v="1"/>
    <d v="2025-12-11T00:00:00"/>
    <d v="2025-12-23T00:00:00"/>
    <d v="2025-12-22T00:00:00"/>
    <d v="2025-12-25T00:00:00"/>
    <m/>
    <s v="VV-26760"/>
    <s v="VU-LB106"/>
    <m/>
    <s v="V8"/>
    <x v="0"/>
    <n v="21331"/>
    <m/>
    <s v="LAZ101"/>
    <s v="LAY001"/>
    <m/>
    <m/>
    <m/>
    <n v="8203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6"/>
    <s v="000381123"/>
    <s v="南海"/>
    <s v="萩ノ茶屋"/>
    <m/>
    <s v="南海V8"/>
    <s v="3S2VU-FBP-0003"/>
    <s v="3690047-9"/>
    <s v="機器"/>
    <n v="1"/>
    <m/>
    <n v="1"/>
    <d v="2025-12-12T00:00:00"/>
    <d v="2025-12-24T00:00:00"/>
    <d v="2025-12-23T00:00:00"/>
    <d v="2025-12-26T00:00:00"/>
    <m/>
    <s v="VV-26763"/>
    <s v="VU-LB106"/>
    <m/>
    <s v="V8"/>
    <x v="0"/>
    <n v="21332"/>
    <m/>
    <s v="LAZ101"/>
    <s v="LAY001"/>
    <m/>
    <m/>
    <m/>
    <n v="8204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7"/>
    <s v="000381124"/>
    <s v="南海"/>
    <s v="粉浜"/>
    <m/>
    <s v="南海V8"/>
    <s v="3S2VU-FBP-0003"/>
    <s v="3690047-9"/>
    <s v="機器"/>
    <n v="1"/>
    <m/>
    <n v="1"/>
    <d v="2025-12-12T00:00:00"/>
    <d v="2025-12-24T00:00:00"/>
    <d v="2025-12-23T00:00:00"/>
    <d v="2025-12-26T00:00:00"/>
    <m/>
    <s v="VV-26764"/>
    <s v="VU-LB106"/>
    <m/>
    <s v="V8"/>
    <x v="0"/>
    <n v="21333"/>
    <m/>
    <s v="LAZ101"/>
    <s v="LAY001"/>
    <m/>
    <m/>
    <m/>
    <n v="8205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75"/>
    <s v="000385490"/>
    <s v="設計設備"/>
    <s v="下諏訪(本屋)駅設定"/>
    <m/>
    <s v="JR東EX20総（V）"/>
    <s v="3S2EU-RBP-0001"/>
    <s v="5647075-6"/>
    <s v="機器"/>
    <n v="0"/>
    <m/>
    <n v="1"/>
    <d v="2025-12-17T00:00:00"/>
    <d v="2026-01-05T00:00:00"/>
    <d v="2025-12-26T00:00:00"/>
    <d v="2026-01-07T00:00:00"/>
    <m/>
    <s v="VV-26775"/>
    <s v="VU-LD091"/>
    <m/>
    <s v="V8"/>
    <x v="1"/>
    <n v="21334"/>
    <m/>
    <s v="LAZ201"/>
    <s v="LAY001"/>
    <m/>
    <m/>
    <m/>
    <m/>
    <m/>
    <m/>
    <n v="3524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80"/>
    <s v="000393963"/>
    <s v="設計設備"/>
    <s v="下諏訪(本屋)駅設定"/>
    <m/>
    <s v="JR東EX20総（V）"/>
    <s v="3S2EU-RBP-0001"/>
    <s v="5647075-6"/>
    <s v="機器"/>
    <n v="0"/>
    <m/>
    <n v="1"/>
    <d v="2025-12-18T00:00:00"/>
    <d v="2026-01-06T00:00:00"/>
    <d v="2026-01-05T00:00:00"/>
    <d v="2026-01-08T00:00:00"/>
    <m/>
    <s v="VV-26777"/>
    <s v="VU-LD091"/>
    <m/>
    <s v="V8"/>
    <x v="1"/>
    <n v="21335"/>
    <m/>
    <s v="LAZ201"/>
    <s v="LAY001"/>
    <m/>
    <m/>
    <m/>
    <m/>
    <m/>
    <m/>
    <n v="3525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88"/>
    <s v="000393965"/>
    <s v="JREM"/>
    <s v="天王洲アイル"/>
    <s v="南"/>
    <s v="東モノEX20総（V）"/>
    <s v="3S2EU-KRP-0001"/>
    <s v="5821604-0"/>
    <s v="機器"/>
    <n v="1"/>
    <s v="めこみ"/>
    <n v="1"/>
    <d v="2025-12-22T00:00:00"/>
    <d v="2026-01-08T00:00:00"/>
    <d v="2026-01-07T00:00:00"/>
    <d v="2026-01-13T00:00:00"/>
    <m/>
    <s v="VV-26782"/>
    <s v="VU-LD091"/>
    <m/>
    <s v="V8"/>
    <x v="1"/>
    <n v="21336"/>
    <m/>
    <s v="LAZ201"/>
    <s v="LAY001"/>
    <m/>
    <m/>
    <m/>
    <m/>
    <m/>
    <m/>
    <n v="3526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89"/>
    <s v="000393967"/>
    <s v="JREM"/>
    <s v="天空橋"/>
    <s v="HiCity"/>
    <s v="東モノEX20総（V）"/>
    <s v="3S2EU-KRP-0001"/>
    <s v="5821604-0"/>
    <s v="機器"/>
    <n v="1"/>
    <s v="めこみ"/>
    <n v="1"/>
    <d v="2025-12-22T00:00:00"/>
    <d v="2026-01-08T00:00:00"/>
    <d v="2026-01-07T00:00:00"/>
    <d v="2026-01-13T00:00:00"/>
    <m/>
    <s v="VV-26783"/>
    <s v="VU-LD091"/>
    <m/>
    <s v="V8"/>
    <x v="1"/>
    <n v="21337"/>
    <m/>
    <s v="LAZ201"/>
    <s v="LAY001"/>
    <m/>
    <m/>
    <m/>
    <m/>
    <m/>
    <m/>
    <n v="3527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94"/>
    <s v="000371187"/>
    <s v="JREM"/>
    <s v="天王洲アイル"/>
    <s v="中央"/>
    <s v="東モノEX20総（V）"/>
    <s v="3S2EU-KRP-1001"/>
    <s v="5833401-9"/>
    <s v="機器"/>
    <n v="1"/>
    <s v="回転台"/>
    <n v="1"/>
    <d v="2025-12-23T00:00:00"/>
    <d v="2026-01-09T00:00:00"/>
    <d v="2026-01-08T00:00:00"/>
    <d v="2026-01-14T00:00:00"/>
    <m/>
    <s v="VV-26786"/>
    <s v="VU-LD091"/>
    <m/>
    <s v="V8"/>
    <x v="1"/>
    <n v="21338"/>
    <m/>
    <s v="LAZ201"/>
    <s v="LAY001"/>
    <m/>
    <m/>
    <m/>
    <m/>
    <m/>
    <m/>
    <n v="3528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95"/>
    <s v="000393964"/>
    <s v="JREM"/>
    <s v="天空橋"/>
    <s v="本屋"/>
    <s v="東モノEX20総（V）"/>
    <s v="3S2EU-KRP-1001"/>
    <s v="5833401-9"/>
    <s v="機器"/>
    <n v="1"/>
    <s v="回転台"/>
    <n v="1"/>
    <d v="2025-12-23T00:00:00"/>
    <d v="2026-01-09T00:00:00"/>
    <d v="2026-01-08T00:00:00"/>
    <d v="2026-01-14T00:00:00"/>
    <m/>
    <s v="VV-26787"/>
    <s v="VU-LD091"/>
    <m/>
    <s v="V8"/>
    <x v="1"/>
    <n v="21339"/>
    <m/>
    <s v="LAZ201"/>
    <s v="LAY001"/>
    <m/>
    <m/>
    <m/>
    <m/>
    <m/>
    <m/>
    <n v="3529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100"/>
    <s v="000375150"/>
    <s v="JREM"/>
    <s v="JREM機械設備技術センター"/>
    <m/>
    <s v="JR東EX20総（V）"/>
    <s v="3S2EU-RBP-0001"/>
    <s v="5647075-6"/>
    <s v="機器"/>
    <n v="1"/>
    <m/>
    <n v="1"/>
    <d v="2025-12-24T00:00:00"/>
    <d v="2026-01-13T00:00:00"/>
    <d v="2026-01-09T00:00:00"/>
    <d v="2026-01-15T00:00:00"/>
    <m/>
    <s v="VV-26790"/>
    <s v="VU-LD091"/>
    <m/>
    <s v="V8"/>
    <x v="1"/>
    <n v="21340"/>
    <m/>
    <s v="LAZ201"/>
    <s v="LAY001"/>
    <m/>
    <m/>
    <m/>
    <m/>
    <m/>
    <m/>
    <n v="3530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101"/>
    <s v="000393966"/>
    <s v="JREM"/>
    <s v="新整備場"/>
    <m/>
    <s v="東モノEX20総（V）"/>
    <s v="3S2EU-KRP-1001"/>
    <s v="5833401-9"/>
    <s v="機器"/>
    <n v="1"/>
    <s v="回転台"/>
    <n v="1"/>
    <d v="2025-12-24T00:00:00"/>
    <d v="2026-01-13T00:00:00"/>
    <d v="2026-01-09T00:00:00"/>
    <d v="2026-01-15T00:00:00"/>
    <m/>
    <s v="VV-26791"/>
    <s v="VU-LD091"/>
    <m/>
    <s v="V8"/>
    <x v="1"/>
    <n v="21341"/>
    <m/>
    <s v="LAZ201"/>
    <s v="LAY001"/>
    <m/>
    <m/>
    <m/>
    <m/>
    <m/>
    <m/>
    <n v="3531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111"/>
    <s v="000381125"/>
    <s v="南海"/>
    <s v="七道"/>
    <m/>
    <s v="南海V8"/>
    <s v="3S2VU-FBP-0003"/>
    <s v="3690047-9"/>
    <s v="機器"/>
    <n v="1"/>
    <m/>
    <n v="1"/>
    <d v="2025-12-25T00:00:00"/>
    <d v="2026-01-14T00:00:00"/>
    <d v="2026-01-13T00:00:00"/>
    <d v="2026-01-16T00:00:00"/>
    <m/>
    <s v="VV-26794"/>
    <s v="VU-LB106"/>
    <m/>
    <s v="V8"/>
    <x v="1"/>
    <n v="21342"/>
    <m/>
    <s v="LAZ101"/>
    <s v="LAY001"/>
    <m/>
    <m/>
    <m/>
    <n v="8206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98"/>
    <s v="000394016"/>
    <s v="M社（Ｎ）"/>
    <m/>
    <s v="VU-LA004"/>
    <s v="V8-4BH"/>
    <s v="VU-LA004"/>
    <s v="1892581-2"/>
    <s v="単体"/>
    <n v="1"/>
    <m/>
    <n v="1"/>
    <d v="2025-12-26T00:00:00"/>
    <d v="2026-01-15T00:00:00"/>
    <d v="2026-01-14T00:00:00"/>
    <d v="2026-01-14T00:00:00"/>
    <m/>
    <s v="MC-51868"/>
    <s v="VU-LA004"/>
    <m/>
    <s v="V8"/>
    <x v="1"/>
    <n v="21343"/>
    <m/>
    <s v="LAZ101"/>
    <s v="LAY001"/>
    <m/>
    <m/>
    <m/>
    <n v="8207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97"/>
    <s v="000371238"/>
    <s v="M社（Ｎ）"/>
    <m/>
    <s v="VU-LA004"/>
    <s v="V8-4BH"/>
    <s v="VU-LA004"/>
    <s v="1892581-2"/>
    <s v="単体"/>
    <n v="1"/>
    <m/>
    <n v="1"/>
    <d v="2025-12-26T00:00:00"/>
    <d v="2026-01-15T00:00:00"/>
    <d v="2026-01-14T00:00:00"/>
    <d v="2026-01-14T00:00:00"/>
    <m/>
    <s v="MC-51869"/>
    <s v="VU-LA004"/>
    <m/>
    <s v="V8"/>
    <x v="1"/>
    <n v="21344"/>
    <m/>
    <s v="LAZ101"/>
    <s v="LAY001"/>
    <m/>
    <m/>
    <m/>
    <n v="8208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99"/>
    <s v="000384916"/>
    <s v="N社（Ｎ）"/>
    <m/>
    <s v="VU-LA007"/>
    <s v="V8-4BH"/>
    <s v="VU-LA007"/>
    <s v="3251849-9"/>
    <s v="単体"/>
    <n v="1"/>
    <m/>
    <n v="1"/>
    <d v="2025-12-26T00:00:00"/>
    <d v="2026-01-15T00:00:00"/>
    <d v="2026-01-14T00:00:00"/>
    <d v="2026-01-14T00:00:00"/>
    <m/>
    <s v="MC-51870"/>
    <s v="VU-LA007"/>
    <m/>
    <s v="V8"/>
    <x v="1"/>
    <n v="21345"/>
    <m/>
    <s v="LAZ002"/>
    <s v="LAY002"/>
    <n v="3219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17"/>
    <s v="000381128"/>
    <s v="南海"/>
    <s v="湊"/>
    <m/>
    <s v="南海V8"/>
    <s v="3S2VU-FBP-0003"/>
    <s v="3690047-9"/>
    <s v="機器"/>
    <n v="1"/>
    <m/>
    <n v="1"/>
    <d v="2025-12-26T00:00:00"/>
    <d v="2026-01-15T00:00:00"/>
    <d v="2026-01-14T00:00:00"/>
    <d v="2026-01-19T00:00:00"/>
    <m/>
    <s v="VV-26797"/>
    <s v="VU-LB106"/>
    <m/>
    <s v="V8"/>
    <x v="1"/>
    <n v="21346"/>
    <m/>
    <s v="LAZ101"/>
    <s v="LAY001"/>
    <m/>
    <m/>
    <m/>
    <n v="8209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02"/>
    <s v="000394022"/>
    <s v="M社（Ｎ）"/>
    <m/>
    <s v="VU-LA004"/>
    <s v="V8-4BH"/>
    <s v="VU-LA004"/>
    <s v="1892581-2"/>
    <s v="単体"/>
    <n v="1"/>
    <m/>
    <n v="1"/>
    <d v="2026-01-05T00:00:00"/>
    <d v="2026-01-16T00:00:00"/>
    <d v="2026-01-15T00:00:00"/>
    <d v="2026-01-15T00:00:00"/>
    <m/>
    <s v="MC-51875"/>
    <s v="VU-LA004"/>
    <m/>
    <s v="V8"/>
    <x v="1"/>
    <n v="21347"/>
    <m/>
    <s v="LAZ101"/>
    <s v="LAY001"/>
    <m/>
    <m/>
    <m/>
    <n v="8210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05"/>
    <s v="000394020"/>
    <s v="M社（Ｎ）"/>
    <m/>
    <s v="VU-LA004"/>
    <s v="V8-4BH"/>
    <s v="VU-LA004"/>
    <s v="1892581-2"/>
    <s v="単体"/>
    <n v="1"/>
    <m/>
    <n v="1"/>
    <d v="2026-01-05T00:00:00"/>
    <d v="2026-01-16T00:00:00"/>
    <d v="2026-01-15T00:00:00"/>
    <d v="2026-01-15T00:00:00"/>
    <m/>
    <s v="MC-51876"/>
    <s v="VU-LA004"/>
    <m/>
    <s v="V8"/>
    <x v="1"/>
    <n v="21348"/>
    <m/>
    <s v="LAZ101"/>
    <s v="LAY001"/>
    <m/>
    <m/>
    <m/>
    <n v="8211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04"/>
    <s v="000394024"/>
    <s v="M社（Ｎ）"/>
    <m/>
    <s v="VU-LA004"/>
    <s v="V8-4BH"/>
    <s v="VU-LA004"/>
    <s v="1892581-2"/>
    <s v="単体"/>
    <n v="1"/>
    <m/>
    <n v="1"/>
    <d v="2026-01-05T00:00:00"/>
    <d v="2026-01-16T00:00:00"/>
    <d v="2026-01-15T00:00:00"/>
    <d v="2026-01-15T00:00:00"/>
    <m/>
    <s v="MC-51877"/>
    <s v="VU-LA004"/>
    <m/>
    <s v="V8"/>
    <x v="1"/>
    <n v="21349"/>
    <m/>
    <s v="LAZ101"/>
    <s v="LAY001"/>
    <m/>
    <m/>
    <m/>
    <n v="8212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03"/>
    <s v="000394018"/>
    <s v="M社（Ｎ）"/>
    <m/>
    <s v="VU-LA004"/>
    <s v="V8-4BH"/>
    <s v="VU-LA004"/>
    <s v="1892581-2"/>
    <s v="単体"/>
    <n v="1"/>
    <m/>
    <n v="1"/>
    <d v="2026-01-05T00:00:00"/>
    <d v="2026-01-16T00:00:00"/>
    <d v="2026-01-15T00:00:00"/>
    <d v="2026-01-15T00:00:00"/>
    <m/>
    <s v="MC-51878"/>
    <s v="VU-LA004"/>
    <m/>
    <s v="V8"/>
    <x v="1"/>
    <n v="21350"/>
    <m/>
    <s v="LAZ101"/>
    <s v="LAY001"/>
    <m/>
    <m/>
    <m/>
    <n v="8213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19"/>
    <s v="000380740"/>
    <s v="JR西"/>
    <s v="摩耶"/>
    <m/>
    <s v="JR西FA70(EXV)"/>
    <s v="3S2EU-RDP-0001"/>
    <s v="2874359-3"/>
    <s v="機器"/>
    <n v="1"/>
    <m/>
    <n v="1"/>
    <d v="2026-01-05T00:00:00"/>
    <d v="2026-01-16T00:00:00"/>
    <d v="2026-01-15T00:00:00"/>
    <d v="2026-01-20T00:00:00"/>
    <m/>
    <s v="VV-26801"/>
    <s v="VU-LB112"/>
    <m/>
    <s v="V8"/>
    <x v="1"/>
    <n v="21351"/>
    <m/>
    <s v="LAZ102"/>
    <s v="LAY001"/>
    <m/>
    <m/>
    <m/>
    <m/>
    <n v="1253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09"/>
    <s v="000394015"/>
    <s v="M社（Ｎ）"/>
    <m/>
    <s v="VU-LA004"/>
    <s v="V8-4BH"/>
    <s v="VU-LA004"/>
    <s v="1892581-2"/>
    <s v="単体"/>
    <n v="1"/>
    <m/>
    <n v="1"/>
    <d v="2026-01-06T00:00:00"/>
    <d v="2026-01-19T00:00:00"/>
    <d v="2026-01-16T00:00:00"/>
    <d v="2026-01-16T00:00:00"/>
    <m/>
    <s v="MC-51883"/>
    <s v="VU-LA004"/>
    <m/>
    <s v="V8"/>
    <x v="1"/>
    <n v="21352"/>
    <m/>
    <s v="LAZ101"/>
    <s v="LAY001"/>
    <m/>
    <m/>
    <m/>
    <n v="8214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07"/>
    <s v="000394025"/>
    <s v="M社（Ｎ）"/>
    <m/>
    <s v="VU-LA004"/>
    <s v="V8-4BH"/>
    <s v="VU-LA004"/>
    <s v="1892581-2"/>
    <s v="単体"/>
    <n v="1"/>
    <m/>
    <n v="1"/>
    <d v="2026-01-06T00:00:00"/>
    <d v="2026-01-19T00:00:00"/>
    <d v="2026-01-16T00:00:00"/>
    <d v="2026-01-16T00:00:00"/>
    <m/>
    <s v="MC-51884"/>
    <s v="VU-LA004"/>
    <m/>
    <s v="V8"/>
    <x v="1"/>
    <n v="21353"/>
    <m/>
    <s v="LAZ101"/>
    <s v="LAY001"/>
    <m/>
    <m/>
    <m/>
    <n v="8215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08"/>
    <s v="000394013"/>
    <s v="M社（Ｎ）"/>
    <m/>
    <s v="VU-LA004"/>
    <s v="V8-4BH"/>
    <s v="VU-LA004"/>
    <s v="1892581-2"/>
    <s v="単体"/>
    <n v="1"/>
    <m/>
    <n v="1"/>
    <d v="2026-01-06T00:00:00"/>
    <d v="2026-01-19T00:00:00"/>
    <d v="2026-01-16T00:00:00"/>
    <d v="2026-01-16T00:00:00"/>
    <m/>
    <s v="MC-51885"/>
    <s v="VU-LA004"/>
    <m/>
    <s v="V8"/>
    <x v="1"/>
    <n v="21354"/>
    <m/>
    <s v="LAZ101"/>
    <s v="LAY001"/>
    <m/>
    <m/>
    <m/>
    <n v="8216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06"/>
    <s v="000394026"/>
    <s v="M社（Ｎ）"/>
    <m/>
    <s v="VU-LA004"/>
    <s v="V8-4BH"/>
    <s v="VU-LA004"/>
    <s v="1892581-2"/>
    <s v="単体"/>
    <n v="1"/>
    <m/>
    <n v="1"/>
    <d v="2026-01-06T00:00:00"/>
    <d v="2026-01-19T00:00:00"/>
    <d v="2026-01-16T00:00:00"/>
    <d v="2026-01-16T00:00:00"/>
    <m/>
    <s v="MC-51886"/>
    <s v="VU-LA004"/>
    <m/>
    <s v="V8"/>
    <x v="1"/>
    <n v="21355"/>
    <m/>
    <s v="LAZ101"/>
    <s v="LAY001"/>
    <m/>
    <m/>
    <m/>
    <n v="8217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27"/>
    <s v="000385410"/>
    <s v="南海"/>
    <s v="春木"/>
    <s v="東"/>
    <s v="南海V8"/>
    <s v="3S2VU-FBP-0003"/>
    <s v="3690047-9"/>
    <s v="機器"/>
    <n v="1"/>
    <s v="DVR内蔵"/>
    <n v="1"/>
    <d v="2026-01-06T00:00:00"/>
    <d v="2026-01-19T00:00:00"/>
    <d v="2026-01-16T00:00:00"/>
    <d v="2026-01-21T00:00:00"/>
    <m/>
    <s v="VV-26806"/>
    <s v="VU-LB106"/>
    <m/>
    <s v="V8"/>
    <x v="1"/>
    <n v="21356"/>
    <m/>
    <s v="LAZ101"/>
    <s v="LAY001"/>
    <m/>
    <m/>
    <m/>
    <n v="8218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15"/>
    <s v="000394023"/>
    <s v="M社（Ｎ）"/>
    <m/>
    <s v="VU-LA004"/>
    <s v="V8-4BH"/>
    <s v="VU-LA004"/>
    <s v="1892581-2"/>
    <s v="単体"/>
    <n v="1"/>
    <m/>
    <n v="1"/>
    <d v="2026-01-07T00:00:00"/>
    <d v="2026-01-20T00:00:00"/>
    <d v="2026-01-19T00:00:00"/>
    <d v="2026-01-19T00:00:00"/>
    <m/>
    <s v="MC-51891"/>
    <s v="VU-LA004"/>
    <m/>
    <s v="V8"/>
    <x v="1"/>
    <n v="21357"/>
    <m/>
    <s v="LAZ101"/>
    <s v="LAY001"/>
    <m/>
    <m/>
    <m/>
    <n v="8219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13"/>
    <s v="000394017"/>
    <s v="M社（Ｎ）"/>
    <m/>
    <s v="VU-LA004"/>
    <s v="V8-4BH"/>
    <s v="VU-LA004"/>
    <s v="1892581-2"/>
    <s v="単体"/>
    <n v="1"/>
    <m/>
    <n v="1"/>
    <d v="2026-01-07T00:00:00"/>
    <d v="2026-01-20T00:00:00"/>
    <d v="2026-01-19T00:00:00"/>
    <d v="2026-01-19T00:00:00"/>
    <m/>
    <s v="MC-51892"/>
    <s v="VU-LA004"/>
    <m/>
    <s v="V8"/>
    <x v="1"/>
    <n v="21358"/>
    <m/>
    <s v="LAZ101"/>
    <s v="LAY001"/>
    <m/>
    <m/>
    <m/>
    <n v="8220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12"/>
    <s v="000394027"/>
    <s v="M社（Ｎ）"/>
    <m/>
    <s v="VU-LA004"/>
    <s v="V8-4BH"/>
    <s v="VU-LA004"/>
    <s v="1892581-2"/>
    <s v="単体"/>
    <n v="1"/>
    <m/>
    <n v="1"/>
    <d v="2026-01-07T00:00:00"/>
    <d v="2026-01-20T00:00:00"/>
    <d v="2026-01-19T00:00:00"/>
    <d v="2026-01-19T00:00:00"/>
    <m/>
    <s v="MC-51893"/>
    <s v="VU-LA004"/>
    <m/>
    <s v="V8"/>
    <x v="1"/>
    <n v="21359"/>
    <m/>
    <s v="LAZ101"/>
    <s v="LAY001"/>
    <m/>
    <m/>
    <m/>
    <n v="8221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14"/>
    <s v="000394014"/>
    <s v="M社（Ｎ）"/>
    <m/>
    <s v="VU-LA004"/>
    <s v="V8-4BH"/>
    <s v="VU-LA004"/>
    <s v="1892581-2"/>
    <s v="単体"/>
    <n v="1"/>
    <m/>
    <n v="1"/>
    <d v="2026-01-07T00:00:00"/>
    <d v="2026-01-20T00:00:00"/>
    <d v="2026-01-19T00:00:00"/>
    <d v="2026-01-19T00:00:00"/>
    <m/>
    <s v="MC-51894"/>
    <s v="VU-LA004"/>
    <m/>
    <s v="V8"/>
    <x v="1"/>
    <n v="21360"/>
    <m/>
    <s v="LAZ101"/>
    <s v="LAY001"/>
    <m/>
    <m/>
    <m/>
    <n v="8222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31"/>
    <s v="000385411"/>
    <s v="南海"/>
    <s v="貝塚"/>
    <s v="東"/>
    <s v="南海V8"/>
    <s v="3S2VU-FBP-0003"/>
    <s v="3690047-9"/>
    <s v="機器"/>
    <n v="1"/>
    <s v="DVR内蔵"/>
    <n v="1"/>
    <d v="2026-01-07T00:00:00"/>
    <d v="2026-01-20T00:00:00"/>
    <d v="2026-01-19T00:00:00"/>
    <d v="2026-01-22T00:00:00"/>
    <m/>
    <s v="VV-26809"/>
    <s v="VU-LB106"/>
    <m/>
    <s v="V8"/>
    <x v="1"/>
    <n v="21361"/>
    <m/>
    <s v="LAZ101"/>
    <s v="LAY001"/>
    <m/>
    <m/>
    <m/>
    <n v="8223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32"/>
    <s v="000385416"/>
    <s v="南海"/>
    <s v="初芝"/>
    <m/>
    <s v="南海V8(ﾏﾙﾁ)"/>
    <s v="3S2VU-FBP-5002"/>
    <s v="3690049-5"/>
    <s v="機器"/>
    <n v="1"/>
    <s v="DVR内蔵"/>
    <n v="1"/>
    <d v="2026-01-07T00:00:00"/>
    <d v="2026-01-20T00:00:00"/>
    <d v="2026-01-19T00:00:00"/>
    <d v="2026-01-22T00:00:00"/>
    <m/>
    <s v="VV-26810"/>
    <s v="VU-LB106"/>
    <m/>
    <s v="V8"/>
    <x v="1"/>
    <n v="21362"/>
    <m/>
    <s v="LAZ101"/>
    <s v="LAY001"/>
    <m/>
    <m/>
    <m/>
    <n v="8224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20"/>
    <s v="000394019"/>
    <s v="M社（Ｎ）"/>
    <m/>
    <s v="VU-LA004"/>
    <s v="V8-4BH"/>
    <s v="VU-LA004"/>
    <s v="1892581-2"/>
    <s v="単体"/>
    <n v="1"/>
    <m/>
    <n v="1"/>
    <d v="2026-01-08T00:00:00"/>
    <d v="2026-01-21T00:00:00"/>
    <d v="2026-01-20T00:00:00"/>
    <d v="2026-01-20T00:00:00"/>
    <m/>
    <s v="MC-51900"/>
    <s v="VU-LA004"/>
    <m/>
    <s v="V8"/>
    <x v="1"/>
    <n v="21363"/>
    <m/>
    <s v="LAZ101"/>
    <s v="LAY001"/>
    <m/>
    <m/>
    <m/>
    <n v="8225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21"/>
    <s v="000394021"/>
    <s v="M社（Ｎ）"/>
    <m/>
    <s v="VU-LA004"/>
    <s v="V8-4BH"/>
    <s v="VU-LA004"/>
    <s v="1892581-2"/>
    <s v="単体"/>
    <n v="1"/>
    <m/>
    <n v="1"/>
    <d v="2026-01-08T00:00:00"/>
    <d v="2026-01-21T00:00:00"/>
    <d v="2026-01-20T00:00:00"/>
    <d v="2026-01-20T00:00:00"/>
    <m/>
    <s v="MC-51901"/>
    <s v="VU-LA004"/>
    <m/>
    <s v="V8"/>
    <x v="1"/>
    <n v="21364"/>
    <m/>
    <s v="LAZ101"/>
    <s v="LAY001"/>
    <m/>
    <m/>
    <m/>
    <n v="8226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36"/>
    <s v="000385413"/>
    <s v="南海"/>
    <s v="沢ノ町"/>
    <s v="西"/>
    <s v="南海V8"/>
    <s v="3S2VU-FBP-0003"/>
    <s v="3690047-9"/>
    <s v="機器"/>
    <n v="1"/>
    <s v="DVR内蔵"/>
    <n v="1"/>
    <d v="2026-01-08T00:00:00"/>
    <d v="2026-01-21T00:00:00"/>
    <d v="2026-01-20T00:00:00"/>
    <d v="2026-01-23T00:00:00"/>
    <m/>
    <s v="VV-26813"/>
    <s v="VU-LB106"/>
    <m/>
    <s v="V8"/>
    <x v="1"/>
    <n v="21365"/>
    <m/>
    <s v="LAZ101"/>
    <s v="LAY001"/>
    <m/>
    <m/>
    <m/>
    <n v="8227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37"/>
    <s v="000385414"/>
    <s v="南海"/>
    <s v="百舌鳥八幡"/>
    <s v="西"/>
    <s v="南海V8"/>
    <s v="3S2VU-FBP-0003"/>
    <s v="3690047-9"/>
    <s v="機器"/>
    <n v="1"/>
    <s v="DVR内蔵"/>
    <n v="1"/>
    <d v="2026-01-08T00:00:00"/>
    <d v="2026-01-21T00:00:00"/>
    <d v="2026-01-20T00:00:00"/>
    <d v="2026-01-23T00:00:00"/>
    <m/>
    <s v="VV-26814"/>
    <s v="VU-LB106"/>
    <m/>
    <s v="V8"/>
    <x v="1"/>
    <n v="21366"/>
    <m/>
    <s v="LAZ101"/>
    <s v="LAY001"/>
    <m/>
    <m/>
    <m/>
    <n v="8228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41"/>
    <s v="000385412"/>
    <s v="南海"/>
    <s v="羽倉崎"/>
    <s v="東"/>
    <s v="南海V8"/>
    <s v="3S2VU-FBP-0003"/>
    <s v="3690047-9"/>
    <s v="機器"/>
    <n v="1"/>
    <s v="DVR内蔵"/>
    <n v="1"/>
    <d v="2026-01-09T00:00:00"/>
    <d v="2026-01-22T00:00:00"/>
    <d v="2026-01-21T00:00:00"/>
    <d v="2026-01-26T00:00:00"/>
    <m/>
    <s v="VV-26817"/>
    <s v="VU-LB106"/>
    <m/>
    <s v="V8"/>
    <x v="1"/>
    <n v="21367"/>
    <m/>
    <s v="LAZ101"/>
    <s v="LAY001"/>
    <m/>
    <m/>
    <m/>
    <n v="8229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46"/>
    <s v="000385415"/>
    <s v="南海"/>
    <s v="関西空港"/>
    <m/>
    <s v="南海V8(ﾏﾙﾁ)"/>
    <s v="3S2VU-FBP-5002"/>
    <s v="3690049-5"/>
    <s v="機器"/>
    <n v="1"/>
    <s v="DVR内蔵"/>
    <n v="1"/>
    <d v="2026-01-13T00:00:00"/>
    <d v="2026-01-23T00:00:00"/>
    <d v="2026-01-22T00:00:00"/>
    <d v="2026-01-27T00:00:00"/>
    <m/>
    <m/>
    <s v="VU-LB106"/>
    <m/>
    <s v="V8"/>
    <x v="1"/>
    <n v="21368"/>
    <m/>
    <s v="LAZ101"/>
    <s v="LAY001"/>
    <m/>
    <m/>
    <m/>
    <n v="8230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50"/>
    <s v="000380741"/>
    <s v="JR西"/>
    <s v="鷹取"/>
    <m/>
    <s v="JR西FA70(EXV)"/>
    <s v="3S2EU-RDP-0001"/>
    <s v="2874359-3"/>
    <s v="機器"/>
    <n v="1"/>
    <m/>
    <n v="1"/>
    <d v="2026-01-14T00:00:00"/>
    <d v="2026-01-26T00:00:00"/>
    <d v="2026-01-23T00:00:00"/>
    <d v="2026-01-28T00:00:00"/>
    <m/>
    <m/>
    <s v="VU-LB112"/>
    <m/>
    <s v="V8"/>
    <x v="1"/>
    <n v="21369"/>
    <m/>
    <s v="LAZ102"/>
    <s v="LAY001"/>
    <m/>
    <m/>
    <m/>
    <m/>
    <n v="1254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56"/>
    <s v="000384260"/>
    <s v="M社（Ｎ）"/>
    <m/>
    <s v="VU-LA004"/>
    <s v="V8-4BH"/>
    <s v="VU-LA004"/>
    <s v="1892581-2"/>
    <s v="単体"/>
    <n v="1"/>
    <m/>
    <n v="1"/>
    <d v="2026-01-21T00:00:00"/>
    <d v="2026-02-02T00:00:00"/>
    <d v="2026-01-30T00:00:00"/>
    <d v="2026-01-30T00:00:00"/>
    <m/>
    <m/>
    <s v="VU-LA004"/>
    <m/>
    <s v="V8"/>
    <x v="2"/>
    <n v="21370"/>
    <m/>
    <s v="LAZ101"/>
    <s v="LAY001"/>
    <m/>
    <m/>
    <m/>
    <n v="8231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55"/>
    <s v="000386911"/>
    <s v="M社（Ｎ）"/>
    <m/>
    <s v="VU-LA004"/>
    <s v="V8-4BH"/>
    <s v="VU-LA004"/>
    <s v="1892581-2"/>
    <s v="単体"/>
    <n v="1"/>
    <m/>
    <n v="1"/>
    <d v="2026-01-21T00:00:00"/>
    <d v="2026-02-02T00:00:00"/>
    <d v="2026-01-30T00:00:00"/>
    <d v="2026-01-30T00:00:00"/>
    <m/>
    <m/>
    <s v="VU-LA004"/>
    <m/>
    <s v="V8"/>
    <x v="2"/>
    <n v="21371"/>
    <m/>
    <s v="LAZ101"/>
    <s v="LAY001"/>
    <m/>
    <m/>
    <m/>
    <n v="8232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66"/>
    <s v="000377934"/>
    <s v="南海"/>
    <s v="りんくうタウン"/>
    <m/>
    <s v="南海V8EXV"/>
    <s v="3S2EU-FBP-1001"/>
    <s v="2800681-5"/>
    <s v="機器"/>
    <n v="1"/>
    <s v="回転台"/>
    <n v="1"/>
    <d v="2026-01-22T00:00:00"/>
    <d v="2026-02-03T00:00:00"/>
    <d v="2026-02-02T00:00:00"/>
    <d v="2026-02-05T00:00:00"/>
    <m/>
    <m/>
    <s v="VU-LB106"/>
    <m/>
    <s v="V8"/>
    <x v="2"/>
    <n v="21372"/>
    <m/>
    <s v="LAZ101"/>
    <s v="LAY001"/>
    <m/>
    <m/>
    <m/>
    <n v="8233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74"/>
    <s v="000382606"/>
    <s v="JREM"/>
    <s v="都留文科大学前駅"/>
    <s v="本屋"/>
    <s v="JR東EV20総(標準)"/>
    <s v="3S2VU-PDP-0004"/>
    <s v="5819600-7"/>
    <s v="機器"/>
    <n v="0"/>
    <m/>
    <n v="1"/>
    <d v="2026-01-29T00:00:00"/>
    <d v="2026-02-10T00:00:00"/>
    <d v="2026-02-09T00:00:00"/>
    <d v="2026-02-13T00:00:00"/>
    <m/>
    <m/>
    <s v="VU-LD091"/>
    <m/>
    <s v="V8"/>
    <x v="2"/>
    <n v="21373"/>
    <m/>
    <s v="LAZ201"/>
    <s v="LAY001"/>
    <m/>
    <m/>
    <m/>
    <m/>
    <m/>
    <m/>
    <n v="3532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179"/>
    <s v="000371350"/>
    <s v="JR西"/>
    <s v="西明石"/>
    <s v="VU-LB102"/>
    <s v="V8-4BH"/>
    <s v="VU-LB102"/>
    <s v="9909170-8"/>
    <s v="単体"/>
    <n v="0"/>
    <m/>
    <n v="1"/>
    <d v="2026-02-05T00:00:00"/>
    <d v="2026-02-18T00:00:00"/>
    <d v="2026-02-17T00:00:00"/>
    <d v="2026-02-17T00:00:00"/>
    <m/>
    <m/>
    <s v="VU-LB102"/>
    <m/>
    <s v="V8"/>
    <x v="2"/>
    <n v="21374"/>
    <m/>
    <s v="LAZ102"/>
    <s v="LAY001"/>
    <m/>
    <m/>
    <m/>
    <m/>
    <n v="1255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80"/>
    <s v="000385311"/>
    <s v="あいの風とやま（西）"/>
    <s v="トレセン"/>
    <s v="VU-LB102"/>
    <s v="V8-4BH"/>
    <s v="VU-LB102"/>
    <s v="9909170-8"/>
    <s v="単体"/>
    <n v="0"/>
    <m/>
    <n v="1"/>
    <d v="2026-02-06T00:00:00"/>
    <d v="2026-02-19T00:00:00"/>
    <d v="2026-02-18T00:00:00"/>
    <d v="2026-02-18T00:00:00"/>
    <m/>
    <m/>
    <s v="VU-LB102"/>
    <m/>
    <s v="V8"/>
    <x v="2"/>
    <n v="21375"/>
    <m/>
    <s v="LAZ102"/>
    <s v="LAY001"/>
    <m/>
    <m/>
    <m/>
    <m/>
    <n v="1256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83"/>
    <s v="000398704"/>
    <s v="N社（Ｎ）"/>
    <m/>
    <s v="VU-LA007"/>
    <s v="V8-4BH"/>
    <s v="VU-LA007"/>
    <s v="3251849-9"/>
    <s v="単体"/>
    <n v="1"/>
    <m/>
    <n v="1"/>
    <d v="2026-02-19T00:00:00"/>
    <d v="2026-03-04T00:00:00"/>
    <d v="2026-03-03T00:00:00"/>
    <d v="2026-03-03T00:00:00"/>
    <m/>
    <m/>
    <s v="VU-LA007"/>
    <m/>
    <s v="V8"/>
    <x v="3"/>
    <n v="21376"/>
    <m/>
    <s v="LAZ002"/>
    <s v="LAY002"/>
    <n v="3220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87"/>
    <s v="000398707"/>
    <s v="N社（Ｎ）"/>
    <m/>
    <s v="VU-LA007"/>
    <s v="V8-4BH"/>
    <s v="VU-LA007"/>
    <s v="3251849-9"/>
    <s v="単体"/>
    <n v="1"/>
    <m/>
    <n v="1"/>
    <d v="2026-02-20T00:00:00"/>
    <d v="2026-03-05T00:00:00"/>
    <d v="2026-03-04T00:00:00"/>
    <d v="2026-03-04T00:00:00"/>
    <m/>
    <m/>
    <s v="VU-LA007"/>
    <m/>
    <s v="V8"/>
    <x v="3"/>
    <n v="21377"/>
    <m/>
    <s v="LAZ002"/>
    <s v="LAY002"/>
    <n v="3221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88"/>
    <s v="000398709"/>
    <s v="N社（Ｎ）"/>
    <m/>
    <s v="VU-LA007"/>
    <s v="V8-4BH"/>
    <s v="VU-LA007"/>
    <s v="3251849-9"/>
    <s v="単体"/>
    <n v="1"/>
    <m/>
    <n v="1"/>
    <d v="2026-02-24T00:00:00"/>
    <d v="2026-03-06T00:00:00"/>
    <d v="2026-03-05T00:00:00"/>
    <d v="2026-03-05T00:00:00"/>
    <m/>
    <m/>
    <s v="VU-LA007"/>
    <m/>
    <s v="V8"/>
    <x v="3"/>
    <n v="21378"/>
    <m/>
    <s v="LAZ002"/>
    <s v="LAY002"/>
    <n v="3222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90"/>
    <s v="000398706"/>
    <s v="N社（Ｎ）"/>
    <m/>
    <s v="VU-LA007"/>
    <s v="V8-4BH"/>
    <s v="VU-LA007"/>
    <s v="3251849-9"/>
    <s v="単体"/>
    <n v="1"/>
    <m/>
    <n v="1"/>
    <d v="2026-02-25T00:00:00"/>
    <d v="2026-03-09T00:00:00"/>
    <d v="2026-03-06T00:00:00"/>
    <d v="2026-03-06T00:00:00"/>
    <m/>
    <m/>
    <s v="VU-LA007"/>
    <m/>
    <s v="V8"/>
    <x v="3"/>
    <n v="21379"/>
    <m/>
    <s v="LAZ002"/>
    <s v="LAY002"/>
    <n v="3223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92"/>
    <s v="000389162"/>
    <s v="N社（Ｎ）"/>
    <m/>
    <s v="VU-LA007"/>
    <s v="V8-4BH"/>
    <s v="VU-LA007"/>
    <s v="3251849-9"/>
    <s v="単体"/>
    <n v="1"/>
    <m/>
    <n v="1"/>
    <d v="2026-02-26T00:00:00"/>
    <d v="2026-03-10T00:00:00"/>
    <d v="2026-03-09T00:00:00"/>
    <d v="2026-03-09T00:00:00"/>
    <m/>
    <m/>
    <s v="VU-LA007"/>
    <m/>
    <s v="V8"/>
    <x v="3"/>
    <n v="21380"/>
    <m/>
    <s v="LAZ002"/>
    <s v="LAY002"/>
    <n v="3224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94"/>
    <s v="000398705"/>
    <s v="N社（Ｎ）"/>
    <m/>
    <s v="VU-LA007"/>
    <s v="V8-4BH"/>
    <s v="VU-LA007"/>
    <s v="3251849-9"/>
    <s v="単体"/>
    <n v="1"/>
    <m/>
    <n v="1"/>
    <d v="2026-02-27T00:00:00"/>
    <d v="2026-03-11T00:00:00"/>
    <d v="2026-03-10T00:00:00"/>
    <d v="2026-03-10T00:00:00"/>
    <m/>
    <m/>
    <s v="VU-LA007"/>
    <m/>
    <s v="V8"/>
    <x v="3"/>
    <n v="21381"/>
    <m/>
    <s v="LAZ002"/>
    <s v="LAY002"/>
    <n v="3225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96"/>
    <s v="000397524"/>
    <s v="JREM"/>
    <s v="昭和島駅"/>
    <s v="待合室"/>
    <s v="東モノEX20総（V）"/>
    <s v="3S2EU-KRP-1002"/>
    <s v="5833406-0"/>
    <s v="機器"/>
    <n v="1"/>
    <s v="スカート"/>
    <n v="1"/>
    <d v="2026-02-27T00:00:00"/>
    <d v="2026-03-11T00:00:00"/>
    <d v="2026-03-10T00:00:00"/>
    <d v="2026-03-13T00:00:00"/>
    <m/>
    <m/>
    <s v="VU-LD091"/>
    <m/>
    <s v="V8"/>
    <x v="3"/>
    <n v="21382"/>
    <m/>
    <s v="LAZ201"/>
    <s v="LAY001"/>
    <m/>
    <m/>
    <m/>
    <m/>
    <m/>
    <m/>
    <n v="3533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195"/>
    <s v="000398708"/>
    <s v="N社（Ｎ）"/>
    <m/>
    <s v="VU-LA007"/>
    <s v="V8-4BH"/>
    <s v="VU-LA007"/>
    <s v="3251849-9"/>
    <s v="単体"/>
    <n v="1"/>
    <m/>
    <n v="1"/>
    <d v="2026-03-02T00:00:00"/>
    <d v="2026-03-12T00:00:00"/>
    <d v="2026-03-11T00:00:00"/>
    <d v="2026-03-11T00:00:00"/>
    <m/>
    <m/>
    <s v="VU-LA007"/>
    <m/>
    <s v="V8"/>
    <x v="3"/>
    <n v="21383"/>
    <m/>
    <s v="LAZ002"/>
    <s v="LAY002"/>
    <n v="322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97"/>
    <s v="000397525"/>
    <s v="JREM"/>
    <s v="整備場"/>
    <s v="本屋"/>
    <s v="東モノEX20総（V）"/>
    <s v="3S2EU-KRP-1001"/>
    <s v="5833401-9"/>
    <s v="機器"/>
    <n v="1"/>
    <s v="回転台"/>
    <n v="1"/>
    <d v="2026-03-02T00:00:00"/>
    <d v="2026-03-12T00:00:00"/>
    <d v="2026-03-11T00:00:00"/>
    <d v="2026-03-16T00:00:00"/>
    <m/>
    <m/>
    <s v="VU-LD091"/>
    <m/>
    <s v="V8"/>
    <x v="3"/>
    <n v="21384"/>
    <m/>
    <s v="LAZ201"/>
    <s v="LAY001"/>
    <m/>
    <m/>
    <m/>
    <m/>
    <m/>
    <m/>
    <n v="3534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199"/>
    <s v="000397523"/>
    <s v="JREM"/>
    <s v="大井競馬場前"/>
    <m/>
    <s v="東モノEX20総（V）"/>
    <s v="3S2EU-KRP-1002"/>
    <s v="5833406-0"/>
    <s v="機器"/>
    <n v="1"/>
    <s v="スカート"/>
    <n v="1"/>
    <d v="2026-03-04T00:00:00"/>
    <d v="2026-03-16T00:00:00"/>
    <d v="2026-03-13T00:00:00"/>
    <d v="2026-03-18T00:00:00"/>
    <m/>
    <m/>
    <s v="VU-LD091"/>
    <m/>
    <s v="V8"/>
    <x v="3"/>
    <n v="21385"/>
    <m/>
    <s v="LAZ201"/>
    <s v="LAY001"/>
    <m/>
    <m/>
    <m/>
    <m/>
    <m/>
    <m/>
    <n v="3535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198"/>
    <s v="000390898"/>
    <s v="JR西"/>
    <s v="南田辺"/>
    <m/>
    <s v="V8-4BH"/>
    <s v="VU-LB112"/>
    <s v="5613530-2"/>
    <s v="単体"/>
    <n v="0"/>
    <s v="M社クロス用BH"/>
    <n v="1"/>
    <d v="2026-03-06T00:00:00"/>
    <d v="2026-03-18T00:00:00"/>
    <d v="2026-03-17T00:00:00"/>
    <d v="2026-03-17T00:00:00"/>
    <m/>
    <m/>
    <s v="VU-LB112"/>
    <m/>
    <s v="V8"/>
    <x v="3"/>
    <n v="21386"/>
    <m/>
    <s v="LAZ102"/>
    <s v="LAY001"/>
    <m/>
    <m/>
    <m/>
    <m/>
    <n v="1257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03"/>
    <s v="000389155"/>
    <s v="JREM"/>
    <s v="流通センター"/>
    <s v="本屋"/>
    <s v="東モノEX20総（V）"/>
    <s v="3S2EU-KRP-0001"/>
    <s v="5821604-0"/>
    <s v="機器"/>
    <n v="1"/>
    <s v="はめこみ"/>
    <n v="1"/>
    <d v="2026-03-06T00:00:00"/>
    <d v="2026-03-18T00:00:00"/>
    <d v="2026-03-17T00:00:00"/>
    <d v="2026-03-23T00:00:00"/>
    <m/>
    <m/>
    <s v="VU-LD091"/>
    <m/>
    <s v="V8"/>
    <x v="3"/>
    <n v="21387"/>
    <m/>
    <s v="LAZ201"/>
    <s v="LAY001"/>
    <m/>
    <m/>
    <m/>
    <m/>
    <m/>
    <m/>
    <n v="3536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200"/>
    <s v="000390886"/>
    <s v="JR西"/>
    <s v="富木"/>
    <s v="西口"/>
    <s v="V8-4BH"/>
    <s v="VU-LB112"/>
    <s v="5613530-2"/>
    <s v="単体"/>
    <n v="0"/>
    <s v="M社クロス用BH"/>
    <n v="1"/>
    <d v="2026-03-09T00:00:00"/>
    <d v="2026-03-19T00:00:00"/>
    <d v="2026-03-18T00:00:00"/>
    <d v="2026-03-18T00:00:00"/>
    <m/>
    <m/>
    <s v="VU-LB112"/>
    <m/>
    <s v="V8"/>
    <x v="3"/>
    <n v="21388"/>
    <m/>
    <s v="LAZ102"/>
    <s v="LAY001"/>
    <m/>
    <m/>
    <m/>
    <m/>
    <n v="1258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01"/>
    <s v="000390892"/>
    <s v="JR西"/>
    <s v="富木"/>
    <s v="東口"/>
    <s v="V8-4BH"/>
    <s v="VU-LB112"/>
    <s v="5613530-2"/>
    <s v="単体"/>
    <n v="0"/>
    <s v="M社クロス用BH"/>
    <n v="1"/>
    <d v="2026-03-10T00:00:00"/>
    <d v="2026-03-23T00:00:00"/>
    <d v="2026-03-19T00:00:00"/>
    <d v="2026-03-19T00:00:00"/>
    <m/>
    <m/>
    <s v="VU-LB112"/>
    <m/>
    <s v="V8"/>
    <x v="3"/>
    <n v="21389"/>
    <m/>
    <s v="LAZ102"/>
    <s v="LAY001"/>
    <m/>
    <m/>
    <m/>
    <m/>
    <n v="1259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04"/>
    <s v="000390904"/>
    <s v="JR西"/>
    <s v="浅香"/>
    <m/>
    <s v="V8-4BH"/>
    <s v="VU-LB112"/>
    <s v="5613530-2"/>
    <s v="単体"/>
    <n v="0"/>
    <s v="M社クロス用BH"/>
    <n v="1"/>
    <d v="2026-03-11T00:00:00"/>
    <d v="2026-03-24T00:00:00"/>
    <d v="2026-03-23T00:00:00"/>
    <d v="2026-03-23T00:00:00"/>
    <m/>
    <m/>
    <s v="VU-LB112"/>
    <m/>
    <s v="V8"/>
    <x v="3"/>
    <n v="21390"/>
    <m/>
    <s v="LAZ102"/>
    <s v="LAY001"/>
    <m/>
    <m/>
    <m/>
    <m/>
    <n v="1260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05"/>
    <s v="000394157"/>
    <s v="JR西"/>
    <s v="紀三井寺"/>
    <s v="西口"/>
    <s v="V8-4BH"/>
    <s v="VU-LB112"/>
    <s v="5613530-2"/>
    <s v="単体"/>
    <n v="0"/>
    <s v="M社クロス用BH"/>
    <n v="1"/>
    <d v="2026-03-12T00:00:00"/>
    <d v="2026-03-25T00:00:00"/>
    <d v="2026-03-24T00:00:00"/>
    <d v="2026-03-24T00:00:00"/>
    <m/>
    <m/>
    <s v="VU-LB112"/>
    <m/>
    <s v="V8"/>
    <x v="3"/>
    <n v="21391"/>
    <m/>
    <s v="LAZ102"/>
    <s v="LAY001"/>
    <m/>
    <m/>
    <m/>
    <m/>
    <n v="1261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08"/>
    <s v="000385304"/>
    <s v="南海"/>
    <s v="浜寺公園"/>
    <s v="未定"/>
    <s v="南海V8EXV"/>
    <s v="3S2EU-FBP-0001"/>
    <s v="2800663-7"/>
    <s v="機器"/>
    <n v="0"/>
    <s v="はめこみ"/>
    <n v="1"/>
    <d v="2026-03-12T00:00:00"/>
    <d v="2026-04-01T00:00:00"/>
    <d v="2026-03-31T00:00:00"/>
    <d v="2026-04-03T00:00:00"/>
    <m/>
    <m/>
    <s v="VU-LB106"/>
    <m/>
    <s v="V8"/>
    <x v="4"/>
    <n v="21392"/>
    <m/>
    <s v="LAZ101"/>
    <s v="LAY001"/>
    <m/>
    <m/>
    <m/>
    <n v="8234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09"/>
    <s v="000393688"/>
    <s v="JREM"/>
    <s v="羽田空港第３ターミナル"/>
    <s v="３Ｆ改札"/>
    <s v="東モノEX20総（V）"/>
    <s v="3S2EU-KRP-0001"/>
    <s v="5821604-0"/>
    <s v="機器"/>
    <n v="1"/>
    <s v="はめこみ"/>
    <n v="1"/>
    <d v="2026-03-13T00:00:00"/>
    <d v="2026-04-02T00:00:00"/>
    <d v="2026-04-01T00:00:00"/>
    <d v="2026-04-06T00:00:00"/>
    <m/>
    <m/>
    <s v="VU-LD091"/>
    <m/>
    <s v="V8"/>
    <x v="4"/>
    <n v="21393"/>
    <m/>
    <s v="LAZ201"/>
    <s v="LAY001"/>
    <m/>
    <m/>
    <m/>
    <m/>
    <m/>
    <m/>
    <n v="3537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210"/>
    <s v="000397526"/>
    <s v="JREM"/>
    <s v="羽田空港第1ターミナル"/>
    <s v="南"/>
    <s v="東モノEX20総（V）"/>
    <s v="3S2EU-KRP-0001"/>
    <s v="5821604-0"/>
    <s v="機器"/>
    <n v="1"/>
    <s v="はめこみ"/>
    <n v="1"/>
    <d v="2026-03-16T00:00:00"/>
    <d v="2026-04-03T00:00:00"/>
    <d v="2026-04-02T00:00:00"/>
    <d v="2026-04-07T00:00:00"/>
    <m/>
    <m/>
    <s v="VU-LD091"/>
    <m/>
    <s v="V8"/>
    <x v="4"/>
    <n v="21394"/>
    <m/>
    <s v="LAZ201"/>
    <s v="LAY001"/>
    <m/>
    <m/>
    <m/>
    <m/>
    <m/>
    <m/>
    <n v="3538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212"/>
    <s v="000397527"/>
    <s v="JREM"/>
    <s v="羽田空港第1ターミナル"/>
    <s v="北"/>
    <s v="東モノEX20総（V）"/>
    <s v="3S2EU-KRP-0001"/>
    <s v="5821604-0"/>
    <s v="機器"/>
    <n v="1"/>
    <s v="はめこみ"/>
    <n v="1"/>
    <d v="2026-03-17T00:00:00"/>
    <d v="2026-04-06T00:00:00"/>
    <d v="2026-04-03T00:00:00"/>
    <d v="2026-04-08T00:00:00"/>
    <m/>
    <m/>
    <s v="VU-LD091"/>
    <m/>
    <s v="V8"/>
    <x v="4"/>
    <n v="21395"/>
    <m/>
    <s v="LAZ201"/>
    <s v="LAY001"/>
    <m/>
    <m/>
    <m/>
    <m/>
    <m/>
    <m/>
    <n v="3539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221"/>
    <s v="000397529"/>
    <s v="JREM"/>
    <s v="羽田空港第2ターミナル"/>
    <s v="南"/>
    <s v="東モノEX20総（V）"/>
    <s v="3S2EU-KRP-0001"/>
    <s v="5821604-0"/>
    <s v="機器"/>
    <n v="1"/>
    <s v="はめこみ"/>
    <n v="1"/>
    <d v="2026-03-31T00:00:00"/>
    <d v="2026-04-15T00:00:00"/>
    <d v="2026-04-14T00:00:00"/>
    <d v="2026-04-17T00:00:00"/>
    <m/>
    <m/>
    <s v="VU-LD091"/>
    <m/>
    <s v="V8"/>
    <x v="4"/>
    <n v="21396"/>
    <m/>
    <s v="LAZ201"/>
    <s v="LAY001"/>
    <m/>
    <m/>
    <m/>
    <m/>
    <m/>
    <m/>
    <n v="3540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214"/>
    <s v="000394163"/>
    <s v="JR西"/>
    <s v="新家"/>
    <s v="西口"/>
    <s v="V8-4BH"/>
    <s v="VU-LB112"/>
    <s v="5613530-2"/>
    <s v="単体"/>
    <n v="0"/>
    <s v="M社クロス用BH"/>
    <n v="1"/>
    <d v="2026-04-06T00:00:00"/>
    <d v="2026-04-16T00:00:00"/>
    <d v="2026-04-15T00:00:00"/>
    <d v="2026-04-15T00:00:00"/>
    <m/>
    <m/>
    <s v="VU-LB112"/>
    <m/>
    <s v="V8"/>
    <x v="4"/>
    <n v="21397"/>
    <m/>
    <s v="LAZ102"/>
    <s v="LAY001"/>
    <m/>
    <m/>
    <m/>
    <m/>
    <n v="1262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15"/>
    <s v="000394169"/>
    <s v="JR西"/>
    <s v="新家"/>
    <s v="東口"/>
    <s v="V8-4BH"/>
    <s v="VU-LB112"/>
    <s v="5613530-2"/>
    <s v="単体"/>
    <n v="0"/>
    <s v="M社クロス用BH"/>
    <n v="1"/>
    <d v="2026-04-06T00:00:00"/>
    <d v="2026-04-16T00:00:00"/>
    <d v="2026-04-15T00:00:00"/>
    <d v="2026-04-15T00:00:00"/>
    <m/>
    <m/>
    <s v="VU-LB112"/>
    <m/>
    <s v="V8"/>
    <x v="4"/>
    <n v="21398"/>
    <m/>
    <s v="LAZ102"/>
    <s v="LAY001"/>
    <m/>
    <m/>
    <m/>
    <m/>
    <n v="1263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17"/>
    <s v="000394175"/>
    <s v="JR西"/>
    <s v="長居"/>
    <m/>
    <s v="V8-4BH"/>
    <s v="VU-LB112"/>
    <s v="5613530-2"/>
    <s v="単体"/>
    <n v="0"/>
    <s v="M社クロス用BH"/>
    <n v="1"/>
    <d v="2026-04-06T00:00:00"/>
    <d v="2026-04-16T00:00:00"/>
    <d v="2026-04-15T00:00:00"/>
    <d v="2026-04-15T00:00:00"/>
    <m/>
    <m/>
    <s v="VU-LB112"/>
    <m/>
    <s v="V8"/>
    <x v="4"/>
    <n v="21399"/>
    <m/>
    <s v="LAZ102"/>
    <s v="LAY001"/>
    <m/>
    <m/>
    <m/>
    <m/>
    <n v="1264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16"/>
    <s v="000394181"/>
    <s v="JR西"/>
    <s v="大正"/>
    <m/>
    <s v="V8-4BH"/>
    <s v="VU-LB112"/>
    <s v="5613530-2"/>
    <s v="単体"/>
    <n v="0"/>
    <s v="M社クロス用BH"/>
    <n v="1"/>
    <d v="2026-04-06T00:00:00"/>
    <d v="2026-04-16T00:00:00"/>
    <d v="2026-04-15T00:00:00"/>
    <d v="2026-04-15T00:00:00"/>
    <m/>
    <m/>
    <s v="VU-LB112"/>
    <m/>
    <s v="V8"/>
    <x v="4"/>
    <n v="21400"/>
    <m/>
    <s v="LAZ102"/>
    <s v="LAY001"/>
    <m/>
    <m/>
    <m/>
    <m/>
    <n v="1265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23"/>
    <s v="000397528"/>
    <s v="JREM"/>
    <s v="羽田空港第2ターミナル"/>
    <s v="北"/>
    <s v="東モノEX20総（V）"/>
    <s v="3S2EU-KRP-0001"/>
    <s v="5821604-0"/>
    <s v="機器"/>
    <n v="1"/>
    <s v="はめこみ"/>
    <n v="1"/>
    <d v="2026-04-03T00:00:00"/>
    <d v="2026-04-20T00:00:00"/>
    <d v="2026-04-17T00:00:00"/>
    <d v="2026-04-22T00:00:00"/>
    <m/>
    <m/>
    <s v="VU-LD091"/>
    <m/>
    <s v="V8"/>
    <x v="4"/>
    <n v="21401"/>
    <m/>
    <s v="LAZ201"/>
    <s v="LAY001"/>
    <m/>
    <m/>
    <m/>
    <m/>
    <m/>
    <m/>
    <n v="3541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225"/>
    <s v="000390814"/>
    <s v="JR西"/>
    <s v="新大阪"/>
    <m/>
    <s v="JR西FA70(EXV)"/>
    <s v="3S2EU-RDP-0003"/>
    <s v="2899914-8"/>
    <s v="機器"/>
    <n v="0"/>
    <m/>
    <n v="1"/>
    <d v="2026-04-06T00:00:00"/>
    <d v="2026-04-21T00:00:00"/>
    <d v="2026-04-20T00:00:00"/>
    <d v="2026-04-23T00:00:00"/>
    <m/>
    <m/>
    <s v="VU-LB112"/>
    <m/>
    <s v="V8"/>
    <x v="4"/>
    <n v="21402"/>
    <m/>
    <s v="LAZ102"/>
    <s v="LAY001"/>
    <m/>
    <m/>
    <m/>
    <m/>
    <n v="1266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24"/>
    <s v="000395227"/>
    <s v="JR西"/>
    <s v="新大阪"/>
    <m/>
    <s v="JR西FA70(EXV)"/>
    <s v="3S2EU-RDP-0003"/>
    <s v="2899914-8"/>
    <s v="機器"/>
    <n v="0"/>
    <m/>
    <n v="1"/>
    <d v="2026-04-06T00:00:00"/>
    <d v="2026-04-21T00:00:00"/>
    <d v="2026-04-20T00:00:00"/>
    <d v="2026-04-23T00:00:00"/>
    <m/>
    <m/>
    <s v="VU-LB112"/>
    <m/>
    <s v="V8"/>
    <x v="4"/>
    <n v="21403"/>
    <m/>
    <s v="LAZ102"/>
    <s v="LAY001"/>
    <m/>
    <m/>
    <m/>
    <m/>
    <n v="1267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27"/>
    <s v="000391333"/>
    <s v="JR西"/>
    <s v="美章園"/>
    <m/>
    <s v="JR西FA70(EXV)"/>
    <s v="3S2EU-RDP-0001"/>
    <s v="2874359-3"/>
    <s v="機器"/>
    <n v="0"/>
    <m/>
    <n v="1"/>
    <d v="2026-04-08T00:00:00"/>
    <d v="2026-04-23T00:00:00"/>
    <d v="2026-04-22T00:00:00"/>
    <d v="2026-04-27T00:00:00"/>
    <m/>
    <m/>
    <s v="VU-LB112"/>
    <m/>
    <s v="V8"/>
    <x v="4"/>
    <n v="21404"/>
    <m/>
    <s v="LAZ102"/>
    <s v="LAY001"/>
    <m/>
    <m/>
    <m/>
    <m/>
    <n v="1268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34"/>
    <s v="000397209"/>
    <s v="JR西"/>
    <s v="我孫子"/>
    <m/>
    <s v="V8-4BH"/>
    <s v="VU-LB112"/>
    <s v="5613530-2"/>
    <s v="単体"/>
    <n v="0"/>
    <s v="M社クロス用BH"/>
    <n v="1"/>
    <m/>
    <d v="2026-05-07T00:00:00"/>
    <d v="2026-05-06T00:00:00"/>
    <d v="2026-05-07T00:00:00"/>
    <m/>
    <m/>
    <s v="VU-LB112"/>
    <m/>
    <s v="V8"/>
    <x v="5"/>
    <n v="21405"/>
    <m/>
    <s v="LAZ102"/>
    <s v="LAY001"/>
    <m/>
    <m/>
    <m/>
    <m/>
    <n v="1269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36"/>
    <s v="000399242"/>
    <s v="JR西"/>
    <s v="和泉鳥取"/>
    <s v="東口"/>
    <s v="V8-4BH"/>
    <s v="VU-LB112"/>
    <s v="5613530-2"/>
    <s v="単体"/>
    <n v="0"/>
    <s v="M社クロス用BH"/>
    <n v="1"/>
    <m/>
    <d v="2026-05-07T00:00:00"/>
    <d v="2026-05-06T00:00:00"/>
    <d v="2026-05-07T00:00:00"/>
    <m/>
    <m/>
    <s v="VU-LB112"/>
    <m/>
    <s v="V8"/>
    <x v="5"/>
    <n v="21406"/>
    <m/>
    <s v="LAZ102"/>
    <s v="LAY001"/>
    <m/>
    <m/>
    <m/>
    <m/>
    <n v="1270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35"/>
    <s v="000399243"/>
    <s v="JR西"/>
    <s v="和泉砂川"/>
    <s v="東口"/>
    <s v="V8-4BH"/>
    <s v="VU-LB112"/>
    <s v="5613530-2"/>
    <s v="単体"/>
    <n v="0"/>
    <s v="M社クロス用BH"/>
    <n v="1"/>
    <m/>
    <d v="2026-05-07T00:00:00"/>
    <d v="2026-05-06T00:00:00"/>
    <d v="2026-05-07T00:00:00"/>
    <m/>
    <m/>
    <s v="VU-LB112"/>
    <m/>
    <s v="V8"/>
    <x v="5"/>
    <n v="21407"/>
    <m/>
    <s v="LAZ102"/>
    <s v="LAY001"/>
    <m/>
    <m/>
    <m/>
    <m/>
    <n v="1271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37"/>
    <s v="000394288"/>
    <s v="M社（Ｎ）"/>
    <m/>
    <s v="VU-LA004"/>
    <s v="V8-4BH"/>
    <s v="VU-LA004"/>
    <s v="1892581-2"/>
    <s v="単体"/>
    <n v="1"/>
    <m/>
    <n v="7"/>
    <m/>
    <d v="2026-05-07T00:00:00"/>
    <d v="2026-05-06T00:00:00"/>
    <d v="2026-05-07T00:00:00"/>
    <m/>
    <m/>
    <s v="VU-LA004"/>
    <m/>
    <s v="V8"/>
    <x v="5"/>
    <n v="21408"/>
    <m/>
    <s v="LAZ101"/>
    <s v="LAY001"/>
    <m/>
    <m/>
    <m/>
    <n v="8235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7"/>
    <n v="7"/>
    <n v="0"/>
    <n v="0"/>
    <n v="7"/>
    <n v="0"/>
    <n v="7"/>
    <n v="0"/>
    <n v="0"/>
    <n v="0"/>
    <n v="0"/>
    <n v="7"/>
    <n v="7"/>
    <n v="0"/>
    <n v="0"/>
    <n v="7"/>
    <n v="0"/>
    <n v="0"/>
    <n v="0"/>
    <n v="7"/>
    <n v="0"/>
    <n v="0"/>
    <n v="0"/>
    <n v="7"/>
    <n v="0"/>
    <n v="0"/>
    <n v="0"/>
    <n v="0"/>
    <n v="0"/>
    <n v="0"/>
    <n v="0"/>
    <n v="0"/>
    <n v="0"/>
  </r>
  <r>
    <n v="238"/>
    <s v="000395158"/>
    <s v="N社（Ｎ）"/>
    <m/>
    <s v="VU-LA007"/>
    <s v="V8-4BH"/>
    <s v="VU-LA007"/>
    <s v="3251849-9"/>
    <s v="単体"/>
    <n v="1"/>
    <m/>
    <n v="9"/>
    <m/>
    <d v="2026-05-07T00:00:00"/>
    <d v="2026-05-06T00:00:00"/>
    <d v="2026-05-07T00:00:00"/>
    <m/>
    <m/>
    <s v="VU-LA007"/>
    <m/>
    <s v="V8"/>
    <x v="5"/>
    <n v="21409"/>
    <m/>
    <s v="LAZ002"/>
    <s v="LAY002"/>
    <n v="3227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9"/>
    <n v="9"/>
    <n v="0"/>
    <n v="0"/>
    <n v="9"/>
    <n v="0"/>
    <n v="9"/>
    <n v="0"/>
    <n v="0"/>
    <n v="0"/>
    <n v="0"/>
    <n v="9"/>
    <n v="9"/>
    <n v="0"/>
    <n v="0"/>
    <n v="9"/>
    <n v="0"/>
    <n v="0"/>
    <n v="0"/>
    <n v="9"/>
    <n v="0"/>
    <n v="0"/>
    <n v="0"/>
    <n v="9"/>
    <n v="0"/>
    <n v="0"/>
    <n v="0"/>
    <n v="0"/>
    <n v="0"/>
    <n v="0"/>
    <n v="0"/>
    <n v="0"/>
    <n v="0"/>
  </r>
  <r>
    <n v="240"/>
    <s v="000395159"/>
    <s v="N社（Ｎ）"/>
    <m/>
    <s v="VU-LB006"/>
    <s v="V8-4BH"/>
    <s v="VU-LB006"/>
    <s v="2206082-6"/>
    <s v="単体"/>
    <n v="1"/>
    <m/>
    <n v="4"/>
    <m/>
    <d v="2026-05-07T00:00:00"/>
    <d v="2026-05-06T00:00:00"/>
    <d v="2026-05-07T00:00:00"/>
    <m/>
    <m/>
    <s v="VU-LB006"/>
    <m/>
    <s v="V8"/>
    <x v="5"/>
    <n v="21410"/>
    <m/>
    <s v="LAZ002"/>
    <s v="LAY002"/>
    <n v="3228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4"/>
    <n v="0"/>
    <n v="0"/>
    <n v="4"/>
    <n v="0"/>
    <n v="0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n v="241"/>
    <s v="000395161"/>
    <s v="N社（Ｎ）"/>
    <m/>
    <s v="VU-LC002"/>
    <s v="V8-4BH"/>
    <s v="VU-LC002"/>
    <s v="9709179-4"/>
    <s v="単体"/>
    <n v="1"/>
    <m/>
    <n v="5"/>
    <m/>
    <d v="2026-05-07T00:00:00"/>
    <d v="2026-05-06T00:00:00"/>
    <d v="2026-05-07T00:00:00"/>
    <m/>
    <m/>
    <s v="VU-LC002"/>
    <m/>
    <s v="V8"/>
    <x v="5"/>
    <n v="21411"/>
    <m/>
    <s v="LAZ002"/>
    <s v="LAY002"/>
    <n v="3229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5"/>
    <n v="5"/>
    <n v="0"/>
    <n v="0"/>
    <n v="5"/>
    <n v="0"/>
    <n v="5"/>
    <n v="0"/>
    <n v="0"/>
    <n v="0"/>
    <n v="0"/>
    <n v="5"/>
    <n v="0"/>
    <n v="0"/>
    <n v="5"/>
    <n v="0"/>
    <n v="0"/>
    <n v="0"/>
    <n v="5"/>
    <n v="0"/>
    <n v="0"/>
    <n v="0"/>
    <n v="5"/>
    <n v="5"/>
    <n v="0"/>
    <n v="0"/>
    <n v="0"/>
    <n v="0"/>
    <n v="0"/>
    <n v="0"/>
    <n v="0"/>
    <n v="0"/>
    <n v="0"/>
  </r>
  <r>
    <n v="239"/>
    <s v="000395284"/>
    <s v="N社（Ｎ）"/>
    <m/>
    <s v="VU-LB006"/>
    <s v="V8-4BH"/>
    <s v="VU-LB006"/>
    <s v="2206082-6"/>
    <s v="単体"/>
    <n v="1"/>
    <m/>
    <n v="5"/>
    <m/>
    <d v="2026-05-07T00:00:00"/>
    <d v="2026-05-06T00:00:00"/>
    <d v="2026-05-07T00:00:00"/>
    <m/>
    <m/>
    <s v="VU-LB006"/>
    <m/>
    <s v="V8"/>
    <x v="5"/>
    <n v="21412"/>
    <m/>
    <s v="LAZ002"/>
    <s v="LAY002"/>
    <n v="3230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5"/>
    <n v="5"/>
    <n v="0"/>
    <n v="0"/>
    <n v="5"/>
    <n v="0"/>
    <n v="5"/>
    <n v="0"/>
    <n v="0"/>
    <n v="5"/>
    <n v="0"/>
    <n v="0"/>
    <n v="5"/>
    <n v="0"/>
    <n v="0"/>
    <n v="5"/>
    <n v="0"/>
    <n v="0"/>
    <n v="0"/>
    <n v="5"/>
    <n v="0"/>
    <n v="0"/>
    <n v="0"/>
    <n v="5"/>
    <n v="0"/>
    <n v="0"/>
    <n v="0"/>
    <n v="0"/>
    <n v="0"/>
    <n v="0"/>
    <n v="0"/>
    <n v="0"/>
    <n v="0"/>
  </r>
  <r>
    <n v="288"/>
    <s v="000397210"/>
    <s v="JR西"/>
    <m/>
    <s v="VU-LB112"/>
    <s v="V8-4BH"/>
    <s v="VU-LB112"/>
    <s v="5613530-2"/>
    <s v="単体"/>
    <n v="0"/>
    <s v="M社クロス用BH"/>
    <n v="2"/>
    <m/>
    <d v="2026-06-01T00:00:00"/>
    <d v="2026-05-29T00:00:00"/>
    <d v="2026-06-01T00:00:00"/>
    <m/>
    <m/>
    <s v="VU-LB112"/>
    <m/>
    <s v="V8"/>
    <x v="6"/>
    <n v="21413"/>
    <m/>
    <s v="LAZ102"/>
    <s v="LAY001"/>
    <m/>
    <m/>
    <m/>
    <m/>
    <n v="1272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"/>
    <n v="2"/>
    <n v="0"/>
    <n v="0"/>
    <n v="2"/>
    <n v="0"/>
    <n v="0"/>
    <n v="2"/>
    <n v="0"/>
    <n v="0"/>
    <n v="2"/>
    <n v="0"/>
    <n v="2"/>
    <n v="0"/>
    <n v="0"/>
    <n v="2"/>
    <n v="0"/>
    <n v="0"/>
    <n v="0"/>
    <n v="2"/>
    <n v="0"/>
    <n v="0"/>
    <n v="0"/>
    <n v="2"/>
    <n v="0"/>
    <n v="0"/>
    <n v="0"/>
    <n v="0"/>
    <n v="0"/>
    <n v="0"/>
    <n v="0"/>
    <n v="0"/>
    <n v="0"/>
  </r>
  <r>
    <n v="291"/>
    <s v="000397376"/>
    <s v="N社（Ｎ）"/>
    <m/>
    <s v="VU-LB006"/>
    <s v="V8-4BH"/>
    <s v="VU-LB006"/>
    <s v="2206082-6"/>
    <s v="単体"/>
    <n v="1"/>
    <m/>
    <n v="4"/>
    <m/>
    <d v="2026-06-01T00:00:00"/>
    <d v="2026-05-29T00:00:00"/>
    <d v="2026-06-01T00:00:00"/>
    <m/>
    <m/>
    <s v="VU-LB006"/>
    <m/>
    <s v="V8"/>
    <x v="6"/>
    <n v="21414"/>
    <m/>
    <s v="LAZ002"/>
    <s v="LAY002"/>
    <n v="3231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4"/>
    <n v="0"/>
    <n v="0"/>
    <n v="4"/>
    <n v="0"/>
    <n v="0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n v="289"/>
    <s v="000397377"/>
    <s v="N社（Ｎ）"/>
    <m/>
    <s v="VU-LA007"/>
    <s v="V8-4BH"/>
    <s v="VU-LA007"/>
    <s v="3251849-9"/>
    <s v="単体"/>
    <n v="1"/>
    <m/>
    <n v="8"/>
    <m/>
    <d v="2026-06-01T00:00:00"/>
    <d v="2026-05-29T00:00:00"/>
    <d v="2026-06-01T00:00:00"/>
    <m/>
    <m/>
    <s v="VU-LA007"/>
    <m/>
    <s v="V8"/>
    <x v="6"/>
    <n v="21415"/>
    <m/>
    <s v="LAZ002"/>
    <s v="LAY002"/>
    <n v="3232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8"/>
    <n v="8"/>
    <n v="0"/>
    <n v="0"/>
    <n v="8"/>
    <n v="0"/>
    <n v="8"/>
    <n v="0"/>
    <n v="0"/>
    <n v="0"/>
    <n v="0"/>
    <n v="8"/>
    <n v="8"/>
    <n v="0"/>
    <n v="0"/>
    <n v="8"/>
    <n v="0"/>
    <n v="0"/>
    <n v="0"/>
    <n v="8"/>
    <n v="0"/>
    <n v="0"/>
    <n v="0"/>
    <n v="8"/>
    <n v="0"/>
    <n v="0"/>
    <n v="0"/>
    <n v="0"/>
    <n v="0"/>
    <n v="0"/>
    <n v="0"/>
    <n v="0"/>
    <n v="0"/>
  </r>
  <r>
    <n v="290"/>
    <s v="000398792"/>
    <s v="N社（Ｎ）"/>
    <m/>
    <s v="VU-LB006"/>
    <s v="V8-4BH"/>
    <s v="VU-LB006"/>
    <s v="2206082-6"/>
    <s v="単体"/>
    <n v="1"/>
    <m/>
    <n v="4"/>
    <m/>
    <d v="2026-06-01T00:00:00"/>
    <d v="2026-05-29T00:00:00"/>
    <d v="2026-06-01T00:00:00"/>
    <m/>
    <m/>
    <s v="VU-LB006"/>
    <m/>
    <s v="V8"/>
    <x v="6"/>
    <n v="21416"/>
    <m/>
    <s v="LAZ002"/>
    <s v="LAY002"/>
    <n v="3233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4"/>
    <n v="0"/>
    <n v="0"/>
    <n v="4"/>
    <n v="0"/>
    <n v="0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n v="331"/>
    <s v="000397078"/>
    <s v="N社（Ｔ）"/>
    <s v="日本信号　BH（VU-LA007）"/>
    <s v="VU-LA007（新紙幣対応）"/>
    <s v="V8-4BH"/>
    <s v="VU-LA007"/>
    <s v="3251848-0"/>
    <s v="単体"/>
    <n v="0"/>
    <m/>
    <n v="4"/>
    <m/>
    <d v="2026-06-19T00:00:00"/>
    <d v="2026-06-18T00:00:00"/>
    <d v="2026-06-19T00:00:00"/>
    <m/>
    <m/>
    <s v="VU-LA007"/>
    <m/>
    <s v="V8"/>
    <x v="6"/>
    <n v="21417"/>
    <m/>
    <s v="LAZ002"/>
    <s v="LAY002"/>
    <n v="3234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4"/>
    <n v="0"/>
    <n v="0"/>
    <n v="0"/>
    <n v="0"/>
    <n v="4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n v="332"/>
    <s v="000397079"/>
    <s v="N社（Ｔ）"/>
    <s v="日本信号　BH（VU-LB006）"/>
    <s v="VU-LB006（新紙幣対応）"/>
    <s v="V8-4BH"/>
    <s v="VU-LB006"/>
    <s v="2206106-7"/>
    <s v="単体"/>
    <n v="0"/>
    <m/>
    <n v="4"/>
    <m/>
    <d v="2026-06-19T00:00:00"/>
    <d v="2026-06-18T00:00:00"/>
    <d v="2026-06-19T00:00:00"/>
    <m/>
    <m/>
    <s v="VU-LB006"/>
    <m/>
    <s v="V8"/>
    <x v="6"/>
    <n v="21418"/>
    <m/>
    <s v="LAZ002"/>
    <s v="LAY002"/>
    <n v="3235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4"/>
    <n v="0"/>
    <n v="0"/>
    <n v="4"/>
    <n v="0"/>
    <n v="0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n v="333"/>
    <s v="000397090"/>
    <s v="N社（Ｔ）"/>
    <s v="日本信号　BH（VU-LA007）"/>
    <s v="VU-LA007（新紙幣対応）"/>
    <s v="V8-4BH"/>
    <s v="VU-LA007"/>
    <s v="3251848-0"/>
    <s v="単体"/>
    <n v="0"/>
    <m/>
    <n v="4"/>
    <m/>
    <d v="2026-06-22T00:00:00"/>
    <d v="2026-06-19T00:00:00"/>
    <d v="2026-06-22T00:00:00"/>
    <m/>
    <m/>
    <s v="VU-LA007"/>
    <m/>
    <s v="V8"/>
    <x v="6"/>
    <n v="21419"/>
    <m/>
    <s v="LAZ002"/>
    <s v="LAY002"/>
    <n v="323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4"/>
    <n v="0"/>
    <n v="0"/>
    <n v="0"/>
    <n v="0"/>
    <n v="4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n v="334"/>
    <s v="000397091"/>
    <s v="N社（Ｔ）"/>
    <s v="日本信号　BH（VU-LB006）"/>
    <s v="VU-LB006（新紙幣対応）"/>
    <s v="V8-4BH"/>
    <s v="VU-LB006"/>
    <s v="2206106-7"/>
    <s v="単体"/>
    <n v="0"/>
    <m/>
    <n v="4"/>
    <m/>
    <d v="2026-06-22T00:00:00"/>
    <d v="2026-06-19T00:00:00"/>
    <d v="2026-06-22T00:00:00"/>
    <m/>
    <m/>
    <s v="VU-LB006"/>
    <m/>
    <s v="V8"/>
    <x v="6"/>
    <n v="21420"/>
    <m/>
    <s v="LAZ002"/>
    <s v="LAY002"/>
    <n v="3237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4"/>
    <n v="0"/>
    <n v="0"/>
    <n v="4"/>
    <n v="0"/>
    <n v="0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n v="336"/>
    <s v="000397069"/>
    <s v="JR西"/>
    <s v="東淀川"/>
    <m/>
    <s v="JR西FA70(EXV)"/>
    <s v="3S2EU-RDP-0001"/>
    <s v="2874359-3"/>
    <s v="機器"/>
    <n v="0"/>
    <m/>
    <n v="1"/>
    <m/>
    <d v="2026-06-25T00:00:00"/>
    <d v="2026-06-24T00:00:00"/>
    <d v="2026-06-25T00:00:00"/>
    <m/>
    <m/>
    <s v="VU-LB112"/>
    <m/>
    <s v="V8"/>
    <x v="6"/>
    <n v="21421"/>
    <m/>
    <s v="LAZ102"/>
    <s v="LAY001"/>
    <m/>
    <m/>
    <m/>
    <m/>
    <n v="1273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38"/>
    <s v="000397211"/>
    <s v="JR西"/>
    <m/>
    <s v="VU-LB112"/>
    <s v="V8-4BH"/>
    <s v="VU-LB112"/>
    <s v="5613530-2"/>
    <s v="単体"/>
    <n v="0"/>
    <s v="M社クロス用BH"/>
    <n v="4"/>
    <m/>
    <d v="2026-07-01T00:00:00"/>
    <d v="2026-06-30T00:00:00"/>
    <d v="2026-07-01T00:00:00"/>
    <m/>
    <m/>
    <s v="VU-LB112"/>
    <m/>
    <s v="V8"/>
    <x v="7"/>
    <n v="21422"/>
    <m/>
    <s v="LAZ102"/>
    <s v="LAY001"/>
    <m/>
    <m/>
    <m/>
    <m/>
    <n v="1274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0"/>
    <n v="4"/>
    <n v="0"/>
    <n v="0"/>
    <n v="4"/>
    <n v="0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n v="339"/>
    <s v="000399411"/>
    <s v="N社（Ｎ）"/>
    <m/>
    <s v="VU-LA007"/>
    <s v="V8-4BH"/>
    <s v="VU-LA007"/>
    <s v="3251849-9"/>
    <s v="単体"/>
    <n v="0"/>
    <m/>
    <n v="2"/>
    <m/>
    <d v="2026-07-01T00:00:00"/>
    <d v="2026-06-30T00:00:00"/>
    <d v="2026-07-01T00:00:00"/>
    <m/>
    <m/>
    <s v="VU-LA007"/>
    <m/>
    <s v="V8"/>
    <x v="7"/>
    <n v="21423"/>
    <m/>
    <s v="LAZ002"/>
    <s v="LAY002"/>
    <n v="3238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"/>
    <n v="2"/>
    <n v="0"/>
    <n v="0"/>
    <n v="2"/>
    <n v="0"/>
    <n v="2"/>
    <n v="0"/>
    <n v="0"/>
    <n v="0"/>
    <n v="0"/>
    <n v="2"/>
    <n v="2"/>
    <n v="0"/>
    <n v="0"/>
    <n v="2"/>
    <n v="0"/>
    <n v="0"/>
    <n v="0"/>
    <n v="2"/>
    <n v="0"/>
    <n v="0"/>
    <n v="0"/>
    <n v="2"/>
    <n v="0"/>
    <n v="0"/>
    <n v="0"/>
    <n v="0"/>
    <n v="0"/>
    <n v="0"/>
    <n v="0"/>
    <n v="0"/>
    <n v="0"/>
  </r>
  <r>
    <n v="362"/>
    <s v="000397070"/>
    <s v="JR西"/>
    <s v="中百舌鳥"/>
    <s v="東口"/>
    <s v="JR西FA70(EXV)"/>
    <s v="3S2EU-RDP-0001"/>
    <s v="2874359-3"/>
    <s v="機器"/>
    <n v="0"/>
    <m/>
    <n v="1"/>
    <m/>
    <d v="2026-07-09T00:00:00"/>
    <d v="2026-07-08T00:00:00"/>
    <d v="2026-07-09T00:00:00"/>
    <m/>
    <m/>
    <s v="VU-LB112"/>
    <m/>
    <s v="V8"/>
    <x v="7"/>
    <n v="21424"/>
    <m/>
    <s v="LAZ102"/>
    <s v="LAY001"/>
    <m/>
    <m/>
    <m/>
    <m/>
    <n v="1275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71"/>
    <s v="000397212"/>
    <s v="JR西"/>
    <m/>
    <s v="VU-LB112"/>
    <s v="V8-4BH"/>
    <s v="VU-LB112"/>
    <s v="5613530-2"/>
    <s v="単体"/>
    <n v="0"/>
    <s v="M社クロス用BH"/>
    <n v="4"/>
    <m/>
    <d v="2026-08-03T00:00:00"/>
    <d v="2026-07-31T00:00:00"/>
    <d v="2026-08-03T00:00:00"/>
    <m/>
    <m/>
    <s v="VU-LB112"/>
    <m/>
    <s v="V8"/>
    <x v="8"/>
    <n v="21425"/>
    <m/>
    <s v="LAZ102"/>
    <s v="LAY001"/>
    <m/>
    <m/>
    <m/>
    <m/>
    <n v="1276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0"/>
    <n v="4"/>
    <n v="0"/>
    <n v="0"/>
    <n v="4"/>
    <n v="0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n v="372"/>
    <s v="000397378"/>
    <s v="N社（Ｎ）"/>
    <m/>
    <s v="VU-LA007"/>
    <s v="V8-4BH"/>
    <s v="VU-LA007"/>
    <s v="3251849-9"/>
    <s v="単体"/>
    <n v="1"/>
    <m/>
    <n v="9"/>
    <m/>
    <d v="2026-08-03T00:00:00"/>
    <d v="2026-07-31T00:00:00"/>
    <d v="2026-08-03T00:00:00"/>
    <m/>
    <m/>
    <s v="VU-LA007"/>
    <m/>
    <s v="V8"/>
    <x v="8"/>
    <n v="21426"/>
    <m/>
    <s v="LAZ002"/>
    <s v="LAY002"/>
    <n v="3239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9"/>
    <n v="9"/>
    <n v="0"/>
    <n v="0"/>
    <n v="9"/>
    <n v="0"/>
    <n v="9"/>
    <n v="0"/>
    <n v="0"/>
    <n v="0"/>
    <n v="0"/>
    <n v="9"/>
    <n v="9"/>
    <n v="0"/>
    <n v="0"/>
    <n v="9"/>
    <n v="0"/>
    <n v="0"/>
    <n v="0"/>
    <n v="9"/>
    <n v="0"/>
    <n v="0"/>
    <n v="0"/>
    <n v="9"/>
    <n v="0"/>
    <n v="0"/>
    <n v="0"/>
    <n v="0"/>
    <n v="0"/>
    <n v="0"/>
    <n v="0"/>
    <n v="0"/>
    <n v="0"/>
  </r>
  <r>
    <n v="373"/>
    <s v="000397312"/>
    <s v="あいの風とやま（西）"/>
    <m/>
    <m/>
    <s v="V8-4BH"/>
    <s v="VU-LB102"/>
    <s v="9909170-8"/>
    <s v="単体"/>
    <n v="0"/>
    <m/>
    <n v="7"/>
    <m/>
    <d v="2026-08-03T00:00:00"/>
    <d v="2026-07-31T00:00:00"/>
    <d v="2026-08-03T00:00:00"/>
    <m/>
    <m/>
    <s v="VU-LB102"/>
    <m/>
    <s v="V8"/>
    <x v="8"/>
    <n v="21427"/>
    <m/>
    <s v="LAZ102"/>
    <s v="LAY001"/>
    <m/>
    <m/>
    <m/>
    <m/>
    <n v="1277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7"/>
    <n v="7"/>
    <n v="0"/>
    <n v="0"/>
    <n v="7"/>
    <n v="0"/>
    <n v="0"/>
    <n v="7"/>
    <n v="0"/>
    <n v="0"/>
    <n v="7"/>
    <n v="0"/>
    <n v="7"/>
    <n v="0"/>
    <n v="0"/>
    <n v="7"/>
    <n v="0"/>
    <n v="0"/>
    <n v="0"/>
    <n v="7"/>
    <n v="0"/>
    <n v="0"/>
    <n v="0"/>
    <n v="7"/>
    <n v="0"/>
    <n v="0"/>
    <n v="0"/>
    <n v="0"/>
    <n v="0"/>
    <n v="0"/>
    <n v="0"/>
    <n v="0"/>
    <n v="0"/>
  </r>
  <r>
    <n v="368"/>
    <s v="000397591"/>
    <s v="JREM"/>
    <m/>
    <m/>
    <s v="JR東EV20総(IC専用)"/>
    <s v="3S2VU-RBS-0001"/>
    <s v="5346501-8"/>
    <s v="機器"/>
    <n v="0"/>
    <m/>
    <n v="3"/>
    <m/>
    <d v="2026-08-03T00:00:00"/>
    <d v="2026-07-31T00:00:00"/>
    <d v="2026-08-03T00:00:00"/>
    <m/>
    <m/>
    <s v="VU-LD091"/>
    <m/>
    <s v="V8"/>
    <x v="8"/>
    <n v="21428"/>
    <m/>
    <s v="LAZ201"/>
    <s v="LAY001"/>
    <m/>
    <m/>
    <m/>
    <m/>
    <m/>
    <m/>
    <n v="3542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3"/>
    <n v="3"/>
    <n v="0"/>
    <n v="0"/>
    <n v="3"/>
    <n v="0"/>
    <n v="0"/>
    <n v="0"/>
    <n v="3"/>
    <n v="0"/>
    <n v="3"/>
    <n v="0"/>
    <n v="0"/>
    <n v="0"/>
    <n v="3"/>
    <n v="0"/>
    <n v="0"/>
    <n v="0"/>
    <n v="3"/>
    <n v="0"/>
    <n v="0"/>
    <n v="0"/>
    <n v="3"/>
    <n v="3"/>
    <n v="0"/>
    <n v="0"/>
    <n v="0"/>
    <n v="0"/>
    <n v="0"/>
    <n v="0"/>
    <n v="0"/>
    <n v="0"/>
    <n v="0"/>
  </r>
  <r>
    <n v="367"/>
    <s v="000397593"/>
    <s v="JREM"/>
    <m/>
    <m/>
    <s v="JR東EV20総(多機能)"/>
    <s v="3S2VU-RBP-5003"/>
    <s v="3140524-0"/>
    <s v="機器"/>
    <n v="0"/>
    <m/>
    <n v="2"/>
    <m/>
    <d v="2026-08-03T00:00:00"/>
    <d v="2026-07-31T00:00:00"/>
    <d v="2026-08-03T00:00:00"/>
    <m/>
    <m/>
    <s v="VU-LD091"/>
    <m/>
    <s v="V8"/>
    <x v="8"/>
    <n v="21429"/>
    <m/>
    <s v="LAZ201"/>
    <s v="LAY001"/>
    <m/>
    <m/>
    <m/>
    <m/>
    <m/>
    <m/>
    <n v="3543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2"/>
    <n v="2"/>
    <n v="0"/>
    <n v="0"/>
    <n v="2"/>
    <n v="0"/>
    <n v="0"/>
    <n v="0"/>
    <n v="2"/>
    <n v="0"/>
    <n v="2"/>
    <n v="0"/>
    <n v="0"/>
    <n v="0"/>
    <n v="2"/>
    <n v="0"/>
    <n v="0"/>
    <n v="0"/>
    <n v="2"/>
    <n v="0"/>
    <n v="0"/>
    <n v="0"/>
    <n v="2"/>
    <n v="2"/>
    <n v="0"/>
    <n v="0"/>
    <n v="0"/>
    <n v="0"/>
    <n v="0"/>
    <n v="0"/>
    <n v="0"/>
    <n v="0"/>
    <n v="0"/>
  </r>
  <r>
    <n v="366"/>
    <s v="000397594"/>
    <s v="JREM"/>
    <m/>
    <m/>
    <s v="JR東EX20総（V）"/>
    <s v="3S2EU-RBP-0001"/>
    <s v="5647075-6"/>
    <s v="機器"/>
    <n v="0"/>
    <m/>
    <n v="1"/>
    <m/>
    <d v="2026-08-03T00:00:00"/>
    <d v="2026-07-31T00:00:00"/>
    <d v="2026-08-03T00:00:00"/>
    <m/>
    <m/>
    <s v="VU-LD091"/>
    <m/>
    <s v="V8"/>
    <x v="8"/>
    <n v="21430"/>
    <m/>
    <s v="LAZ201"/>
    <s v="LAY001"/>
    <m/>
    <m/>
    <m/>
    <m/>
    <m/>
    <m/>
    <n v="3544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365"/>
    <s v="000399600"/>
    <s v="JREM"/>
    <m/>
    <m/>
    <s v="東モノEX20総（V）"/>
    <s v="3S2EU-KRP-0001"/>
    <s v="5821604-0"/>
    <s v="機器"/>
    <n v="0"/>
    <m/>
    <n v="2"/>
    <m/>
    <d v="2026-08-03T00:00:00"/>
    <d v="2026-07-31T00:00:00"/>
    <d v="2026-08-03T00:00:00"/>
    <m/>
    <m/>
    <s v="VU-LD091"/>
    <m/>
    <s v="V8"/>
    <x v="8"/>
    <n v="21431"/>
    <m/>
    <s v="LAZ201"/>
    <s v="LAY001"/>
    <m/>
    <m/>
    <m/>
    <m/>
    <m/>
    <m/>
    <n v="3545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2"/>
    <n v="2"/>
    <n v="0"/>
    <n v="0"/>
    <n v="2"/>
    <n v="0"/>
    <n v="0"/>
    <n v="0"/>
    <n v="2"/>
    <n v="0"/>
    <n v="2"/>
    <n v="0"/>
    <n v="0"/>
    <n v="0"/>
    <n v="2"/>
    <n v="0"/>
    <n v="0"/>
    <n v="0"/>
    <n v="2"/>
    <n v="0"/>
    <n v="0"/>
    <n v="0"/>
    <n v="2"/>
    <n v="2"/>
    <n v="0"/>
    <n v="0"/>
    <n v="0"/>
    <n v="0"/>
    <n v="0"/>
    <n v="0"/>
    <n v="0"/>
    <n v="0"/>
    <n v="0"/>
  </r>
  <r>
    <n v="370"/>
    <s v="000397071"/>
    <s v="JR西"/>
    <s v="大和小泉"/>
    <m/>
    <s v="JR西FA70(EXV)"/>
    <s v="3S2EU-RDP-0001"/>
    <s v="2874359-3"/>
    <s v="機器"/>
    <n v="0"/>
    <m/>
    <n v="1"/>
    <m/>
    <d v="2026-08-03T00:00:00"/>
    <d v="2026-07-31T00:00:00"/>
    <d v="2026-08-03T00:00:00"/>
    <m/>
    <m/>
    <s v="VU-LB112"/>
    <m/>
    <s v="V8"/>
    <x v="8"/>
    <n v="21432"/>
    <m/>
    <s v="LAZ102"/>
    <s v="LAY001"/>
    <m/>
    <m/>
    <m/>
    <m/>
    <n v="1278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97"/>
    <s v="000397436"/>
    <s v="南海"/>
    <m/>
    <m/>
    <s v="南海V8(ﾏﾙﾁ)"/>
    <s v="3S2VU-FBP-5002"/>
    <s v="3690049-5"/>
    <s v="機器"/>
    <n v="0"/>
    <m/>
    <n v="6"/>
    <m/>
    <d v="2026-08-03T00:00:00"/>
    <d v="2026-07-31T00:00:00"/>
    <d v="2026-08-03T00:00:00"/>
    <m/>
    <m/>
    <s v="VU-LB106"/>
    <m/>
    <s v="V8"/>
    <x v="8"/>
    <n v="21433"/>
    <m/>
    <s v="LAZ101"/>
    <s v="LAY001"/>
    <m/>
    <m/>
    <m/>
    <n v="8236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6"/>
    <n v="6"/>
    <n v="0"/>
    <n v="0"/>
    <n v="6"/>
    <n v="0"/>
    <n v="6"/>
    <n v="0"/>
    <n v="0"/>
    <n v="0"/>
    <n v="6"/>
    <n v="0"/>
    <n v="6"/>
    <n v="0"/>
    <n v="0"/>
    <n v="6"/>
    <n v="0"/>
    <n v="0"/>
    <n v="0"/>
    <n v="6"/>
    <n v="0"/>
    <n v="0"/>
    <n v="0"/>
    <n v="6"/>
    <n v="0"/>
    <n v="0"/>
    <n v="0"/>
    <n v="0"/>
    <n v="0"/>
    <n v="0"/>
    <n v="0"/>
    <n v="0"/>
    <n v="0"/>
  </r>
  <r>
    <n v="402"/>
    <s v="000397213"/>
    <s v="JR西"/>
    <m/>
    <s v="VU-LB112"/>
    <s v="V8-4BH"/>
    <s v="VU-LB112"/>
    <s v="5613530-2"/>
    <s v="単体"/>
    <n v="0"/>
    <s v="M社クロス用BH"/>
    <n v="1"/>
    <m/>
    <d v="2026-09-01T00:00:00"/>
    <d v="2026-08-31T00:00:00"/>
    <d v="2026-09-01T00:00:00"/>
    <m/>
    <m/>
    <s v="VU-LB112"/>
    <m/>
    <s v="V8"/>
    <x v="9"/>
    <n v="21434"/>
    <m/>
    <s v="LAZ102"/>
    <s v="LAY001"/>
    <m/>
    <m/>
    <m/>
    <m/>
    <n v="1279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04"/>
    <s v="000397368"/>
    <s v="M社（Ｎ）"/>
    <m/>
    <s v="VU-LA004"/>
    <s v="V8-4BH"/>
    <s v="VU-LA004"/>
    <s v="1892581-2"/>
    <s v="単体"/>
    <n v="1"/>
    <m/>
    <n v="2"/>
    <m/>
    <d v="2026-09-01T00:00:00"/>
    <d v="2026-08-31T00:00:00"/>
    <d v="2026-09-01T00:00:00"/>
    <m/>
    <m/>
    <s v="VU-LA004"/>
    <m/>
    <s v="V8"/>
    <x v="9"/>
    <n v="21435"/>
    <m/>
    <s v="LAZ101"/>
    <s v="LAY001"/>
    <m/>
    <m/>
    <m/>
    <n v="8237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"/>
    <n v="2"/>
    <n v="0"/>
    <n v="0"/>
    <n v="2"/>
    <n v="0"/>
    <n v="2"/>
    <n v="0"/>
    <n v="0"/>
    <n v="0"/>
    <n v="0"/>
    <n v="2"/>
    <n v="2"/>
    <n v="0"/>
    <n v="0"/>
    <n v="2"/>
    <n v="0"/>
    <n v="0"/>
    <n v="0"/>
    <n v="2"/>
    <n v="0"/>
    <n v="0"/>
    <n v="0"/>
    <n v="2"/>
    <n v="0"/>
    <n v="0"/>
    <n v="0"/>
    <n v="0"/>
    <n v="0"/>
    <n v="0"/>
    <n v="0"/>
    <n v="0"/>
    <n v="0"/>
  </r>
  <r>
    <n v="405"/>
    <s v="000397379"/>
    <s v="N社（Ｎ）"/>
    <m/>
    <s v="VU-LA007"/>
    <s v="V8-4BH"/>
    <s v="VU-LA007"/>
    <s v="3251849-9"/>
    <s v="単体"/>
    <n v="1"/>
    <m/>
    <n v="8"/>
    <m/>
    <d v="2026-09-01T00:00:00"/>
    <d v="2026-08-31T00:00:00"/>
    <d v="2026-09-01T00:00:00"/>
    <m/>
    <m/>
    <s v="VU-LA007"/>
    <m/>
    <s v="V8"/>
    <x v="9"/>
    <n v="21436"/>
    <m/>
    <s v="LAZ002"/>
    <s v="LAY002"/>
    <n v="3240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8"/>
    <n v="8"/>
    <n v="0"/>
    <n v="0"/>
    <n v="8"/>
    <n v="0"/>
    <n v="8"/>
    <n v="0"/>
    <n v="0"/>
    <n v="0"/>
    <n v="0"/>
    <n v="8"/>
    <n v="8"/>
    <n v="0"/>
    <n v="0"/>
    <n v="8"/>
    <n v="0"/>
    <n v="0"/>
    <n v="0"/>
    <n v="8"/>
    <n v="0"/>
    <n v="0"/>
    <n v="0"/>
    <n v="8"/>
    <n v="0"/>
    <n v="0"/>
    <n v="0"/>
    <n v="0"/>
    <n v="0"/>
    <n v="0"/>
    <n v="0"/>
    <n v="0"/>
    <n v="0"/>
  </r>
  <r>
    <n v="403"/>
    <s v="000397072"/>
    <s v="JR西"/>
    <m/>
    <m/>
    <s v="JR西FA70(EXV)"/>
    <s v="3S2EU-RDP-0001"/>
    <s v="2874359-3"/>
    <s v="機器"/>
    <n v="0"/>
    <m/>
    <n v="3"/>
    <m/>
    <d v="2026-09-01T00:00:00"/>
    <d v="2026-08-31T00:00:00"/>
    <d v="2026-09-01T00:00:00"/>
    <m/>
    <m/>
    <s v="VU-LB112"/>
    <m/>
    <s v="V8"/>
    <x v="9"/>
    <n v="21437"/>
    <m/>
    <s v="LAZ102"/>
    <s v="LAY001"/>
    <m/>
    <m/>
    <m/>
    <m/>
    <n v="1280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"/>
    <n v="3"/>
    <n v="0"/>
    <n v="0"/>
    <n v="3"/>
    <n v="0"/>
    <n v="0"/>
    <n v="3"/>
    <n v="0"/>
    <n v="0"/>
    <n v="3"/>
    <n v="0"/>
    <n v="3"/>
    <n v="0"/>
    <n v="0"/>
    <n v="3"/>
    <n v="0"/>
    <n v="0"/>
    <n v="0"/>
    <n v="3"/>
    <n v="0"/>
    <n v="0"/>
    <n v="0"/>
    <n v="3"/>
    <n v="0"/>
    <n v="0"/>
    <n v="0"/>
    <n v="0"/>
    <n v="0"/>
    <n v="0"/>
    <n v="0"/>
    <n v="0"/>
    <n v="0"/>
  </r>
  <r>
    <n v="441"/>
    <s v="000397758"/>
    <s v="小田急"/>
    <m/>
    <m/>
    <s v="小田急V8EXV"/>
    <s v="3S2EU-FFP-0001"/>
    <s v="2840946-4"/>
    <s v="機器"/>
    <n v="0"/>
    <s v="はめこみ"/>
    <n v="5"/>
    <m/>
    <d v="2026-09-01T00:00:00"/>
    <d v="2026-08-31T00:00:00"/>
    <d v="2026-09-01T00:00:00"/>
    <m/>
    <m/>
    <s v="VU-LA012"/>
    <m/>
    <s v="V8"/>
    <x v="9"/>
    <n v="21438"/>
    <m/>
    <s v="LAZ101"/>
    <s v="LAY001"/>
    <m/>
    <m/>
    <m/>
    <n v="8238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5"/>
    <n v="5"/>
    <n v="0"/>
    <n v="0"/>
    <n v="5"/>
    <n v="0"/>
    <n v="5"/>
    <n v="0"/>
    <n v="0"/>
    <n v="0"/>
    <n v="0"/>
    <n v="5"/>
    <n v="5"/>
    <n v="0"/>
    <n v="0"/>
    <n v="5"/>
    <n v="0"/>
    <n v="0"/>
    <n v="0"/>
    <n v="5"/>
    <n v="0"/>
    <n v="0"/>
    <n v="0"/>
    <n v="5"/>
    <n v="0"/>
    <n v="0"/>
    <n v="0"/>
    <n v="0"/>
    <n v="0"/>
    <n v="0"/>
    <n v="0"/>
    <n v="0"/>
    <n v="0"/>
  </r>
  <r>
    <n v="442"/>
    <s v="000397759"/>
    <s v="小田急"/>
    <m/>
    <m/>
    <s v="小田急V8EXV"/>
    <s v="3S2EU-FFP-1001"/>
    <s v="2841859-5"/>
    <s v="機器"/>
    <n v="0"/>
    <s v="ｽﾀﾝﾄﾞ"/>
    <n v="1"/>
    <m/>
    <d v="2026-09-01T00:00:00"/>
    <d v="2026-08-31T00:00:00"/>
    <d v="2026-09-01T00:00:00"/>
    <m/>
    <m/>
    <s v="VU-LA012"/>
    <m/>
    <s v="V8"/>
    <x v="9"/>
    <n v="21439"/>
    <m/>
    <s v="LAZ101"/>
    <s v="LAY001"/>
    <m/>
    <m/>
    <m/>
    <n v="8239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64"/>
    <s v="000397369"/>
    <s v="N社（Ｎ）"/>
    <m/>
    <s v="VU-LB002"/>
    <s v="V8-4BH"/>
    <s v="VU-LB002"/>
    <s v="1889259-0"/>
    <s v="単体"/>
    <n v="1"/>
    <m/>
    <n v="10"/>
    <m/>
    <d v="2026-10-01T00:00:00"/>
    <d v="2026-09-30T00:00:00"/>
    <d v="2026-10-01T00:00:00"/>
    <m/>
    <m/>
    <s v="VU-LB002"/>
    <m/>
    <s v="V8"/>
    <x v="10"/>
    <n v="21440"/>
    <m/>
    <s v="LAZ002"/>
    <s v="LAY002"/>
    <n v="3241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0"/>
    <n v="10"/>
    <n v="0"/>
    <n v="0"/>
    <n v="10"/>
    <n v="0"/>
    <n v="10"/>
    <n v="0"/>
    <n v="0"/>
    <n v="0"/>
    <n v="10"/>
    <n v="0"/>
    <n v="10"/>
    <n v="0"/>
    <n v="0"/>
    <n v="10"/>
    <n v="0"/>
    <n v="0"/>
    <n v="0"/>
    <n v="10"/>
    <n v="0"/>
    <n v="0"/>
    <n v="0"/>
    <n v="10"/>
    <n v="0"/>
    <n v="0"/>
    <n v="0"/>
    <n v="0"/>
    <n v="0"/>
    <n v="0"/>
    <n v="0"/>
    <n v="0"/>
    <n v="0"/>
  </r>
  <r>
    <n v="463"/>
    <s v="000397380"/>
    <s v="N社（Ｎ）"/>
    <m/>
    <s v="VU-LA007"/>
    <s v="V8-4BH"/>
    <s v="VU-LA007"/>
    <s v="3251849-9"/>
    <s v="単体"/>
    <n v="1"/>
    <m/>
    <n v="17"/>
    <m/>
    <d v="2026-10-01T00:00:00"/>
    <d v="2026-09-30T00:00:00"/>
    <d v="2026-10-01T00:00:00"/>
    <m/>
    <m/>
    <s v="VU-LA007"/>
    <m/>
    <s v="V8"/>
    <x v="10"/>
    <n v="21441"/>
    <m/>
    <s v="LAZ002"/>
    <s v="LAY002"/>
    <n v="3242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7"/>
    <n v="17"/>
    <n v="0"/>
    <n v="0"/>
    <n v="17"/>
    <n v="0"/>
    <n v="17"/>
    <n v="0"/>
    <n v="0"/>
    <n v="0"/>
    <n v="0"/>
    <n v="17"/>
    <n v="17"/>
    <n v="0"/>
    <n v="0"/>
    <n v="17"/>
    <n v="0"/>
    <n v="0"/>
    <n v="0"/>
    <n v="17"/>
    <n v="0"/>
    <n v="0"/>
    <n v="0"/>
    <n v="17"/>
    <n v="0"/>
    <n v="0"/>
    <n v="0"/>
    <n v="0"/>
    <n v="0"/>
    <n v="0"/>
    <n v="0"/>
    <n v="0"/>
    <n v="0"/>
  </r>
  <r>
    <n v="465"/>
    <s v="000397384"/>
    <s v="N社（Ｎ）"/>
    <m/>
    <s v="VU-LC002"/>
    <s v="V8-4BH"/>
    <s v="VU-LC002"/>
    <s v="9709179-4"/>
    <s v="単体"/>
    <n v="1"/>
    <m/>
    <n v="12"/>
    <m/>
    <d v="2026-10-01T00:00:00"/>
    <d v="2026-09-30T00:00:00"/>
    <d v="2026-10-01T00:00:00"/>
    <m/>
    <m/>
    <s v="VU-LC002"/>
    <m/>
    <s v="V8"/>
    <x v="10"/>
    <n v="21442"/>
    <m/>
    <s v="LAZ002"/>
    <s v="LAY002"/>
    <n v="3243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2"/>
    <n v="12"/>
    <n v="0"/>
    <n v="0"/>
    <n v="12"/>
    <n v="0"/>
    <n v="12"/>
    <n v="0"/>
    <n v="0"/>
    <n v="0"/>
    <n v="0"/>
    <n v="12"/>
    <n v="0"/>
    <n v="0"/>
    <n v="12"/>
    <n v="0"/>
    <n v="0"/>
    <n v="0"/>
    <n v="12"/>
    <n v="0"/>
    <n v="0"/>
    <n v="0"/>
    <n v="12"/>
    <n v="12"/>
    <n v="0"/>
    <n v="0"/>
    <n v="0"/>
    <n v="0"/>
    <n v="0"/>
    <n v="0"/>
    <n v="0"/>
    <n v="0"/>
    <n v="0"/>
  </r>
  <r>
    <n v="544"/>
    <s v="000397365"/>
    <s v="M社（Ｎ）"/>
    <m/>
    <s v="VU-LA004"/>
    <s v="V8-4BH"/>
    <s v="VU-LA004"/>
    <s v="1892581-2"/>
    <s v="単体"/>
    <n v="1"/>
    <m/>
    <n v="4"/>
    <m/>
    <d v="2026-11-03T00:00:00"/>
    <d v="2026-11-02T00:00:00"/>
    <d v="2026-11-03T00:00:00"/>
    <m/>
    <m/>
    <s v="VU-LA004"/>
    <m/>
    <s v="V8"/>
    <x v="11"/>
    <n v="21443"/>
    <m/>
    <s v="LAZ101"/>
    <s v="LAY001"/>
    <m/>
    <m/>
    <m/>
    <n v="8240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4"/>
    <n v="0"/>
    <n v="0"/>
    <n v="0"/>
    <n v="0"/>
    <n v="4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n v="547"/>
    <s v="000397370"/>
    <s v="N社（Ｎ）"/>
    <m/>
    <s v="VU-LB002"/>
    <s v="V8-4BH"/>
    <s v="VU-LB002"/>
    <s v="1889259-0"/>
    <s v="単体"/>
    <n v="1"/>
    <m/>
    <n v="10"/>
    <m/>
    <d v="2026-11-04T00:00:00"/>
    <d v="2026-11-03T00:00:00"/>
    <d v="2026-11-04T00:00:00"/>
    <m/>
    <m/>
    <s v="VU-LB002"/>
    <m/>
    <s v="V8"/>
    <x v="11"/>
    <n v="21444"/>
    <m/>
    <s v="LAZ002"/>
    <s v="LAY002"/>
    <n v="3244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0"/>
    <n v="10"/>
    <n v="0"/>
    <n v="0"/>
    <n v="10"/>
    <n v="0"/>
    <n v="10"/>
    <n v="0"/>
    <n v="0"/>
    <n v="0"/>
    <n v="10"/>
    <n v="0"/>
    <n v="10"/>
    <n v="0"/>
    <n v="0"/>
    <n v="10"/>
    <n v="0"/>
    <n v="0"/>
    <n v="0"/>
    <n v="10"/>
    <n v="0"/>
    <n v="0"/>
    <n v="0"/>
    <n v="10"/>
    <n v="0"/>
    <n v="0"/>
    <n v="0"/>
    <n v="0"/>
    <n v="0"/>
    <n v="0"/>
    <n v="0"/>
    <n v="0"/>
    <n v="0"/>
  </r>
  <r>
    <n v="546"/>
    <s v="000397381"/>
    <s v="N社（Ｎ）"/>
    <m/>
    <s v="VU-LA007"/>
    <s v="V8-4BH"/>
    <s v="VU-LA007"/>
    <s v="3251849-9"/>
    <s v="単体"/>
    <n v="1"/>
    <m/>
    <n v="18"/>
    <m/>
    <d v="2026-11-04T00:00:00"/>
    <d v="2026-11-03T00:00:00"/>
    <d v="2026-11-04T00:00:00"/>
    <m/>
    <m/>
    <s v="VU-LA007"/>
    <m/>
    <s v="V8"/>
    <x v="11"/>
    <n v="21445"/>
    <m/>
    <s v="LAZ002"/>
    <s v="LAY002"/>
    <n v="3245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8"/>
    <n v="18"/>
    <n v="0"/>
    <n v="0"/>
    <n v="18"/>
    <n v="0"/>
    <n v="18"/>
    <n v="0"/>
    <n v="0"/>
    <n v="0"/>
    <n v="0"/>
    <n v="18"/>
    <n v="18"/>
    <n v="0"/>
    <n v="0"/>
    <n v="18"/>
    <n v="0"/>
    <n v="0"/>
    <n v="0"/>
    <n v="18"/>
    <n v="0"/>
    <n v="0"/>
    <n v="0"/>
    <n v="18"/>
    <n v="0"/>
    <n v="0"/>
    <n v="0"/>
    <n v="0"/>
    <n v="0"/>
    <n v="0"/>
    <n v="0"/>
    <n v="0"/>
    <n v="0"/>
  </r>
  <r>
    <n v="550"/>
    <s v="000397216"/>
    <s v="JR西"/>
    <m/>
    <s v="VU-LB112"/>
    <s v="V8-4BH"/>
    <s v="VU-LB112"/>
    <s v="5613530-2"/>
    <s v="単体"/>
    <n v="0"/>
    <s v="M社クロス用BH"/>
    <n v="1"/>
    <m/>
    <d v="2026-12-01T00:00:00"/>
    <d v="2026-11-30T00:00:00"/>
    <d v="2026-12-01T00:00:00"/>
    <m/>
    <m/>
    <s v="VU-LB112"/>
    <m/>
    <s v="V8"/>
    <x v="12"/>
    <n v="21446"/>
    <m/>
    <s v="LAZ102"/>
    <s v="LAY001"/>
    <m/>
    <m/>
    <m/>
    <m/>
    <n v="1281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52"/>
    <s v="000397363"/>
    <s v="M社（Ｎ）"/>
    <m/>
    <s v="VU-LB101"/>
    <s v="V8-4BH"/>
    <s v="VU-LB101"/>
    <s v="0184425-8"/>
    <s v="単体"/>
    <n v="1"/>
    <m/>
    <n v="3"/>
    <m/>
    <d v="2026-12-01T00:00:00"/>
    <d v="2026-11-30T00:00:00"/>
    <d v="2026-12-01T00:00:00"/>
    <m/>
    <m/>
    <s v="VU-LB101"/>
    <m/>
    <s v="V8"/>
    <x v="12"/>
    <n v="21447"/>
    <m/>
    <s v="LAZ101"/>
    <s v="LAY001"/>
    <m/>
    <m/>
    <m/>
    <n v="8241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"/>
    <n v="3"/>
    <n v="0"/>
    <n v="0"/>
    <n v="3"/>
    <n v="0"/>
    <n v="3"/>
    <n v="0"/>
    <n v="0"/>
    <n v="0"/>
    <n v="3"/>
    <n v="0"/>
    <n v="3"/>
    <n v="0"/>
    <n v="0"/>
    <n v="3"/>
    <n v="0"/>
    <n v="0"/>
    <n v="0"/>
    <n v="3"/>
    <n v="0"/>
    <n v="0"/>
    <n v="0"/>
    <n v="3"/>
    <n v="0"/>
    <n v="0"/>
    <n v="0"/>
    <n v="0"/>
    <n v="0"/>
    <n v="0"/>
    <n v="0"/>
    <n v="0"/>
    <n v="0"/>
  </r>
  <r>
    <n v="551"/>
    <s v="000397366"/>
    <s v="M社（Ｎ）"/>
    <m/>
    <s v="VU-LA004"/>
    <s v="V8-4BH"/>
    <s v="VU-LA004"/>
    <s v="1892581-2"/>
    <s v="単体"/>
    <n v="1"/>
    <m/>
    <n v="3"/>
    <m/>
    <d v="2026-12-01T00:00:00"/>
    <d v="2026-11-30T00:00:00"/>
    <d v="2026-12-01T00:00:00"/>
    <m/>
    <m/>
    <s v="VU-LA004"/>
    <m/>
    <s v="V8"/>
    <x v="12"/>
    <n v="21448"/>
    <m/>
    <s v="LAZ101"/>
    <s v="LAY001"/>
    <m/>
    <m/>
    <m/>
    <n v="8242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"/>
    <n v="3"/>
    <n v="0"/>
    <n v="0"/>
    <n v="3"/>
    <n v="0"/>
    <n v="3"/>
    <n v="0"/>
    <n v="0"/>
    <n v="0"/>
    <n v="0"/>
    <n v="3"/>
    <n v="3"/>
    <n v="0"/>
    <n v="0"/>
    <n v="3"/>
    <n v="0"/>
    <n v="0"/>
    <n v="0"/>
    <n v="3"/>
    <n v="0"/>
    <n v="0"/>
    <n v="0"/>
    <n v="3"/>
    <n v="0"/>
    <n v="0"/>
    <n v="0"/>
    <n v="0"/>
    <n v="0"/>
    <n v="0"/>
    <n v="0"/>
    <n v="0"/>
    <n v="0"/>
  </r>
  <r>
    <n v="553"/>
    <s v="000397371"/>
    <s v="N社（Ｎ）"/>
    <m/>
    <s v="VU-LB002"/>
    <s v="V8-4BH"/>
    <s v="VU-LB002"/>
    <s v="1889259-0"/>
    <s v="単体"/>
    <n v="1"/>
    <m/>
    <n v="20"/>
    <m/>
    <d v="2026-12-01T00:00:00"/>
    <d v="2026-11-30T00:00:00"/>
    <d v="2026-12-01T00:00:00"/>
    <m/>
    <m/>
    <s v="VU-LB002"/>
    <m/>
    <s v="V8"/>
    <x v="12"/>
    <n v="21449"/>
    <m/>
    <s v="LAZ002"/>
    <s v="LAY002"/>
    <n v="3246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0"/>
    <n v="20"/>
    <n v="0"/>
    <n v="0"/>
    <n v="20"/>
    <n v="0"/>
    <n v="20"/>
    <n v="0"/>
    <n v="0"/>
    <n v="0"/>
    <n v="20"/>
    <n v="0"/>
    <n v="20"/>
    <n v="0"/>
    <n v="0"/>
    <n v="20"/>
    <n v="0"/>
    <n v="0"/>
    <n v="0"/>
    <n v="20"/>
    <n v="0"/>
    <n v="0"/>
    <n v="0"/>
    <n v="20"/>
    <n v="0"/>
    <n v="0"/>
    <n v="0"/>
    <n v="0"/>
    <n v="0"/>
    <n v="0"/>
    <n v="0"/>
    <n v="0"/>
    <n v="0"/>
  </r>
  <r>
    <n v="575"/>
    <s v="000397364"/>
    <s v="M社（Ｎ）"/>
    <m/>
    <s v="VU-LB101"/>
    <s v="V8-4BH"/>
    <s v="VU-LB101"/>
    <s v="0184425-8"/>
    <s v="単体"/>
    <n v="1"/>
    <m/>
    <n v="11"/>
    <m/>
    <d v="2027-01-01T00:00:00"/>
    <d v="2026-12-31T00:00:00"/>
    <d v="2027-01-01T00:00:00"/>
    <m/>
    <m/>
    <s v="VU-LB101"/>
    <m/>
    <s v="V8"/>
    <x v="13"/>
    <n v="21450"/>
    <m/>
    <s v="LAZ101"/>
    <s v="LAY001"/>
    <m/>
    <m/>
    <m/>
    <n v="8243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1"/>
    <n v="11"/>
    <n v="0"/>
    <n v="0"/>
    <n v="11"/>
    <n v="0"/>
    <n v="11"/>
    <n v="0"/>
    <n v="0"/>
    <n v="0"/>
    <n v="11"/>
    <n v="0"/>
    <n v="11"/>
    <n v="0"/>
    <n v="0"/>
    <n v="11"/>
    <n v="0"/>
    <n v="0"/>
    <n v="0"/>
    <n v="11"/>
    <n v="0"/>
    <n v="0"/>
    <n v="0"/>
    <n v="11"/>
    <n v="0"/>
    <n v="0"/>
    <n v="0"/>
    <n v="0"/>
    <n v="0"/>
    <n v="0"/>
    <n v="0"/>
    <n v="0"/>
    <n v="0"/>
  </r>
  <r>
    <n v="579"/>
    <s v="000397367"/>
    <s v="M社（Ｎ）"/>
    <m/>
    <s v="VU-LA004"/>
    <s v="V8-4BH"/>
    <s v="VU-LA004"/>
    <s v="1892581-2"/>
    <s v="単体"/>
    <n v="1"/>
    <m/>
    <n v="35"/>
    <m/>
    <d v="2027-01-04T00:00:00"/>
    <d v="2027-01-01T00:00:00"/>
    <d v="2027-01-04T00:00:00"/>
    <m/>
    <m/>
    <s v="VU-LA004"/>
    <m/>
    <s v="V8"/>
    <x v="13"/>
    <n v="21451"/>
    <m/>
    <s v="LAZ101"/>
    <s v="LAY001"/>
    <m/>
    <m/>
    <m/>
    <n v="8244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5"/>
    <n v="35"/>
    <n v="0"/>
    <n v="0"/>
    <n v="35"/>
    <n v="0"/>
    <n v="35"/>
    <n v="0"/>
    <n v="0"/>
    <n v="0"/>
    <n v="0"/>
    <n v="35"/>
    <n v="35"/>
    <n v="0"/>
    <n v="0"/>
    <n v="35"/>
    <n v="0"/>
    <n v="0"/>
    <n v="0"/>
    <n v="35"/>
    <n v="0"/>
    <n v="0"/>
    <n v="0"/>
    <n v="35"/>
    <n v="0"/>
    <n v="0"/>
    <n v="0"/>
    <n v="0"/>
    <n v="0"/>
    <n v="0"/>
    <n v="0"/>
    <n v="0"/>
    <n v="0"/>
  </r>
  <r>
    <n v="581"/>
    <s v="000397372"/>
    <s v="N社（Ｎ）"/>
    <m/>
    <s v="VU-LB002"/>
    <s v="V8-4BH"/>
    <s v="VU-LB002"/>
    <s v="1889259-0"/>
    <s v="単体"/>
    <n v="1"/>
    <m/>
    <n v="20"/>
    <m/>
    <d v="2027-01-04T00:00:00"/>
    <d v="2027-01-01T00:00:00"/>
    <d v="2027-01-04T00:00:00"/>
    <m/>
    <m/>
    <s v="VU-LB002"/>
    <m/>
    <s v="V8"/>
    <x v="13"/>
    <n v="21452"/>
    <m/>
    <s v="LAZ002"/>
    <s v="LAY002"/>
    <n v="3247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0"/>
    <n v="20"/>
    <n v="0"/>
    <n v="0"/>
    <n v="20"/>
    <n v="0"/>
    <n v="20"/>
    <n v="0"/>
    <n v="0"/>
    <n v="0"/>
    <n v="20"/>
    <n v="0"/>
    <n v="20"/>
    <n v="0"/>
    <n v="0"/>
    <n v="20"/>
    <n v="0"/>
    <n v="0"/>
    <n v="0"/>
    <n v="20"/>
    <n v="0"/>
    <n v="0"/>
    <n v="0"/>
    <n v="20"/>
    <n v="0"/>
    <n v="0"/>
    <n v="0"/>
    <n v="0"/>
    <n v="0"/>
    <n v="0"/>
    <n v="0"/>
    <n v="0"/>
    <n v="0"/>
  </r>
  <r>
    <n v="580"/>
    <s v="000397382"/>
    <s v="N社（Ｎ）"/>
    <m/>
    <s v="VU-LA007"/>
    <s v="V8-4BH"/>
    <s v="VU-LA007"/>
    <s v="3251849-9"/>
    <s v="単体"/>
    <n v="1"/>
    <m/>
    <n v="2"/>
    <m/>
    <d v="2027-01-04T00:00:00"/>
    <d v="2027-01-01T00:00:00"/>
    <d v="2027-01-04T00:00:00"/>
    <m/>
    <m/>
    <s v="VU-LA007"/>
    <m/>
    <s v="V8"/>
    <x v="13"/>
    <n v="21453"/>
    <m/>
    <s v="LAZ002"/>
    <s v="LAY002"/>
    <n v="3248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"/>
    <n v="2"/>
    <n v="0"/>
    <n v="0"/>
    <n v="2"/>
    <n v="0"/>
    <n v="2"/>
    <n v="0"/>
    <n v="0"/>
    <n v="0"/>
    <n v="0"/>
    <n v="2"/>
    <n v="2"/>
    <n v="0"/>
    <n v="0"/>
    <n v="2"/>
    <n v="0"/>
    <n v="0"/>
    <n v="0"/>
    <n v="2"/>
    <n v="0"/>
    <n v="0"/>
    <n v="0"/>
    <n v="2"/>
    <n v="0"/>
    <n v="0"/>
    <n v="0"/>
    <n v="0"/>
    <n v="0"/>
    <n v="0"/>
    <n v="0"/>
    <n v="0"/>
    <n v="0"/>
  </r>
  <r>
    <n v="582"/>
    <s v="000397385"/>
    <s v="N社（Ｎ）"/>
    <m/>
    <s v="VU-LC002"/>
    <s v="V8-4BH"/>
    <s v="VU-LC002"/>
    <s v="9709179-4"/>
    <s v="単体"/>
    <n v="1"/>
    <m/>
    <n v="14"/>
    <m/>
    <d v="2027-01-04T00:00:00"/>
    <d v="2027-01-01T00:00:00"/>
    <d v="2027-01-04T00:00:00"/>
    <m/>
    <m/>
    <s v="VU-LC002"/>
    <m/>
    <s v="V8"/>
    <x v="13"/>
    <n v="21454"/>
    <m/>
    <s v="LAZ002"/>
    <s v="LAY002"/>
    <n v="3249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4"/>
    <n v="14"/>
    <n v="0"/>
    <n v="0"/>
    <n v="14"/>
    <n v="0"/>
    <n v="14"/>
    <n v="0"/>
    <n v="0"/>
    <n v="0"/>
    <n v="0"/>
    <n v="14"/>
    <n v="0"/>
    <n v="0"/>
    <n v="14"/>
    <n v="0"/>
    <n v="0"/>
    <n v="0"/>
    <n v="14"/>
    <n v="0"/>
    <n v="0"/>
    <n v="0"/>
    <n v="14"/>
    <n v="14"/>
    <n v="0"/>
    <n v="0"/>
    <n v="0"/>
    <n v="0"/>
    <n v="0"/>
    <n v="0"/>
    <n v="0"/>
    <n v="0"/>
    <n v="0"/>
  </r>
  <r>
    <n v="602"/>
    <s v="000397076"/>
    <s v="JR西"/>
    <m/>
    <m/>
    <s v="JR西FA70(EXV)"/>
    <s v="3S2EU-RDP-0001"/>
    <s v="2874359-3"/>
    <s v="機器"/>
    <n v="0"/>
    <m/>
    <n v="1"/>
    <m/>
    <d v="2027-01-05T00:00:00"/>
    <d v="2027-01-04T00:00:00"/>
    <d v="2027-01-05T00:00:00"/>
    <m/>
    <m/>
    <s v="VU-LB112"/>
    <m/>
    <s v="V8"/>
    <x v="13"/>
    <n v="21455"/>
    <m/>
    <s v="LAZ102"/>
    <s v="LAY001"/>
    <m/>
    <m/>
    <m/>
    <m/>
    <n v="1282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607"/>
    <s v="000397373"/>
    <s v="N社（Ｎ）"/>
    <m/>
    <s v="VU-LB002"/>
    <s v="V8-4BH"/>
    <s v="VU-LB002"/>
    <s v="1889259-0"/>
    <s v="単体"/>
    <n v="1"/>
    <m/>
    <n v="20"/>
    <m/>
    <d v="2027-02-01T00:00:00"/>
    <d v="2027-01-29T00:00:00"/>
    <d v="2027-02-01T00:00:00"/>
    <m/>
    <m/>
    <s v="VU-LB002"/>
    <m/>
    <s v="V8"/>
    <x v="14"/>
    <n v="21456"/>
    <m/>
    <s v="LAZ002"/>
    <s v="LAY002"/>
    <n v="3250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0"/>
    <n v="20"/>
    <n v="0"/>
    <n v="0"/>
    <n v="20"/>
    <n v="0"/>
    <n v="20"/>
    <n v="0"/>
    <n v="0"/>
    <n v="0"/>
    <n v="20"/>
    <n v="0"/>
    <n v="20"/>
    <n v="0"/>
    <n v="0"/>
    <n v="20"/>
    <n v="0"/>
    <n v="0"/>
    <n v="0"/>
    <n v="20"/>
    <n v="0"/>
    <n v="0"/>
    <n v="0"/>
    <n v="20"/>
    <n v="0"/>
    <n v="0"/>
    <n v="0"/>
    <n v="0"/>
    <n v="0"/>
    <n v="0"/>
    <n v="0"/>
    <n v="0"/>
    <n v="0"/>
  </r>
  <r>
    <n v="606"/>
    <s v="000397383"/>
    <s v="N社（Ｎ）"/>
    <m/>
    <s v="VU-LA007"/>
    <s v="V8-4BH"/>
    <s v="VU-LA007"/>
    <s v="3251849-9"/>
    <s v="単体"/>
    <n v="1"/>
    <m/>
    <n v="39"/>
    <m/>
    <d v="2027-02-01T00:00:00"/>
    <d v="2027-01-29T00:00:00"/>
    <d v="2027-02-01T00:00:00"/>
    <m/>
    <m/>
    <s v="VU-LA007"/>
    <m/>
    <s v="V8"/>
    <x v="14"/>
    <n v="21457"/>
    <m/>
    <s v="LAZ002"/>
    <s v="LAY002"/>
    <n v="3251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9"/>
    <n v="39"/>
    <n v="0"/>
    <n v="0"/>
    <n v="39"/>
    <n v="0"/>
    <n v="39"/>
    <n v="0"/>
    <n v="0"/>
    <n v="0"/>
    <n v="0"/>
    <n v="39"/>
    <n v="39"/>
    <n v="0"/>
    <n v="0"/>
    <n v="39"/>
    <n v="0"/>
    <n v="0"/>
    <n v="0"/>
    <n v="39"/>
    <n v="0"/>
    <n v="0"/>
    <n v="0"/>
    <n v="39"/>
    <n v="0"/>
    <n v="0"/>
    <n v="0"/>
    <n v="0"/>
    <n v="0"/>
    <n v="0"/>
    <n v="0"/>
    <n v="0"/>
    <n v="0"/>
  </r>
  <r>
    <n v="608"/>
    <s v="000397386"/>
    <s v="N社（Ｎ）"/>
    <m/>
    <s v="VU-LC002"/>
    <s v="V8-4BH"/>
    <s v="VU-LC002"/>
    <s v="9709179-4"/>
    <s v="単体"/>
    <n v="1"/>
    <m/>
    <n v="1"/>
    <m/>
    <d v="2027-02-01T00:00:00"/>
    <d v="2027-01-29T00:00:00"/>
    <d v="2027-02-01T00:00:00"/>
    <m/>
    <m/>
    <s v="VU-LC002"/>
    <m/>
    <s v="V8"/>
    <x v="14"/>
    <n v="21458"/>
    <m/>
    <s v="LAZ002"/>
    <s v="LAY002"/>
    <n v="3252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611"/>
    <s v="000397374"/>
    <s v="N社（Ｎ）"/>
    <m/>
    <s v="VU-LB002"/>
    <s v="V8-4BH"/>
    <s v="VU-LB002"/>
    <s v="1889259-0"/>
    <s v="単体"/>
    <n v="1"/>
    <m/>
    <n v="25"/>
    <m/>
    <d v="2027-03-01T00:00:00"/>
    <d v="2027-02-26T00:00:00"/>
    <d v="2027-03-01T00:00:00"/>
    <m/>
    <m/>
    <s v="VU-LB002"/>
    <m/>
    <s v="V8"/>
    <x v="15"/>
    <n v="21459"/>
    <m/>
    <s v="LAZ002"/>
    <s v="LAY002"/>
    <n v="3253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5"/>
    <n v="25"/>
    <n v="0"/>
    <n v="0"/>
    <n v="25"/>
    <n v="0"/>
    <n v="25"/>
    <n v="0"/>
    <n v="0"/>
    <n v="0"/>
    <n v="25"/>
    <n v="0"/>
    <n v="25"/>
    <n v="0"/>
    <n v="0"/>
    <n v="25"/>
    <n v="0"/>
    <n v="0"/>
    <n v="0"/>
    <n v="25"/>
    <n v="0"/>
    <n v="0"/>
    <n v="0"/>
    <n v="25"/>
    <n v="0"/>
    <n v="0"/>
    <n v="0"/>
    <n v="0"/>
    <n v="0"/>
    <n v="0"/>
    <n v="0"/>
    <n v="0"/>
    <n v="0"/>
  </r>
  <r>
    <n v="620"/>
    <s v="000397375"/>
    <s v="N社（Ｎ）"/>
    <m/>
    <s v="VU-LB002"/>
    <s v="V8-4BH"/>
    <s v="VU-LB002"/>
    <s v="1889259-0"/>
    <s v="単体"/>
    <n v="1"/>
    <m/>
    <n v="25"/>
    <m/>
    <d v="2027-04-06T00:00:00"/>
    <d v="2027-04-05T00:00:00"/>
    <d v="2027-04-06T00:00:00"/>
    <m/>
    <m/>
    <s v="VU-LB002"/>
    <m/>
    <s v="V8"/>
    <x v="16"/>
    <n v="21460"/>
    <m/>
    <s v="LAZ002"/>
    <s v="LAY002"/>
    <n v="3254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5"/>
    <n v="25"/>
    <n v="0"/>
    <n v="0"/>
    <n v="25"/>
    <n v="0"/>
    <n v="25"/>
    <n v="0"/>
    <n v="0"/>
    <n v="0"/>
    <n v="25"/>
    <n v="0"/>
    <n v="25"/>
    <n v="0"/>
    <n v="0"/>
    <n v="25"/>
    <n v="0"/>
    <n v="0"/>
    <n v="0"/>
    <n v="25"/>
    <n v="0"/>
    <n v="0"/>
    <n v="0"/>
    <n v="25"/>
    <n v="0"/>
    <n v="0"/>
    <n v="0"/>
    <n v="0"/>
    <n v="0"/>
    <n v="0"/>
    <n v="0"/>
    <n v="0"/>
    <n v="0"/>
  </r>
  <r>
    <n v="55"/>
    <s v="000391786"/>
    <s v="JRS"/>
    <m/>
    <s v="YB-LA002"/>
    <s v="V9-BH"/>
    <s v="YB-LA002"/>
    <s v="3655124-5"/>
    <s v="単体"/>
    <n v="1"/>
    <m/>
    <n v="1"/>
    <d v="2025-12-17T00:00:00"/>
    <d v="2026-01-05T00:00:00"/>
    <d v="2025-12-26T00:00:00"/>
    <d v="2025-12-26T00:00:00"/>
    <m/>
    <s v="MC-51813"/>
    <s v="YB-LA002"/>
    <m/>
    <s v="V9"/>
    <x v="1"/>
    <n v="1442"/>
    <m/>
    <m/>
    <m/>
    <m/>
    <n v="583"/>
    <m/>
    <n v="53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53"/>
    <s v="000391788"/>
    <s v="JRS"/>
    <m/>
    <s v="YB-LA002"/>
    <s v="V9-BH"/>
    <s v="YB-LA002"/>
    <s v="3655124-5"/>
    <s v="単体"/>
    <n v="1"/>
    <m/>
    <n v="1"/>
    <d v="2025-12-17T00:00:00"/>
    <d v="2026-01-05T00:00:00"/>
    <d v="2025-12-26T00:00:00"/>
    <d v="2025-12-26T00:00:00"/>
    <m/>
    <s v="MC-51814"/>
    <s v="YB-LA002"/>
    <m/>
    <s v="V9"/>
    <x v="1"/>
    <n v="1443"/>
    <m/>
    <m/>
    <m/>
    <m/>
    <n v="584"/>
    <m/>
    <n v="531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54"/>
    <s v="000391787"/>
    <s v="JRS"/>
    <m/>
    <s v="YB-LA002"/>
    <s v="V9-BH"/>
    <s v="YB-LA002"/>
    <s v="3655124-5"/>
    <s v="単体"/>
    <n v="1"/>
    <m/>
    <n v="1"/>
    <d v="2025-12-17T00:00:00"/>
    <d v="2026-01-05T00:00:00"/>
    <d v="2025-12-26T00:00:00"/>
    <d v="2025-12-26T00:00:00"/>
    <m/>
    <s v="MC-51815"/>
    <s v="YB-LA002"/>
    <m/>
    <s v="V9"/>
    <x v="1"/>
    <n v="1444"/>
    <m/>
    <m/>
    <m/>
    <m/>
    <n v="585"/>
    <m/>
    <n v="532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74"/>
    <s v="000382813"/>
    <s v="つくば"/>
    <s v="台東試験場"/>
    <s v="秋葉原(本屋)"/>
    <s v="つくばV9ﾏﾙﾁ"/>
    <s v="3S2YB-LFP-5001"/>
    <s v="5842833-1"/>
    <s v="機器"/>
    <n v="1"/>
    <m/>
    <n v="1"/>
    <d v="2025-12-17T00:00:00"/>
    <d v="2026-01-05T00:00:00"/>
    <d v="2025-12-26T00:00:00"/>
    <d v="2026-01-07T00:00:00"/>
    <m/>
    <s v="VV-26774"/>
    <s v="YB-LA001"/>
    <m/>
    <s v="V9"/>
    <x v="1"/>
    <n v="1445"/>
    <m/>
    <m/>
    <m/>
    <n v="863"/>
    <m/>
    <n v="9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59"/>
    <s v="000393970"/>
    <s v="JRS"/>
    <m/>
    <s v="YB-LA002"/>
    <s v="V9-BH"/>
    <s v="YB-LA002"/>
    <s v="3655124-5"/>
    <s v="単体"/>
    <n v="1"/>
    <m/>
    <n v="1"/>
    <d v="2025-12-18T00:00:00"/>
    <d v="2026-01-06T00:00:00"/>
    <d v="2026-01-05T00:00:00"/>
    <d v="2026-01-05T00:00:00"/>
    <m/>
    <s v="MC-51819"/>
    <s v="YB-LA002"/>
    <m/>
    <s v="V9"/>
    <x v="1"/>
    <n v="1446"/>
    <m/>
    <m/>
    <m/>
    <m/>
    <n v="586"/>
    <m/>
    <n v="533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61"/>
    <s v="000393978"/>
    <s v="JRS"/>
    <m/>
    <s v="YB-LA002"/>
    <s v="V9-BH"/>
    <s v="YB-LA002"/>
    <s v="3655124-5"/>
    <s v="単体"/>
    <n v="1"/>
    <m/>
    <n v="1"/>
    <d v="2025-12-18T00:00:00"/>
    <d v="2026-01-06T00:00:00"/>
    <d v="2026-01-05T00:00:00"/>
    <d v="2026-01-05T00:00:00"/>
    <m/>
    <s v="MC-51820"/>
    <s v="YB-LA002"/>
    <m/>
    <s v="V9"/>
    <x v="1"/>
    <n v="1447"/>
    <m/>
    <m/>
    <m/>
    <m/>
    <n v="587"/>
    <m/>
    <n v="534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60"/>
    <s v="000393968"/>
    <s v="JRS"/>
    <m/>
    <s v="YB-LA002"/>
    <s v="V9-BH"/>
    <s v="YB-LA002"/>
    <s v="3655124-5"/>
    <s v="単体"/>
    <n v="1"/>
    <m/>
    <n v="1"/>
    <d v="2025-12-18T00:00:00"/>
    <d v="2026-01-06T00:00:00"/>
    <d v="2026-01-05T00:00:00"/>
    <d v="2026-01-05T00:00:00"/>
    <m/>
    <s v="MC-51821"/>
    <s v="YB-LA002"/>
    <m/>
    <s v="V9"/>
    <x v="1"/>
    <n v="1448"/>
    <m/>
    <m/>
    <m/>
    <m/>
    <n v="588"/>
    <m/>
    <n v="535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58"/>
    <s v="000371222"/>
    <s v="JRS"/>
    <m/>
    <s v="YB-LA002"/>
    <s v="V9-BH"/>
    <s v="YB-LA002"/>
    <s v="3655124-5"/>
    <s v="単体"/>
    <n v="1"/>
    <m/>
    <n v="1"/>
    <d v="2025-12-18T00:00:00"/>
    <d v="2026-01-06T00:00:00"/>
    <d v="2026-01-05T00:00:00"/>
    <d v="2026-01-05T00:00:00"/>
    <m/>
    <s v="MC-51822"/>
    <s v="YB-LA002"/>
    <m/>
    <s v="V9"/>
    <x v="1"/>
    <n v="1449"/>
    <m/>
    <m/>
    <m/>
    <m/>
    <n v="589"/>
    <m/>
    <n v="536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65"/>
    <s v="000393973"/>
    <s v="JRS"/>
    <m/>
    <s v="YB-LA002"/>
    <s v="V9-BH"/>
    <s v="YB-LA002"/>
    <s v="3655124-5"/>
    <s v="単体"/>
    <n v="1"/>
    <m/>
    <n v="1"/>
    <d v="2025-12-19T00:00:00"/>
    <d v="2026-01-07T00:00:00"/>
    <d v="2026-01-06T00:00:00"/>
    <d v="2026-01-06T00:00:00"/>
    <m/>
    <s v="MC-51827"/>
    <s v="YB-LA002"/>
    <m/>
    <s v="V9"/>
    <x v="1"/>
    <n v="1450"/>
    <m/>
    <m/>
    <m/>
    <m/>
    <n v="590"/>
    <m/>
    <n v="537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66"/>
    <s v="000393969"/>
    <s v="JRS"/>
    <m/>
    <s v="YB-LA002"/>
    <s v="V9-BH"/>
    <s v="YB-LA002"/>
    <s v="3655124-5"/>
    <s v="単体"/>
    <n v="1"/>
    <m/>
    <n v="1"/>
    <d v="2025-12-19T00:00:00"/>
    <d v="2026-01-07T00:00:00"/>
    <d v="2026-01-06T00:00:00"/>
    <d v="2026-01-06T00:00:00"/>
    <m/>
    <s v="MC-51828"/>
    <s v="YB-LA002"/>
    <m/>
    <s v="V9"/>
    <x v="1"/>
    <n v="1451"/>
    <m/>
    <m/>
    <m/>
    <m/>
    <n v="591"/>
    <m/>
    <n v="538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67"/>
    <s v="000393977"/>
    <s v="JRS"/>
    <m/>
    <s v="YB-LA002"/>
    <s v="V9-BH"/>
    <s v="YB-LA002"/>
    <s v="3655124-5"/>
    <s v="単体"/>
    <n v="1"/>
    <m/>
    <n v="1"/>
    <d v="2025-12-19T00:00:00"/>
    <d v="2026-01-07T00:00:00"/>
    <d v="2026-01-06T00:00:00"/>
    <d v="2026-01-06T00:00:00"/>
    <m/>
    <s v="MC-51829"/>
    <s v="YB-LA002"/>
    <m/>
    <s v="V9"/>
    <x v="1"/>
    <n v="1452"/>
    <m/>
    <m/>
    <m/>
    <m/>
    <n v="592"/>
    <m/>
    <n v="539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64"/>
    <s v="000393975"/>
    <s v="JRS"/>
    <m/>
    <s v="YB-LA002"/>
    <s v="V9-BH"/>
    <s v="YB-LA002"/>
    <s v="3655124-5"/>
    <s v="単体"/>
    <n v="1"/>
    <m/>
    <n v="1"/>
    <d v="2025-12-19T00:00:00"/>
    <d v="2026-01-07T00:00:00"/>
    <d v="2026-01-06T00:00:00"/>
    <d v="2026-01-06T00:00:00"/>
    <m/>
    <s v="MC-51830"/>
    <s v="YB-LA002"/>
    <m/>
    <s v="V9"/>
    <x v="1"/>
    <n v="1453"/>
    <m/>
    <m/>
    <m/>
    <m/>
    <n v="593"/>
    <m/>
    <n v="54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85"/>
    <s v="000371421"/>
    <s v="小田急"/>
    <s v="海老名"/>
    <m/>
    <s v="小田急V9"/>
    <s v="3S2YB-FFP-5001"/>
    <s v="5831921-4"/>
    <s v="機器"/>
    <n v="1"/>
    <m/>
    <n v="1"/>
    <d v="2025-12-19T00:00:00"/>
    <d v="2026-01-07T00:00:00"/>
    <d v="2026-01-06T00:00:00"/>
    <d v="2026-01-09T00:00:00"/>
    <m/>
    <s v="VV-26778"/>
    <s v="YB-LA001"/>
    <m/>
    <s v="V9"/>
    <x v="1"/>
    <n v="1454"/>
    <m/>
    <m/>
    <m/>
    <n v="864"/>
    <m/>
    <n v="9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6"/>
    <s v="000386085"/>
    <s v="小田急"/>
    <s v="喜多見研修センター"/>
    <m/>
    <s v="小田急V9"/>
    <s v="3S2YB-FFP-5001"/>
    <s v="5831921-4"/>
    <s v="機器"/>
    <n v="1"/>
    <m/>
    <n v="1"/>
    <d v="2025-12-19T00:00:00"/>
    <d v="2026-01-07T00:00:00"/>
    <d v="2026-01-06T00:00:00"/>
    <d v="2026-01-09T00:00:00"/>
    <m/>
    <s v="VV-26779"/>
    <s v="YB-LA001"/>
    <m/>
    <s v="V9"/>
    <x v="1"/>
    <n v="1455"/>
    <m/>
    <m/>
    <m/>
    <n v="865"/>
    <m/>
    <n v="9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3"/>
    <s v="000393979"/>
    <s v="JRS"/>
    <m/>
    <s v="YB-LA002"/>
    <s v="V9-BH"/>
    <s v="YB-LA002"/>
    <s v="3655124-5"/>
    <s v="単体"/>
    <n v="1"/>
    <m/>
    <n v="1"/>
    <d v="2025-12-22T00:00:00"/>
    <d v="2026-01-08T00:00:00"/>
    <d v="2026-01-07T00:00:00"/>
    <d v="2026-01-07T00:00:00"/>
    <m/>
    <s v="MC-51835"/>
    <s v="YB-LA002"/>
    <m/>
    <s v="V9"/>
    <x v="1"/>
    <n v="1456"/>
    <m/>
    <m/>
    <m/>
    <m/>
    <n v="594"/>
    <m/>
    <n v="541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71"/>
    <s v="000393974"/>
    <s v="JRS"/>
    <m/>
    <s v="YB-LA002"/>
    <s v="V9-BH"/>
    <s v="YB-LA002"/>
    <s v="3655124-5"/>
    <s v="単体"/>
    <n v="1"/>
    <m/>
    <n v="1"/>
    <d v="2025-12-22T00:00:00"/>
    <d v="2026-01-08T00:00:00"/>
    <d v="2026-01-07T00:00:00"/>
    <d v="2026-01-07T00:00:00"/>
    <m/>
    <s v="MC-51836"/>
    <s v="YB-LA002"/>
    <m/>
    <s v="V9"/>
    <x v="1"/>
    <n v="1457"/>
    <m/>
    <m/>
    <m/>
    <m/>
    <n v="595"/>
    <m/>
    <n v="542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72"/>
    <s v="000393976"/>
    <s v="JRS"/>
    <m/>
    <s v="YB-LA002"/>
    <s v="V9-BH"/>
    <s v="YB-LA002"/>
    <s v="3655124-5"/>
    <s v="単体"/>
    <n v="1"/>
    <m/>
    <n v="1"/>
    <d v="2025-12-22T00:00:00"/>
    <d v="2026-01-08T00:00:00"/>
    <d v="2026-01-07T00:00:00"/>
    <d v="2026-01-07T00:00:00"/>
    <m/>
    <s v="MC-51837"/>
    <s v="YB-LA002"/>
    <m/>
    <s v="V9"/>
    <x v="1"/>
    <n v="1458"/>
    <m/>
    <m/>
    <m/>
    <m/>
    <n v="596"/>
    <m/>
    <n v="543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70"/>
    <s v="000393980"/>
    <s v="JRS"/>
    <m/>
    <s v="YB-LA002"/>
    <s v="V9-BH"/>
    <s v="YB-LA002"/>
    <s v="3655124-5"/>
    <s v="単体"/>
    <n v="1"/>
    <m/>
    <n v="1"/>
    <d v="2025-12-22T00:00:00"/>
    <d v="2026-01-08T00:00:00"/>
    <d v="2026-01-07T00:00:00"/>
    <d v="2026-01-07T00:00:00"/>
    <m/>
    <s v="MC-51838"/>
    <s v="YB-LA002"/>
    <m/>
    <s v="V9"/>
    <x v="1"/>
    <n v="1459"/>
    <m/>
    <m/>
    <m/>
    <m/>
    <n v="597"/>
    <m/>
    <n v="544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77"/>
    <s v="000393971"/>
    <s v="JRS"/>
    <m/>
    <s v="YB-LA002"/>
    <s v="V9-BH"/>
    <s v="YB-LA002"/>
    <s v="3655124-5"/>
    <s v="単体"/>
    <n v="1"/>
    <m/>
    <n v="1"/>
    <d v="2025-12-23T00:00:00"/>
    <d v="2026-01-09T00:00:00"/>
    <d v="2026-01-08T00:00:00"/>
    <d v="2026-01-08T00:00:00"/>
    <m/>
    <s v="MC-51843"/>
    <s v="YB-LA002"/>
    <m/>
    <s v="V9"/>
    <x v="1"/>
    <n v="1460"/>
    <m/>
    <m/>
    <m/>
    <m/>
    <n v="598"/>
    <m/>
    <n v="545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78"/>
    <s v="000393988"/>
    <s v="JRS"/>
    <m/>
    <s v="YB-LA002"/>
    <s v="V9-BH"/>
    <s v="YB-LA002"/>
    <s v="3655124-5"/>
    <s v="単体"/>
    <n v="1"/>
    <m/>
    <n v="1"/>
    <d v="2025-12-23T00:00:00"/>
    <d v="2026-01-09T00:00:00"/>
    <d v="2026-01-08T00:00:00"/>
    <d v="2026-01-08T00:00:00"/>
    <m/>
    <s v="MC-51844"/>
    <s v="YB-LA002"/>
    <m/>
    <s v="V9"/>
    <x v="1"/>
    <n v="1461"/>
    <m/>
    <m/>
    <m/>
    <m/>
    <n v="599"/>
    <m/>
    <n v="546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76"/>
    <s v="000393972"/>
    <s v="JRS"/>
    <m/>
    <s v="YB-LA002"/>
    <s v="V9-BH"/>
    <s v="YB-LA002"/>
    <s v="3655124-5"/>
    <s v="単体"/>
    <n v="1"/>
    <m/>
    <n v="1"/>
    <d v="2025-12-23T00:00:00"/>
    <d v="2026-01-09T00:00:00"/>
    <d v="2026-01-08T00:00:00"/>
    <d v="2026-01-08T00:00:00"/>
    <m/>
    <s v="MC-51845"/>
    <s v="YB-LA002"/>
    <m/>
    <s v="V9"/>
    <x v="1"/>
    <n v="1462"/>
    <m/>
    <m/>
    <m/>
    <m/>
    <n v="600"/>
    <m/>
    <n v="547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79"/>
    <s v="000393981"/>
    <s v="JRS"/>
    <m/>
    <s v="YB-LA002"/>
    <s v="V9-BH"/>
    <s v="YB-LA002"/>
    <s v="3655124-5"/>
    <s v="単体"/>
    <n v="1"/>
    <m/>
    <n v="1"/>
    <d v="2025-12-23T00:00:00"/>
    <d v="2026-01-09T00:00:00"/>
    <d v="2026-01-08T00:00:00"/>
    <d v="2026-01-08T00:00:00"/>
    <m/>
    <s v="MC-51846"/>
    <s v="YB-LA002"/>
    <m/>
    <s v="V9"/>
    <x v="1"/>
    <n v="1463"/>
    <m/>
    <m/>
    <m/>
    <m/>
    <n v="601"/>
    <m/>
    <n v="548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82"/>
    <s v="000393987"/>
    <s v="JRS"/>
    <m/>
    <s v="YB-LA002"/>
    <s v="V9-BH"/>
    <s v="YB-LA002"/>
    <s v="3655124-5"/>
    <s v="単体"/>
    <n v="1"/>
    <m/>
    <n v="1"/>
    <d v="2025-12-24T00:00:00"/>
    <d v="2026-01-13T00:00:00"/>
    <d v="2026-01-09T00:00:00"/>
    <d v="2026-01-09T00:00:00"/>
    <m/>
    <s v="MC-51851"/>
    <s v="YB-LA002"/>
    <m/>
    <s v="V9"/>
    <x v="1"/>
    <n v="1464"/>
    <m/>
    <m/>
    <m/>
    <m/>
    <n v="602"/>
    <m/>
    <n v="549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81"/>
    <s v="000393558"/>
    <s v="JRS"/>
    <m/>
    <s v="YB-LA002"/>
    <s v="V9-BH"/>
    <s v="YB-LA002"/>
    <s v="3655124-5"/>
    <s v="単体"/>
    <n v="1"/>
    <m/>
    <n v="1"/>
    <d v="2025-12-24T00:00:00"/>
    <d v="2026-01-13T00:00:00"/>
    <d v="2026-01-09T00:00:00"/>
    <d v="2026-01-09T00:00:00"/>
    <m/>
    <s v="MC-51852"/>
    <s v="YB-LA002"/>
    <m/>
    <s v="V9"/>
    <x v="1"/>
    <n v="1465"/>
    <m/>
    <m/>
    <m/>
    <m/>
    <n v="603"/>
    <m/>
    <n v="55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83"/>
    <s v="000393983"/>
    <s v="JRS"/>
    <m/>
    <s v="YB-LA002"/>
    <s v="V9-BH"/>
    <s v="YB-LA002"/>
    <s v="3655124-5"/>
    <s v="単体"/>
    <n v="1"/>
    <m/>
    <n v="1"/>
    <d v="2025-12-24T00:00:00"/>
    <d v="2026-01-13T00:00:00"/>
    <d v="2026-01-09T00:00:00"/>
    <d v="2026-01-09T00:00:00"/>
    <m/>
    <s v="MC-51853"/>
    <s v="YB-LA002"/>
    <m/>
    <s v="V9"/>
    <x v="1"/>
    <n v="1466"/>
    <m/>
    <m/>
    <m/>
    <m/>
    <n v="604"/>
    <m/>
    <n v="551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84"/>
    <s v="000393989"/>
    <s v="JRS"/>
    <m/>
    <s v="YB-LA002"/>
    <s v="V9-BH"/>
    <s v="YB-LA002"/>
    <s v="3655124-5"/>
    <s v="単体"/>
    <n v="1"/>
    <m/>
    <n v="1"/>
    <d v="2025-12-24T00:00:00"/>
    <d v="2026-01-13T00:00:00"/>
    <d v="2026-01-09T00:00:00"/>
    <d v="2026-01-09T00:00:00"/>
    <m/>
    <s v="MC-51854"/>
    <s v="YB-LA002"/>
    <m/>
    <s v="V9"/>
    <x v="1"/>
    <n v="1467"/>
    <m/>
    <m/>
    <m/>
    <m/>
    <n v="605"/>
    <m/>
    <n v="552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91"/>
    <s v="000393990"/>
    <s v="JRS"/>
    <m/>
    <s v="YB-LA002"/>
    <s v="V9-BH"/>
    <s v="YB-LA002"/>
    <s v="3655124-5"/>
    <s v="単体"/>
    <n v="1"/>
    <m/>
    <n v="1"/>
    <d v="2025-12-25T00:00:00"/>
    <d v="2026-01-14T00:00:00"/>
    <d v="2026-01-13T00:00:00"/>
    <d v="2026-01-13T00:00:00"/>
    <m/>
    <s v="MC-51859"/>
    <s v="YB-LA002"/>
    <m/>
    <s v="V9"/>
    <x v="1"/>
    <n v="1468"/>
    <m/>
    <m/>
    <m/>
    <m/>
    <n v="606"/>
    <m/>
    <n v="553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92"/>
    <s v="000393982"/>
    <s v="JRS"/>
    <m/>
    <s v="YB-LA002"/>
    <s v="V9-BH"/>
    <s v="YB-LA002"/>
    <s v="3655124-5"/>
    <s v="単体"/>
    <n v="1"/>
    <m/>
    <n v="1"/>
    <d v="2025-12-25T00:00:00"/>
    <d v="2026-01-14T00:00:00"/>
    <d v="2026-01-13T00:00:00"/>
    <d v="2026-01-13T00:00:00"/>
    <m/>
    <s v="MC-51860"/>
    <s v="YB-LA002"/>
    <m/>
    <s v="V9"/>
    <x v="1"/>
    <n v="1469"/>
    <m/>
    <m/>
    <m/>
    <m/>
    <n v="607"/>
    <m/>
    <n v="554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93"/>
    <s v="000393985"/>
    <s v="JRS"/>
    <m/>
    <s v="YB-LA002"/>
    <s v="V9-BH"/>
    <s v="YB-LA002"/>
    <s v="3655124-5"/>
    <s v="単体"/>
    <n v="1"/>
    <m/>
    <n v="1"/>
    <d v="2025-12-25T00:00:00"/>
    <d v="2026-01-14T00:00:00"/>
    <d v="2026-01-13T00:00:00"/>
    <d v="2026-01-13T00:00:00"/>
    <m/>
    <s v="MC-51861"/>
    <s v="YB-LA002"/>
    <m/>
    <s v="V9"/>
    <x v="1"/>
    <n v="1470"/>
    <m/>
    <m/>
    <m/>
    <m/>
    <n v="608"/>
    <m/>
    <n v="555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90"/>
    <s v="000393984"/>
    <s v="JRS"/>
    <m/>
    <s v="YB-LA002"/>
    <s v="V9-BH"/>
    <s v="YB-LA002"/>
    <s v="3655124-5"/>
    <s v="単体"/>
    <n v="1"/>
    <m/>
    <n v="1"/>
    <d v="2025-12-25T00:00:00"/>
    <d v="2026-01-14T00:00:00"/>
    <d v="2026-01-13T00:00:00"/>
    <d v="2026-01-13T00:00:00"/>
    <m/>
    <s v="MC-51862"/>
    <s v="YB-LA002"/>
    <m/>
    <s v="V9"/>
    <x v="1"/>
    <n v="1471"/>
    <m/>
    <m/>
    <m/>
    <m/>
    <n v="609"/>
    <m/>
    <n v="556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10"/>
    <s v="000380429"/>
    <s v="その他T"/>
    <s v="OFE向け"/>
    <m/>
    <s v="小田急V9"/>
    <s v="3S2YB-FFP-5001"/>
    <s v="5831921-4"/>
    <s v="機器"/>
    <n v="0"/>
    <m/>
    <n v="1"/>
    <d v="2026-01-05T00:00:00"/>
    <d v="2026-01-14T00:00:00"/>
    <d v="2026-01-13T00:00:00"/>
    <d v="2026-01-16T00:00:00"/>
    <m/>
    <s v="VV-26800"/>
    <s v="YB-LA001"/>
    <m/>
    <s v="V9"/>
    <x v="1"/>
    <n v="1472"/>
    <m/>
    <m/>
    <m/>
    <n v="866"/>
    <m/>
    <n v="9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96"/>
    <s v="000393986"/>
    <s v="JRS"/>
    <m/>
    <s v="YB-LA002"/>
    <s v="V9-BH"/>
    <s v="YB-LA002"/>
    <s v="3655124-5"/>
    <s v="単体"/>
    <n v="1"/>
    <m/>
    <n v="1"/>
    <d v="2025-12-26T00:00:00"/>
    <d v="2026-01-15T00:00:00"/>
    <d v="2026-01-14T00:00:00"/>
    <d v="2026-01-14T00:00:00"/>
    <m/>
    <s v="MC-51867"/>
    <s v="YB-LA002"/>
    <m/>
    <s v="V9"/>
    <x v="1"/>
    <n v="1473"/>
    <m/>
    <m/>
    <m/>
    <m/>
    <n v="610"/>
    <m/>
    <n v="557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16"/>
    <s v="000371379"/>
    <s v="近鉄"/>
    <s v="吉田"/>
    <s v="上り"/>
    <s v="近鉄V9EXVCH無"/>
    <s v="3S2EB-FJP-1003"/>
    <s v="3647955-2"/>
    <s v="機器"/>
    <n v="1"/>
    <s v="CH無"/>
    <n v="1"/>
    <d v="2025-12-26T00:00:00"/>
    <d v="2026-01-15T00:00:00"/>
    <d v="2026-01-14T00:00:00"/>
    <d v="2026-01-19T00:00:00"/>
    <m/>
    <s v="VV-26796"/>
    <s v="YB-LA001"/>
    <m/>
    <s v="V9"/>
    <x v="1"/>
    <n v="1474"/>
    <m/>
    <m/>
    <m/>
    <n v="867"/>
    <m/>
    <n v="9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22"/>
    <s v="000371378"/>
    <s v="近鉄"/>
    <s v="近鉄八尾"/>
    <s v="中央"/>
    <s v="近鉄V9EXVCH無"/>
    <s v="3S2EB-FJP-1005"/>
    <s v="5872639-1"/>
    <s v="機器"/>
    <n v="1"/>
    <s v="CH無　上出し"/>
    <n v="1"/>
    <d v="2026-01-05T00:00:00"/>
    <d v="2026-01-16T00:00:00"/>
    <d v="2026-01-15T00:00:00"/>
    <d v="2026-01-20T00:00:00"/>
    <m/>
    <s v="VV-26802"/>
    <s v="YB-LA001"/>
    <m/>
    <s v="V9"/>
    <x v="1"/>
    <n v="1475"/>
    <m/>
    <m/>
    <m/>
    <n v="868"/>
    <m/>
    <n v="9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26"/>
    <s v="000389664"/>
    <s v="近鉄"/>
    <s v="富田林"/>
    <s v="南"/>
    <s v="近鉄V9EXVCH無"/>
    <s v="3S2EB-FJP-1003"/>
    <s v="3647955-2"/>
    <s v="機器"/>
    <n v="1"/>
    <s v="CH無"/>
    <n v="1"/>
    <d v="2026-01-06T00:00:00"/>
    <d v="2026-01-19T00:00:00"/>
    <d v="2026-01-16T00:00:00"/>
    <d v="2026-01-21T00:00:00"/>
    <m/>
    <s v="VV-26805"/>
    <s v="YB-LA001"/>
    <m/>
    <s v="V9"/>
    <x v="1"/>
    <n v="1476"/>
    <m/>
    <m/>
    <m/>
    <n v="869"/>
    <m/>
    <n v="9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8"/>
    <s v="000393999"/>
    <s v="JRS"/>
    <m/>
    <s v="YB-LA002"/>
    <s v="V9-BH"/>
    <s v="YB-LA002"/>
    <s v="3655124-5"/>
    <s v="単体"/>
    <n v="1"/>
    <m/>
    <n v="1"/>
    <d v="2026-01-08T00:00:00"/>
    <d v="2026-01-21T00:00:00"/>
    <d v="2026-01-20T00:00:00"/>
    <d v="2026-01-20T00:00:00"/>
    <m/>
    <s v="MC-51899"/>
    <s v="YB-LA002"/>
    <m/>
    <s v="V9"/>
    <x v="1"/>
    <n v="1477"/>
    <m/>
    <m/>
    <m/>
    <m/>
    <n v="611"/>
    <m/>
    <n v="558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24"/>
    <s v="000394000"/>
    <s v="JRS"/>
    <m/>
    <s v="YB-LA002"/>
    <s v="V9-BH"/>
    <s v="YB-LA002"/>
    <s v="3655124-5"/>
    <s v="単体"/>
    <n v="1"/>
    <m/>
    <n v="1"/>
    <d v="2026-01-09T00:00:00"/>
    <d v="2026-01-22T00:00:00"/>
    <d v="2026-01-21T00:00:00"/>
    <d v="2026-01-21T00:00:00"/>
    <m/>
    <s v="MC-51905"/>
    <s v="YB-LA002"/>
    <m/>
    <s v="V9"/>
    <x v="1"/>
    <n v="1478"/>
    <m/>
    <m/>
    <m/>
    <m/>
    <n v="612"/>
    <m/>
    <n v="559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23"/>
    <s v="000393994"/>
    <s v="JRS"/>
    <m/>
    <s v="YB-LA002"/>
    <s v="V9-BH"/>
    <s v="YB-LA002"/>
    <s v="3655124-5"/>
    <s v="単体"/>
    <n v="1"/>
    <m/>
    <n v="1"/>
    <d v="2026-01-09T00:00:00"/>
    <d v="2026-01-22T00:00:00"/>
    <d v="2026-01-21T00:00:00"/>
    <d v="2026-01-21T00:00:00"/>
    <m/>
    <s v="MC-51906"/>
    <s v="YB-LA002"/>
    <m/>
    <s v="V9"/>
    <x v="1"/>
    <n v="1479"/>
    <m/>
    <m/>
    <m/>
    <m/>
    <n v="613"/>
    <m/>
    <n v="56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25"/>
    <s v="000393998"/>
    <s v="JRS"/>
    <m/>
    <s v="YB-LA002"/>
    <s v="V9-BH"/>
    <s v="YB-LA002"/>
    <s v="3655124-5"/>
    <s v="単体"/>
    <n v="1"/>
    <m/>
    <n v="1"/>
    <d v="2026-01-09T00:00:00"/>
    <d v="2026-01-22T00:00:00"/>
    <d v="2026-01-21T00:00:00"/>
    <d v="2026-01-21T00:00:00"/>
    <m/>
    <s v="MC-51907"/>
    <s v="YB-LA002"/>
    <m/>
    <s v="V9"/>
    <x v="1"/>
    <n v="1480"/>
    <m/>
    <m/>
    <m/>
    <m/>
    <n v="614"/>
    <m/>
    <n v="561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28"/>
    <s v="000393559"/>
    <s v="JRS"/>
    <m/>
    <s v="YB-LA002"/>
    <s v="V9-BH"/>
    <s v="YB-LA002"/>
    <s v="3655124-5"/>
    <s v="単体"/>
    <n v="1"/>
    <m/>
    <n v="1"/>
    <d v="2026-01-13T00:00:00"/>
    <d v="2026-01-23T00:00:00"/>
    <d v="2026-01-22T00:00:00"/>
    <d v="2026-01-22T00:00:00"/>
    <m/>
    <m/>
    <s v="YB-LA002"/>
    <m/>
    <s v="V9"/>
    <x v="1"/>
    <n v="1481"/>
    <m/>
    <m/>
    <m/>
    <m/>
    <n v="615"/>
    <m/>
    <n v="562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30"/>
    <s v="000394002"/>
    <s v="JRS"/>
    <m/>
    <s v="YB-LA002"/>
    <s v="V9-BH"/>
    <s v="YB-LA002"/>
    <s v="3655124-5"/>
    <s v="単体"/>
    <n v="1"/>
    <m/>
    <n v="1"/>
    <d v="2026-01-13T00:00:00"/>
    <d v="2026-01-23T00:00:00"/>
    <d v="2026-01-22T00:00:00"/>
    <d v="2026-01-22T00:00:00"/>
    <m/>
    <m/>
    <s v="YB-LA002"/>
    <m/>
    <s v="V9"/>
    <x v="1"/>
    <n v="1482"/>
    <m/>
    <m/>
    <m/>
    <m/>
    <n v="616"/>
    <m/>
    <n v="563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29"/>
    <s v="000394007"/>
    <s v="JRS"/>
    <m/>
    <s v="YB-LA002"/>
    <s v="V9-BH"/>
    <s v="YB-LA002"/>
    <s v="3655124-5"/>
    <s v="単体"/>
    <n v="1"/>
    <m/>
    <n v="1"/>
    <d v="2026-01-13T00:00:00"/>
    <d v="2026-01-23T00:00:00"/>
    <d v="2026-01-22T00:00:00"/>
    <d v="2026-01-22T00:00:00"/>
    <m/>
    <m/>
    <s v="YB-LA002"/>
    <m/>
    <s v="V9"/>
    <x v="1"/>
    <n v="1483"/>
    <m/>
    <m/>
    <m/>
    <m/>
    <n v="617"/>
    <m/>
    <n v="564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34"/>
    <s v="000393992"/>
    <s v="JRS"/>
    <m/>
    <s v="YB-LA002"/>
    <s v="V9-BH"/>
    <s v="YB-LA002"/>
    <s v="3655124-5"/>
    <s v="単体"/>
    <n v="1"/>
    <m/>
    <n v="1"/>
    <d v="2026-01-14T00:00:00"/>
    <d v="2026-01-26T00:00:00"/>
    <d v="2026-01-23T00:00:00"/>
    <d v="2026-01-23T00:00:00"/>
    <m/>
    <m/>
    <s v="YB-LA002"/>
    <m/>
    <s v="V9"/>
    <x v="1"/>
    <n v="1484"/>
    <m/>
    <m/>
    <m/>
    <m/>
    <n v="618"/>
    <m/>
    <n v="565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35"/>
    <s v="000393995"/>
    <s v="JRS"/>
    <m/>
    <s v="YB-LA002"/>
    <s v="V9-BH"/>
    <s v="YB-LA002"/>
    <s v="3655124-5"/>
    <s v="単体"/>
    <n v="1"/>
    <m/>
    <n v="1"/>
    <d v="2026-01-14T00:00:00"/>
    <d v="2026-01-26T00:00:00"/>
    <d v="2026-01-23T00:00:00"/>
    <d v="2026-01-23T00:00:00"/>
    <m/>
    <m/>
    <s v="YB-LA002"/>
    <m/>
    <s v="V9"/>
    <x v="1"/>
    <n v="1485"/>
    <m/>
    <m/>
    <m/>
    <m/>
    <n v="619"/>
    <m/>
    <n v="566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33"/>
    <s v="000394011"/>
    <s v="JRS"/>
    <m/>
    <s v="YB-LA002"/>
    <s v="V9-BH"/>
    <s v="YB-LA002"/>
    <s v="3655124-5"/>
    <s v="単体"/>
    <n v="1"/>
    <m/>
    <n v="1"/>
    <d v="2026-01-14T00:00:00"/>
    <d v="2026-01-26T00:00:00"/>
    <d v="2026-01-23T00:00:00"/>
    <d v="2026-01-23T00:00:00"/>
    <m/>
    <m/>
    <s v="YB-LA002"/>
    <m/>
    <s v="V9"/>
    <x v="1"/>
    <n v="1486"/>
    <m/>
    <m/>
    <m/>
    <m/>
    <n v="620"/>
    <m/>
    <n v="567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38"/>
    <s v="000393991"/>
    <s v="JRS"/>
    <m/>
    <s v="YB-LA002"/>
    <s v="V9-BH"/>
    <s v="YB-LA002"/>
    <s v="3655124-5"/>
    <s v="単体"/>
    <n v="1"/>
    <m/>
    <n v="1"/>
    <d v="2026-01-15T00:00:00"/>
    <d v="2026-01-27T00:00:00"/>
    <d v="2026-01-26T00:00:00"/>
    <d v="2026-01-26T00:00:00"/>
    <m/>
    <m/>
    <s v="YB-LA002"/>
    <m/>
    <s v="V9"/>
    <x v="1"/>
    <n v="1487"/>
    <m/>
    <m/>
    <m/>
    <m/>
    <n v="621"/>
    <m/>
    <n v="568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39"/>
    <s v="000393993"/>
    <s v="JRS"/>
    <m/>
    <s v="YB-LA002"/>
    <s v="V9-BH"/>
    <s v="YB-LA002"/>
    <s v="3655124-5"/>
    <s v="単体"/>
    <n v="1"/>
    <m/>
    <n v="1"/>
    <d v="2026-01-15T00:00:00"/>
    <d v="2026-01-27T00:00:00"/>
    <d v="2026-01-26T00:00:00"/>
    <d v="2026-01-26T00:00:00"/>
    <m/>
    <m/>
    <s v="YB-LA002"/>
    <m/>
    <s v="V9"/>
    <x v="1"/>
    <n v="1488"/>
    <m/>
    <m/>
    <m/>
    <m/>
    <n v="622"/>
    <m/>
    <n v="569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40"/>
    <s v="000394005"/>
    <s v="JRS"/>
    <m/>
    <s v="YB-LA002"/>
    <s v="V9-BH"/>
    <s v="YB-LA002"/>
    <s v="3655124-5"/>
    <s v="単体"/>
    <n v="1"/>
    <m/>
    <n v="1"/>
    <d v="2026-01-15T00:00:00"/>
    <d v="2026-01-27T00:00:00"/>
    <d v="2026-01-26T00:00:00"/>
    <d v="2026-01-26T00:00:00"/>
    <m/>
    <m/>
    <s v="YB-LA002"/>
    <m/>
    <s v="V9"/>
    <x v="1"/>
    <n v="1489"/>
    <m/>
    <m/>
    <m/>
    <m/>
    <n v="623"/>
    <m/>
    <n v="57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42"/>
    <s v="000394001"/>
    <s v="JRS"/>
    <m/>
    <s v="YB-LA002"/>
    <s v="V9-BH"/>
    <s v="YB-LA002"/>
    <s v="3655124-5"/>
    <s v="単体"/>
    <n v="1"/>
    <m/>
    <n v="1"/>
    <d v="2026-01-16T00:00:00"/>
    <d v="2026-01-28T00:00:00"/>
    <d v="2026-01-27T00:00:00"/>
    <d v="2026-01-27T00:00:00"/>
    <m/>
    <m/>
    <s v="YB-LA002"/>
    <m/>
    <s v="V9"/>
    <x v="1"/>
    <n v="1490"/>
    <m/>
    <m/>
    <m/>
    <m/>
    <n v="624"/>
    <m/>
    <n v="571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43"/>
    <s v="000394006"/>
    <s v="JRS"/>
    <m/>
    <s v="YB-LA002"/>
    <s v="V9-BH"/>
    <s v="YB-LA002"/>
    <s v="3655124-5"/>
    <s v="単体"/>
    <n v="1"/>
    <m/>
    <n v="1"/>
    <d v="2026-01-16T00:00:00"/>
    <d v="2026-01-28T00:00:00"/>
    <d v="2026-01-27T00:00:00"/>
    <d v="2026-01-27T00:00:00"/>
    <m/>
    <m/>
    <s v="YB-LA002"/>
    <m/>
    <s v="V9"/>
    <x v="1"/>
    <n v="1491"/>
    <m/>
    <m/>
    <m/>
    <m/>
    <n v="625"/>
    <m/>
    <n v="572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44"/>
    <s v="000394008"/>
    <s v="JRS"/>
    <m/>
    <s v="YB-LA002"/>
    <s v="V9-BH"/>
    <s v="YB-LA002"/>
    <s v="3655124-5"/>
    <s v="単体"/>
    <n v="1"/>
    <m/>
    <n v="1"/>
    <d v="2026-01-16T00:00:00"/>
    <d v="2026-01-28T00:00:00"/>
    <d v="2026-01-27T00:00:00"/>
    <d v="2026-01-27T00:00:00"/>
    <m/>
    <m/>
    <s v="YB-LA002"/>
    <m/>
    <s v="V9"/>
    <x v="1"/>
    <n v="1492"/>
    <m/>
    <m/>
    <m/>
    <m/>
    <n v="626"/>
    <m/>
    <n v="573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45"/>
    <s v="000389423-01"/>
    <s v="先行生産"/>
    <m/>
    <s v="YB-LA001"/>
    <s v="V9-BH　計画生産"/>
    <s v="YB-LA001"/>
    <s v="5685000-1"/>
    <s v="単体"/>
    <n v="0"/>
    <m/>
    <n v="1"/>
    <d v="2026-01-20T00:00:00"/>
    <d v="2026-01-28T00:00:00"/>
    <d v="2026-01-27T00:00:00"/>
    <d v="2026-01-27T00:00:00"/>
    <m/>
    <m/>
    <s v="YB-LA001"/>
    <m/>
    <s v="V9"/>
    <x v="1"/>
    <n v="1493"/>
    <m/>
    <m/>
    <m/>
    <n v="870"/>
    <m/>
    <n v="9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48"/>
    <s v="000394003"/>
    <s v="JRS"/>
    <m/>
    <s v="YB-LA002"/>
    <s v="V9-BH"/>
    <s v="YB-LA002"/>
    <s v="3655124-5"/>
    <s v="単体"/>
    <n v="1"/>
    <m/>
    <n v="1"/>
    <d v="2026-01-19T00:00:00"/>
    <d v="2026-01-29T00:00:00"/>
    <d v="2026-01-28T00:00:00"/>
    <d v="2026-01-28T00:00:00"/>
    <m/>
    <m/>
    <s v="YB-LA002"/>
    <m/>
    <s v="V9"/>
    <x v="1"/>
    <n v="1494"/>
    <m/>
    <m/>
    <m/>
    <m/>
    <n v="627"/>
    <m/>
    <n v="574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49"/>
    <s v="000394004"/>
    <s v="JRS"/>
    <m/>
    <s v="YB-LA002"/>
    <s v="V9-BH"/>
    <s v="YB-LA002"/>
    <s v="3655124-5"/>
    <s v="単体"/>
    <n v="1"/>
    <m/>
    <n v="1"/>
    <d v="2026-01-19T00:00:00"/>
    <d v="2026-01-29T00:00:00"/>
    <d v="2026-01-28T00:00:00"/>
    <d v="2026-01-28T00:00:00"/>
    <m/>
    <m/>
    <s v="YB-LA002"/>
    <m/>
    <s v="V9"/>
    <x v="1"/>
    <n v="1495"/>
    <m/>
    <m/>
    <m/>
    <m/>
    <n v="628"/>
    <m/>
    <n v="575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47"/>
    <s v="000394009"/>
    <s v="JRS"/>
    <m/>
    <s v="YB-LA002"/>
    <s v="V9-BH"/>
    <s v="YB-LA002"/>
    <s v="3655124-5"/>
    <s v="単体"/>
    <n v="1"/>
    <m/>
    <n v="1"/>
    <d v="2026-01-19T00:00:00"/>
    <d v="2026-01-29T00:00:00"/>
    <d v="2026-01-28T00:00:00"/>
    <d v="2026-01-28T00:00:00"/>
    <m/>
    <m/>
    <s v="YB-LA002"/>
    <m/>
    <s v="V9"/>
    <x v="1"/>
    <n v="1496"/>
    <m/>
    <m/>
    <m/>
    <m/>
    <n v="629"/>
    <m/>
    <n v="576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59"/>
    <s v="000385099"/>
    <s v="近鉄"/>
    <s v="東花園"/>
    <m/>
    <s v="近鉄V9EXV"/>
    <s v="3S2EB-FJP-0002"/>
    <s v="5708651-8"/>
    <s v="機器"/>
    <n v="1"/>
    <s v="V9EXV　硬貨有回転台"/>
    <n v="1"/>
    <d v="2026-01-19T00:00:00"/>
    <d v="2026-01-29T00:00:00"/>
    <d v="2026-01-28T00:00:00"/>
    <d v="2026-02-02T00:00:00"/>
    <m/>
    <m/>
    <s v="YB-LA001"/>
    <m/>
    <s v="V9"/>
    <x v="1"/>
    <n v="1497"/>
    <m/>
    <m/>
    <m/>
    <n v="871"/>
    <m/>
    <n v="9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45"/>
    <s v="000389423-02"/>
    <s v="先行生産"/>
    <m/>
    <s v="YB-LA001"/>
    <s v="V9-BH　計画生産"/>
    <s v="YB-LA001"/>
    <s v="5685000-1"/>
    <s v="単体"/>
    <n v="0"/>
    <m/>
    <n v="1"/>
    <d v="2026-01-20T00:00:00"/>
    <d v="2026-01-29T00:00:00"/>
    <d v="2026-01-27T00:00:00"/>
    <d v="2026-01-27T00:00:00"/>
    <m/>
    <m/>
    <s v="YB-LA001"/>
    <m/>
    <s v="V9"/>
    <x v="1"/>
    <n v="1498"/>
    <m/>
    <m/>
    <m/>
    <n v="872"/>
    <m/>
    <n v="9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2"/>
    <s v="000393997"/>
    <s v="JRS"/>
    <m/>
    <s v="YB-LA002"/>
    <s v="V9-BH"/>
    <s v="YB-LA002"/>
    <s v="3655124-5"/>
    <s v="単体"/>
    <n v="1"/>
    <m/>
    <n v="1"/>
    <d v="2026-01-20T00:00:00"/>
    <d v="2026-01-30T00:00:00"/>
    <d v="2026-01-29T00:00:00"/>
    <d v="2026-01-29T00:00:00"/>
    <m/>
    <m/>
    <s v="YB-LA002"/>
    <m/>
    <s v="V9"/>
    <x v="1"/>
    <n v="1499"/>
    <m/>
    <m/>
    <m/>
    <m/>
    <n v="630"/>
    <m/>
    <n v="577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53"/>
    <s v="000394010"/>
    <s v="JRS"/>
    <m/>
    <s v="YB-LA002"/>
    <s v="V9-BH"/>
    <s v="YB-LA002"/>
    <s v="3655124-5"/>
    <s v="単体"/>
    <n v="1"/>
    <m/>
    <n v="1"/>
    <d v="2026-01-20T00:00:00"/>
    <d v="2026-01-30T00:00:00"/>
    <d v="2026-01-29T00:00:00"/>
    <d v="2026-01-29T00:00:00"/>
    <m/>
    <m/>
    <s v="YB-LA002"/>
    <m/>
    <s v="V9"/>
    <x v="1"/>
    <n v="1500"/>
    <m/>
    <m/>
    <m/>
    <m/>
    <n v="631"/>
    <m/>
    <n v="578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51"/>
    <s v="000394012"/>
    <s v="JRS"/>
    <m/>
    <s v="YB-LA002"/>
    <s v="V9-BH"/>
    <s v="YB-LA002"/>
    <s v="3655124-5"/>
    <s v="単体"/>
    <n v="1"/>
    <m/>
    <n v="1"/>
    <d v="2026-01-20T00:00:00"/>
    <d v="2026-01-30T00:00:00"/>
    <d v="2026-01-29T00:00:00"/>
    <d v="2026-01-29T00:00:00"/>
    <m/>
    <m/>
    <s v="YB-LA002"/>
    <m/>
    <s v="V9"/>
    <x v="1"/>
    <n v="1501"/>
    <m/>
    <m/>
    <m/>
    <m/>
    <n v="632"/>
    <m/>
    <n v="579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45"/>
    <s v="000389423-03"/>
    <s v="先行生産"/>
    <m/>
    <s v="YB-LA001"/>
    <s v="V9-BH　計画生産"/>
    <s v="YB-LA001"/>
    <s v="5685000-1"/>
    <s v="単体"/>
    <n v="0"/>
    <m/>
    <n v="1"/>
    <d v="2026-01-20T00:00:00"/>
    <d v="2026-01-30T00:00:00"/>
    <d v="2026-01-27T00:00:00"/>
    <d v="2026-01-27T00:00:00"/>
    <m/>
    <m/>
    <s v="YB-LA001"/>
    <m/>
    <s v="V9"/>
    <x v="1"/>
    <n v="1502"/>
    <m/>
    <m/>
    <m/>
    <n v="873"/>
    <m/>
    <n v="9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4"/>
    <s v="000393996"/>
    <s v="JRS"/>
    <m/>
    <s v="YB-LA002"/>
    <s v="V9-BH"/>
    <s v="YB-LA002"/>
    <s v="3655124-5"/>
    <s v="単体"/>
    <n v="1"/>
    <m/>
    <n v="1"/>
    <d v="2026-01-21T00:00:00"/>
    <d v="2026-02-02T00:00:00"/>
    <d v="2026-01-30T00:00:00"/>
    <d v="2026-01-30T00:00:00"/>
    <m/>
    <m/>
    <s v="YB-LA002"/>
    <m/>
    <s v="V9"/>
    <x v="2"/>
    <n v="1503"/>
    <m/>
    <m/>
    <m/>
    <m/>
    <n v="633"/>
    <m/>
    <n v="58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45"/>
    <s v="000389423-04"/>
    <s v="先行生産"/>
    <m/>
    <s v="YB-LA001"/>
    <s v="V9-BH　計画生産"/>
    <s v="YB-LA001"/>
    <s v="5685000-1"/>
    <s v="単体"/>
    <n v="0"/>
    <m/>
    <n v="1"/>
    <d v="2026-01-20T00:00:00"/>
    <d v="2026-02-02T00:00:00"/>
    <d v="2026-01-27T00:00:00"/>
    <d v="2026-01-27T00:00:00"/>
    <m/>
    <m/>
    <s v="YB-LA001"/>
    <m/>
    <s v="V9"/>
    <x v="2"/>
    <n v="1504"/>
    <m/>
    <m/>
    <m/>
    <n v="874"/>
    <m/>
    <n v="9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45"/>
    <s v="000389423-05"/>
    <s v="先行生産"/>
    <m/>
    <s v="YB-LA001"/>
    <s v="V9-BH　計画生産"/>
    <s v="YB-LA001"/>
    <s v="5685000-1"/>
    <s v="単体"/>
    <n v="0"/>
    <m/>
    <n v="1"/>
    <d v="2026-01-20T00:00:00"/>
    <d v="2026-02-02T00:00:00"/>
    <d v="2026-01-27T00:00:00"/>
    <d v="2026-01-27T00:00:00"/>
    <m/>
    <m/>
    <s v="YB-LA001"/>
    <m/>
    <s v="V9"/>
    <x v="2"/>
    <n v="1505"/>
    <m/>
    <m/>
    <m/>
    <n v="875"/>
    <m/>
    <n v="9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7"/>
    <s v="000385430"/>
    <s v="HRT"/>
    <m/>
    <s v="YB-LAX006"/>
    <s v="V9-BH"/>
    <s v="YB-LAX006"/>
    <s v="3632775-2"/>
    <s v="単体"/>
    <n v="0"/>
    <m/>
    <n v="1"/>
    <d v="2026-01-22T00:00:00"/>
    <d v="2026-02-03T00:00:00"/>
    <d v="2026-02-02T00:00:00"/>
    <d v="2026-02-02T00:00:00"/>
    <m/>
    <m/>
    <s v="YB-LA001"/>
    <m/>
    <s v="V9"/>
    <x v="2"/>
    <n v="1506"/>
    <m/>
    <m/>
    <m/>
    <n v="876"/>
    <m/>
    <n v="9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8"/>
    <s v="000396282"/>
    <s v="JRS"/>
    <m/>
    <s v="YB-LA002"/>
    <s v="V9-BH"/>
    <s v="YB-LA002"/>
    <s v="3655124-5"/>
    <s v="単体"/>
    <n v="1"/>
    <m/>
    <n v="1"/>
    <d v="2026-01-22T00:00:00"/>
    <d v="2026-02-03T00:00:00"/>
    <d v="2026-02-02T00:00:00"/>
    <d v="2026-02-02T00:00:00"/>
    <m/>
    <m/>
    <s v="YB-LA002"/>
    <m/>
    <s v="V9"/>
    <x v="2"/>
    <n v="1507"/>
    <m/>
    <m/>
    <m/>
    <m/>
    <n v="634"/>
    <m/>
    <n v="581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45"/>
    <s v="000389423-06"/>
    <s v="先行生産"/>
    <m/>
    <s v="YB-LA001"/>
    <s v="V9-BH　計画生産"/>
    <s v="YB-LA001"/>
    <s v="5685000-1"/>
    <s v="単体"/>
    <n v="0"/>
    <m/>
    <n v="1"/>
    <d v="2026-01-20T00:00:00"/>
    <d v="2026-02-03T00:00:00"/>
    <d v="2026-01-27T00:00:00"/>
    <d v="2026-01-27T00:00:00"/>
    <m/>
    <m/>
    <s v="YB-LA001"/>
    <m/>
    <s v="V9"/>
    <x v="2"/>
    <n v="1508"/>
    <m/>
    <m/>
    <m/>
    <n v="877"/>
    <m/>
    <n v="9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60"/>
    <s v="000391789"/>
    <s v="JRS"/>
    <m/>
    <s v="YB-LA002"/>
    <s v="V9-BH"/>
    <s v="YB-LA002"/>
    <s v="3655124-5"/>
    <s v="単体"/>
    <n v="1"/>
    <m/>
    <n v="1"/>
    <d v="2026-01-23T00:00:00"/>
    <d v="2026-02-04T00:00:00"/>
    <d v="2026-02-03T00:00:00"/>
    <d v="2026-02-03T00:00:00"/>
    <m/>
    <m/>
    <s v="YB-LA002"/>
    <m/>
    <s v="V9"/>
    <x v="2"/>
    <n v="1509"/>
    <m/>
    <m/>
    <m/>
    <m/>
    <n v="635"/>
    <m/>
    <n v="582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61"/>
    <s v="000396287"/>
    <s v="JRS"/>
    <m/>
    <s v="YB-LA002"/>
    <s v="V9-BH"/>
    <s v="YB-LA002"/>
    <s v="3655124-5"/>
    <s v="単体"/>
    <n v="1"/>
    <m/>
    <n v="1"/>
    <d v="2026-01-23T00:00:00"/>
    <d v="2026-02-04T00:00:00"/>
    <d v="2026-02-03T00:00:00"/>
    <d v="2026-02-03T00:00:00"/>
    <m/>
    <m/>
    <s v="YB-LA002"/>
    <m/>
    <s v="V9"/>
    <x v="2"/>
    <n v="1510"/>
    <m/>
    <m/>
    <m/>
    <m/>
    <n v="636"/>
    <m/>
    <n v="583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63"/>
    <s v="000396284"/>
    <s v="JRS"/>
    <m/>
    <s v="YB-LA002"/>
    <s v="V9-BH"/>
    <s v="YB-LA002"/>
    <s v="3655124-5"/>
    <s v="単体"/>
    <n v="1"/>
    <m/>
    <n v="1"/>
    <d v="2026-01-26T00:00:00"/>
    <d v="2026-02-05T00:00:00"/>
    <d v="2026-02-04T00:00:00"/>
    <d v="2026-02-04T00:00:00"/>
    <m/>
    <m/>
    <s v="YB-LA002"/>
    <m/>
    <s v="V9"/>
    <x v="2"/>
    <n v="1511"/>
    <m/>
    <m/>
    <m/>
    <m/>
    <n v="637"/>
    <m/>
    <n v="584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62"/>
    <s v="000396288"/>
    <s v="JRS"/>
    <m/>
    <s v="YB-LA002"/>
    <s v="V9-BH"/>
    <s v="YB-LA002"/>
    <s v="3655124-5"/>
    <s v="単体"/>
    <n v="1"/>
    <m/>
    <n v="1"/>
    <d v="2026-01-26T00:00:00"/>
    <d v="2026-02-05T00:00:00"/>
    <d v="2026-02-04T00:00:00"/>
    <d v="2026-02-04T00:00:00"/>
    <m/>
    <m/>
    <s v="YB-LA002"/>
    <m/>
    <s v="V9"/>
    <x v="2"/>
    <n v="1512"/>
    <m/>
    <m/>
    <m/>
    <m/>
    <n v="638"/>
    <m/>
    <n v="585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65"/>
    <s v="000396285"/>
    <s v="JRS"/>
    <m/>
    <s v="YB-LA002"/>
    <s v="V9-BH"/>
    <s v="YB-LA002"/>
    <s v="3655124-5"/>
    <s v="単体"/>
    <n v="1"/>
    <m/>
    <n v="1"/>
    <d v="2026-01-27T00:00:00"/>
    <d v="2026-02-06T00:00:00"/>
    <d v="2026-02-05T00:00:00"/>
    <d v="2026-02-05T00:00:00"/>
    <m/>
    <m/>
    <s v="YB-LA002"/>
    <m/>
    <s v="V9"/>
    <x v="2"/>
    <n v="1513"/>
    <m/>
    <m/>
    <m/>
    <m/>
    <n v="639"/>
    <m/>
    <n v="586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64"/>
    <s v="000396293"/>
    <s v="JRS"/>
    <m/>
    <s v="YB-LA002"/>
    <s v="V9-BH"/>
    <s v="YB-LA002"/>
    <s v="3655124-5"/>
    <s v="単体"/>
    <n v="1"/>
    <m/>
    <n v="1"/>
    <d v="2026-01-27T00:00:00"/>
    <d v="2026-02-06T00:00:00"/>
    <d v="2026-02-05T00:00:00"/>
    <d v="2026-02-05T00:00:00"/>
    <m/>
    <m/>
    <s v="YB-LA002"/>
    <m/>
    <s v="V9"/>
    <x v="2"/>
    <n v="1514"/>
    <m/>
    <m/>
    <m/>
    <m/>
    <n v="640"/>
    <m/>
    <n v="587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68"/>
    <s v="000396286"/>
    <s v="JRS"/>
    <m/>
    <s v="YB-LA002"/>
    <s v="V9-BH"/>
    <s v="YB-LA002"/>
    <s v="3655124-5"/>
    <s v="単体"/>
    <n v="1"/>
    <m/>
    <n v="1"/>
    <d v="2026-01-28T00:00:00"/>
    <d v="2026-02-09T00:00:00"/>
    <d v="2026-02-06T00:00:00"/>
    <d v="2026-02-06T00:00:00"/>
    <m/>
    <m/>
    <s v="YB-LA002"/>
    <m/>
    <s v="V9"/>
    <x v="2"/>
    <n v="1515"/>
    <m/>
    <m/>
    <m/>
    <m/>
    <n v="641"/>
    <m/>
    <n v="588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67"/>
    <s v="000396291"/>
    <s v="JRS"/>
    <m/>
    <s v="YB-LA002"/>
    <s v="V9-BH"/>
    <s v="YB-LA002"/>
    <s v="3655124-5"/>
    <s v="単体"/>
    <n v="1"/>
    <m/>
    <n v="1"/>
    <d v="2026-01-28T00:00:00"/>
    <d v="2026-02-09T00:00:00"/>
    <d v="2026-02-06T00:00:00"/>
    <d v="2026-02-06T00:00:00"/>
    <m/>
    <m/>
    <s v="YB-LA002"/>
    <m/>
    <s v="V9"/>
    <x v="2"/>
    <n v="1516"/>
    <m/>
    <m/>
    <m/>
    <m/>
    <n v="642"/>
    <m/>
    <n v="589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69"/>
    <s v="000396289"/>
    <s v="JRS"/>
    <m/>
    <s v="YB-LA002"/>
    <s v="V9-BH"/>
    <s v="YB-LA002"/>
    <s v="3655124-5"/>
    <s v="単体"/>
    <n v="1"/>
    <m/>
    <n v="1"/>
    <d v="2026-01-29T00:00:00"/>
    <d v="2026-02-10T00:00:00"/>
    <d v="2026-02-09T00:00:00"/>
    <d v="2026-02-09T00:00:00"/>
    <m/>
    <m/>
    <s v="YB-LA002"/>
    <m/>
    <s v="V9"/>
    <x v="2"/>
    <n v="1517"/>
    <m/>
    <m/>
    <m/>
    <m/>
    <n v="643"/>
    <m/>
    <n v="59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70"/>
    <s v="000396292"/>
    <s v="JRS"/>
    <m/>
    <s v="YB-LA002"/>
    <s v="V9-BH"/>
    <s v="YB-LA002"/>
    <s v="3655124-5"/>
    <s v="単体"/>
    <n v="1"/>
    <m/>
    <n v="1"/>
    <d v="2026-01-29T00:00:00"/>
    <d v="2026-02-10T00:00:00"/>
    <d v="2026-02-09T00:00:00"/>
    <d v="2026-02-09T00:00:00"/>
    <m/>
    <m/>
    <s v="YB-LA002"/>
    <m/>
    <s v="V9"/>
    <x v="2"/>
    <n v="1518"/>
    <m/>
    <m/>
    <m/>
    <m/>
    <n v="644"/>
    <m/>
    <n v="591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72"/>
    <s v="000396281"/>
    <s v="JRS"/>
    <m/>
    <s v="YB-LA002"/>
    <s v="V9-BH"/>
    <s v="YB-LA002"/>
    <s v="3655124-5"/>
    <s v="単体"/>
    <n v="1"/>
    <m/>
    <n v="1"/>
    <d v="2026-01-30T00:00:00"/>
    <d v="2026-02-12T00:00:00"/>
    <d v="2026-02-10T00:00:00"/>
    <d v="2026-02-10T00:00:00"/>
    <m/>
    <m/>
    <s v="YB-LA002"/>
    <m/>
    <s v="V9"/>
    <x v="2"/>
    <n v="1519"/>
    <m/>
    <m/>
    <m/>
    <m/>
    <n v="645"/>
    <m/>
    <n v="592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71"/>
    <s v="000396283"/>
    <s v="JRS"/>
    <m/>
    <s v="YB-LA002"/>
    <s v="V9-BH"/>
    <s v="YB-LA002"/>
    <s v="3655124-5"/>
    <s v="単体"/>
    <n v="1"/>
    <m/>
    <n v="1"/>
    <d v="2026-01-30T00:00:00"/>
    <d v="2026-02-12T00:00:00"/>
    <d v="2026-02-10T00:00:00"/>
    <d v="2026-02-10T00:00:00"/>
    <m/>
    <m/>
    <s v="YB-LA002"/>
    <m/>
    <s v="V9"/>
    <x v="2"/>
    <n v="1520"/>
    <m/>
    <m/>
    <m/>
    <m/>
    <n v="646"/>
    <m/>
    <n v="593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73"/>
    <s v="000396290"/>
    <s v="JRS"/>
    <m/>
    <s v="YB-LA002"/>
    <s v="V9-BH"/>
    <s v="YB-LA002"/>
    <s v="3655124-5"/>
    <s v="単体"/>
    <n v="1"/>
    <m/>
    <n v="1"/>
    <d v="2026-02-02T00:00:00"/>
    <d v="2026-02-13T00:00:00"/>
    <d v="2026-02-12T00:00:00"/>
    <d v="2026-02-12T00:00:00"/>
    <m/>
    <m/>
    <s v="YB-LA002"/>
    <m/>
    <s v="V9"/>
    <x v="2"/>
    <n v="1521"/>
    <m/>
    <m/>
    <m/>
    <m/>
    <n v="647"/>
    <m/>
    <n v="594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75"/>
    <s v="000396280"/>
    <s v="JRS"/>
    <m/>
    <s v="YB-LA002"/>
    <s v="V9-BH"/>
    <s v="YB-LA002"/>
    <s v="3655124-5"/>
    <s v="単体"/>
    <n v="1"/>
    <m/>
    <n v="1"/>
    <d v="2026-02-03T00:00:00"/>
    <d v="2026-02-16T00:00:00"/>
    <d v="2026-02-13T00:00:00"/>
    <d v="2026-02-13T00:00:00"/>
    <m/>
    <m/>
    <s v="YB-LA002"/>
    <m/>
    <s v="V9"/>
    <x v="2"/>
    <n v="1522"/>
    <m/>
    <m/>
    <m/>
    <m/>
    <n v="648"/>
    <m/>
    <n v="595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76"/>
    <s v="000390849"/>
    <s v="JRS"/>
    <m/>
    <s v="YB-LA002"/>
    <s v="V9-BH"/>
    <s v="YB-LA002"/>
    <s v="3655124-5"/>
    <s v="単体"/>
    <n v="1"/>
    <m/>
    <n v="1"/>
    <d v="2026-02-04T00:00:00"/>
    <d v="2026-02-17T00:00:00"/>
    <d v="2026-02-16T00:00:00"/>
    <d v="2026-02-16T00:00:00"/>
    <m/>
    <m/>
    <s v="YB-LA002"/>
    <m/>
    <s v="V9"/>
    <x v="2"/>
    <n v="1523"/>
    <m/>
    <m/>
    <m/>
    <m/>
    <n v="649"/>
    <m/>
    <n v="596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</r>
  <r>
    <n v="181"/>
    <s v="000389428-01"/>
    <s v="先行生産"/>
    <m/>
    <s v="YB-LA001"/>
    <s v="V9-BH　計画生産"/>
    <s v="YB-LA001"/>
    <s v="5685000-1"/>
    <s v="単体"/>
    <n v="0"/>
    <m/>
    <n v="1"/>
    <m/>
    <d v="2026-02-25T00:00:00"/>
    <d v="2026-02-20T00:00:00"/>
    <d v="2026-02-24T00:00:00"/>
    <m/>
    <m/>
    <s v="YB-LA001"/>
    <m/>
    <s v="V9"/>
    <x v="2"/>
    <n v="1524"/>
    <m/>
    <m/>
    <m/>
    <n v="878"/>
    <m/>
    <n v="9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89428-02"/>
    <s v="先行生産"/>
    <m/>
    <s v="YB-LA001"/>
    <s v="V9-BH　計画生産"/>
    <s v="YB-LA001"/>
    <s v="5685000-1"/>
    <s v="単体"/>
    <n v="0"/>
    <m/>
    <n v="1"/>
    <m/>
    <d v="2026-02-25T00:00:00"/>
    <d v="2026-02-20T00:00:00"/>
    <d v="2026-02-24T00:00:00"/>
    <m/>
    <m/>
    <s v="YB-LA001"/>
    <m/>
    <s v="V9"/>
    <x v="2"/>
    <n v="1525"/>
    <m/>
    <m/>
    <m/>
    <n v="879"/>
    <m/>
    <n v="9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89428-03"/>
    <s v="先行生産"/>
    <m/>
    <s v="YB-LA001"/>
    <s v="V9-BH　計画生産"/>
    <s v="YB-LA001"/>
    <s v="5685000-1"/>
    <s v="単体"/>
    <n v="0"/>
    <m/>
    <n v="1"/>
    <m/>
    <d v="2026-02-26T00:00:00"/>
    <d v="2026-02-20T00:00:00"/>
    <d v="2026-02-24T00:00:00"/>
    <m/>
    <m/>
    <s v="YB-LA001"/>
    <m/>
    <s v="V9"/>
    <x v="2"/>
    <n v="1526"/>
    <m/>
    <m/>
    <m/>
    <n v="880"/>
    <m/>
    <n v="9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89428-04"/>
    <s v="先行生産"/>
    <m/>
    <s v="YB-LA001"/>
    <s v="V9-BH　計画生産"/>
    <s v="YB-LA001"/>
    <s v="5685000-1"/>
    <s v="単体"/>
    <n v="0"/>
    <m/>
    <n v="1"/>
    <m/>
    <d v="2026-02-27T00:00:00"/>
    <d v="2026-02-20T00:00:00"/>
    <d v="2026-02-24T00:00:00"/>
    <m/>
    <m/>
    <s v="YB-LA001"/>
    <m/>
    <s v="V9"/>
    <x v="2"/>
    <n v="1527"/>
    <m/>
    <m/>
    <m/>
    <n v="881"/>
    <m/>
    <n v="9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89428-05"/>
    <s v="先行生産"/>
    <m/>
    <s v="YB-LA001"/>
    <s v="V9-BH　計画生産"/>
    <s v="YB-LA001"/>
    <s v="5685000-1"/>
    <s v="単体"/>
    <n v="0"/>
    <m/>
    <n v="1"/>
    <m/>
    <d v="2026-03-02T00:00:00"/>
    <d v="2026-02-20T00:00:00"/>
    <d v="2026-02-24T00:00:00"/>
    <m/>
    <m/>
    <s v="YB-LA001"/>
    <m/>
    <s v="V9"/>
    <x v="3"/>
    <n v="1528"/>
    <m/>
    <m/>
    <m/>
    <n v="882"/>
    <m/>
    <n v="9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89428-06"/>
    <s v="先行生産"/>
    <m/>
    <s v="YB-LA001"/>
    <s v="V9-BH　計画生産"/>
    <s v="YB-LA001"/>
    <s v="5685000-1"/>
    <s v="単体"/>
    <n v="0"/>
    <m/>
    <n v="1"/>
    <m/>
    <d v="2026-03-03T00:00:00"/>
    <d v="2026-02-20T00:00:00"/>
    <d v="2026-02-24T00:00:00"/>
    <m/>
    <m/>
    <s v="YB-LA001"/>
    <m/>
    <s v="V9"/>
    <x v="3"/>
    <n v="1529"/>
    <m/>
    <m/>
    <m/>
    <n v="883"/>
    <m/>
    <n v="9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01"/>
    <s v="先行生産"/>
    <m/>
    <s v="YB-LA001"/>
    <s v="V9-BH　計画生産"/>
    <s v="YB-LA001"/>
    <s v="5685000-1"/>
    <s v="単体"/>
    <n v="0"/>
    <m/>
    <n v="1"/>
    <m/>
    <d v="2026-03-23T00:00:00"/>
    <d v="2026-03-18T00:00:00"/>
    <d v="2026-03-19T00:00:00"/>
    <m/>
    <m/>
    <s v="YB-LA001"/>
    <m/>
    <s v="V9"/>
    <x v="3"/>
    <n v="1530"/>
    <m/>
    <m/>
    <m/>
    <n v="884"/>
    <m/>
    <n v="9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02"/>
    <s v="先行生産"/>
    <m/>
    <s v="YB-LA001"/>
    <s v="V9-BH　計画生産"/>
    <s v="YB-LA001"/>
    <s v="5685000-1"/>
    <s v="単体"/>
    <n v="0"/>
    <m/>
    <n v="1"/>
    <m/>
    <d v="2026-03-23T00:00:00"/>
    <d v="2026-03-18T00:00:00"/>
    <d v="2026-03-19T00:00:00"/>
    <m/>
    <m/>
    <s v="YB-LA001"/>
    <m/>
    <s v="V9"/>
    <x v="3"/>
    <n v="1531"/>
    <m/>
    <m/>
    <m/>
    <n v="885"/>
    <m/>
    <n v="9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03"/>
    <s v="先行生産"/>
    <m/>
    <s v="YB-LA001"/>
    <s v="V9-BH　計画生産"/>
    <s v="YB-LA001"/>
    <s v="5685000-1"/>
    <s v="単体"/>
    <n v="0"/>
    <m/>
    <n v="1"/>
    <m/>
    <d v="2026-03-23T00:00:00"/>
    <d v="2026-03-18T00:00:00"/>
    <d v="2026-03-19T00:00:00"/>
    <m/>
    <m/>
    <s v="YB-LA001"/>
    <m/>
    <s v="V9"/>
    <x v="3"/>
    <n v="1532"/>
    <m/>
    <m/>
    <m/>
    <n v="886"/>
    <m/>
    <n v="9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04"/>
    <s v="先行生産"/>
    <m/>
    <s v="YB-LA001"/>
    <s v="V9-BH　計画生産"/>
    <s v="YB-LA001"/>
    <s v="5685000-1"/>
    <s v="単体"/>
    <n v="0"/>
    <m/>
    <n v="1"/>
    <m/>
    <d v="2026-03-24T00:00:00"/>
    <d v="2026-03-18T00:00:00"/>
    <d v="2026-03-19T00:00:00"/>
    <m/>
    <m/>
    <s v="YB-LA001"/>
    <m/>
    <s v="V9"/>
    <x v="3"/>
    <n v="1533"/>
    <m/>
    <m/>
    <m/>
    <n v="887"/>
    <m/>
    <n v="9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05"/>
    <s v="先行生産"/>
    <m/>
    <s v="YB-LA001"/>
    <s v="V9-BH　計画生産"/>
    <s v="YB-LA001"/>
    <s v="5685000-1"/>
    <s v="単体"/>
    <n v="0"/>
    <m/>
    <n v="1"/>
    <m/>
    <d v="2026-03-24T00:00:00"/>
    <d v="2026-03-18T00:00:00"/>
    <d v="2026-03-19T00:00:00"/>
    <m/>
    <m/>
    <s v="YB-LA001"/>
    <m/>
    <s v="V9"/>
    <x v="3"/>
    <n v="1534"/>
    <m/>
    <m/>
    <m/>
    <n v="888"/>
    <m/>
    <n v="9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06"/>
    <s v="先行生産"/>
    <m/>
    <s v="YB-LA001"/>
    <s v="V9-BH　計画生産"/>
    <s v="YB-LA001"/>
    <s v="5685000-1"/>
    <s v="単体"/>
    <n v="0"/>
    <m/>
    <n v="1"/>
    <m/>
    <d v="2026-03-24T00:00:00"/>
    <d v="2026-03-18T00:00:00"/>
    <d v="2026-03-19T00:00:00"/>
    <m/>
    <m/>
    <s v="YB-LA001"/>
    <m/>
    <s v="V9"/>
    <x v="3"/>
    <n v="1535"/>
    <m/>
    <m/>
    <m/>
    <n v="889"/>
    <m/>
    <n v="9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07"/>
    <s v="先行生産"/>
    <m/>
    <s v="YB-LA001"/>
    <s v="V9-BH　計画生産"/>
    <s v="YB-LA001"/>
    <s v="5685000-1"/>
    <s v="単体"/>
    <n v="0"/>
    <m/>
    <n v="1"/>
    <m/>
    <d v="2026-03-25T00:00:00"/>
    <d v="2026-03-18T00:00:00"/>
    <d v="2026-03-19T00:00:00"/>
    <m/>
    <m/>
    <s v="YB-LA001"/>
    <m/>
    <s v="V9"/>
    <x v="3"/>
    <n v="1536"/>
    <m/>
    <m/>
    <m/>
    <n v="890"/>
    <m/>
    <n v="9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08"/>
    <s v="先行生産"/>
    <m/>
    <s v="YB-LA001"/>
    <s v="V9-BH　計画生産"/>
    <s v="YB-LA001"/>
    <s v="5685000-1"/>
    <s v="単体"/>
    <n v="0"/>
    <m/>
    <n v="1"/>
    <m/>
    <d v="2026-03-25T00:00:00"/>
    <d v="2026-03-18T00:00:00"/>
    <d v="2026-03-19T00:00:00"/>
    <m/>
    <m/>
    <s v="YB-LA001"/>
    <m/>
    <s v="V9"/>
    <x v="3"/>
    <n v="1537"/>
    <m/>
    <m/>
    <m/>
    <n v="891"/>
    <m/>
    <n v="9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09"/>
    <s v="先行生産"/>
    <m/>
    <s v="YB-LA001"/>
    <s v="V9-BH　計画生産"/>
    <s v="YB-LA001"/>
    <s v="5685000-1"/>
    <s v="単体"/>
    <n v="0"/>
    <m/>
    <n v="1"/>
    <m/>
    <d v="2026-03-26T00:00:00"/>
    <d v="2026-03-18T00:00:00"/>
    <d v="2026-03-19T00:00:00"/>
    <m/>
    <m/>
    <s v="YB-LA001"/>
    <m/>
    <s v="V9"/>
    <x v="3"/>
    <n v="1538"/>
    <m/>
    <m/>
    <m/>
    <n v="892"/>
    <m/>
    <n v="9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10"/>
    <s v="先行生産"/>
    <m/>
    <s v="YB-LA001"/>
    <s v="V9-BH　計画生産"/>
    <s v="YB-LA001"/>
    <s v="5685000-1"/>
    <s v="単体"/>
    <n v="0"/>
    <m/>
    <n v="1"/>
    <m/>
    <d v="2026-03-26T00:00:00"/>
    <d v="2026-03-18T00:00:00"/>
    <d v="2026-03-19T00:00:00"/>
    <m/>
    <m/>
    <s v="YB-LA001"/>
    <m/>
    <s v="V9"/>
    <x v="3"/>
    <n v="1539"/>
    <m/>
    <m/>
    <m/>
    <n v="893"/>
    <m/>
    <n v="9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11"/>
    <s v="先行生産"/>
    <m/>
    <s v="YB-LA001"/>
    <s v="V9-BH　計画生産"/>
    <s v="YB-LA001"/>
    <s v="5685000-1"/>
    <s v="単体"/>
    <n v="0"/>
    <m/>
    <n v="1"/>
    <m/>
    <d v="2026-03-31T00:00:00"/>
    <d v="2026-03-18T00:00:00"/>
    <d v="2026-03-19T00:00:00"/>
    <m/>
    <m/>
    <s v="YB-LA001"/>
    <m/>
    <s v="V9"/>
    <x v="3"/>
    <n v="1540"/>
    <m/>
    <m/>
    <m/>
    <n v="894"/>
    <m/>
    <n v="9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2"/>
    <s v="000389430-12"/>
    <s v="先行生産"/>
    <m/>
    <s v="YB-LA001"/>
    <s v="V9-BH　計画生産"/>
    <s v="YB-LA001"/>
    <s v="5685000-1"/>
    <s v="単体"/>
    <n v="0"/>
    <m/>
    <n v="1"/>
    <m/>
    <d v="2026-03-31T00:00:00"/>
    <d v="2026-03-18T00:00:00"/>
    <d v="2026-03-19T00:00:00"/>
    <m/>
    <m/>
    <s v="YB-LA001"/>
    <m/>
    <s v="V9"/>
    <x v="3"/>
    <n v="1541"/>
    <m/>
    <m/>
    <m/>
    <n v="895"/>
    <m/>
    <n v="9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01"/>
    <s v="先行生産"/>
    <m/>
    <s v="YB-LA001"/>
    <s v="V9-BH　計画生産"/>
    <s v="YB-LA001"/>
    <s v="5685000-1"/>
    <s v="単体"/>
    <n v="0"/>
    <m/>
    <n v="1"/>
    <m/>
    <d v="2026-04-01T00:00:00"/>
    <d v="2026-03-30T00:00:00"/>
    <d v="2026-03-31T00:00:00"/>
    <m/>
    <m/>
    <s v="YB-LA001"/>
    <m/>
    <s v="V9"/>
    <x v="4"/>
    <n v="1542"/>
    <m/>
    <m/>
    <m/>
    <n v="896"/>
    <m/>
    <n v="9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02"/>
    <s v="先行生産"/>
    <m/>
    <s v="YB-LA001"/>
    <s v="V9-BH　計画生産"/>
    <s v="YB-LA001"/>
    <s v="5685000-1"/>
    <s v="単体"/>
    <n v="0"/>
    <m/>
    <n v="1"/>
    <m/>
    <d v="2026-04-01T00:00:00"/>
    <d v="2026-03-30T00:00:00"/>
    <d v="2026-03-31T00:00:00"/>
    <m/>
    <m/>
    <s v="YB-LA001"/>
    <m/>
    <s v="V9"/>
    <x v="4"/>
    <n v="1543"/>
    <m/>
    <m/>
    <m/>
    <n v="897"/>
    <m/>
    <n v="9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03"/>
    <s v="先行生産"/>
    <m/>
    <s v="YB-LA001"/>
    <s v="V9-BH　計画生産"/>
    <s v="YB-LA001"/>
    <s v="5685000-1"/>
    <s v="単体"/>
    <n v="0"/>
    <m/>
    <n v="1"/>
    <m/>
    <d v="2026-04-01T00:00:00"/>
    <d v="2026-03-30T00:00:00"/>
    <d v="2026-03-31T00:00:00"/>
    <m/>
    <m/>
    <s v="YB-LA001"/>
    <m/>
    <s v="V9"/>
    <x v="4"/>
    <n v="1544"/>
    <m/>
    <m/>
    <m/>
    <n v="898"/>
    <m/>
    <n v="9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04"/>
    <s v="先行生産"/>
    <m/>
    <s v="YB-LA001"/>
    <s v="V9-BH　計画生産"/>
    <s v="YB-LA001"/>
    <s v="5685000-1"/>
    <s v="単体"/>
    <n v="0"/>
    <m/>
    <n v="1"/>
    <m/>
    <d v="2026-04-02T00:00:00"/>
    <d v="2026-03-30T00:00:00"/>
    <d v="2026-03-31T00:00:00"/>
    <m/>
    <m/>
    <s v="YB-LA001"/>
    <m/>
    <s v="V9"/>
    <x v="4"/>
    <n v="1545"/>
    <m/>
    <m/>
    <m/>
    <n v="899"/>
    <m/>
    <n v="9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05"/>
    <s v="先行生産"/>
    <m/>
    <s v="YB-LA001"/>
    <s v="V9-BH　計画生産"/>
    <s v="YB-LA001"/>
    <s v="5685000-1"/>
    <s v="単体"/>
    <n v="0"/>
    <m/>
    <n v="1"/>
    <m/>
    <d v="2026-04-02T00:00:00"/>
    <d v="2026-03-30T00:00:00"/>
    <d v="2026-03-31T00:00:00"/>
    <m/>
    <m/>
    <s v="YB-LA001"/>
    <m/>
    <s v="V9"/>
    <x v="4"/>
    <n v="1546"/>
    <m/>
    <m/>
    <m/>
    <n v="900"/>
    <m/>
    <n v="9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06"/>
    <s v="先行生産"/>
    <m/>
    <s v="YB-LA001"/>
    <s v="V9-BH　計画生産"/>
    <s v="YB-LA001"/>
    <s v="5685000-1"/>
    <s v="単体"/>
    <n v="0"/>
    <m/>
    <n v="1"/>
    <m/>
    <d v="2026-04-02T00:00:00"/>
    <d v="2026-03-30T00:00:00"/>
    <d v="2026-03-31T00:00:00"/>
    <m/>
    <m/>
    <s v="YB-LA001"/>
    <m/>
    <s v="V9"/>
    <x v="4"/>
    <n v="1547"/>
    <m/>
    <m/>
    <m/>
    <n v="901"/>
    <m/>
    <n v="9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07"/>
    <s v="先行生産"/>
    <m/>
    <s v="YB-LA001"/>
    <s v="V9-BH　計画生産"/>
    <s v="YB-LA001"/>
    <s v="5685000-1"/>
    <s v="単体"/>
    <n v="0"/>
    <m/>
    <n v="1"/>
    <m/>
    <d v="2026-04-03T00:00:00"/>
    <d v="2026-03-30T00:00:00"/>
    <d v="2026-03-31T00:00:00"/>
    <m/>
    <m/>
    <s v="YB-LA001"/>
    <m/>
    <s v="V9"/>
    <x v="4"/>
    <n v="1548"/>
    <m/>
    <m/>
    <m/>
    <n v="902"/>
    <m/>
    <n v="9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08"/>
    <s v="先行生産"/>
    <m/>
    <s v="YB-LA001"/>
    <s v="V9-BH　計画生産"/>
    <s v="YB-LA001"/>
    <s v="5685000-1"/>
    <s v="単体"/>
    <n v="0"/>
    <m/>
    <n v="1"/>
    <m/>
    <d v="2026-04-03T00:00:00"/>
    <d v="2026-03-30T00:00:00"/>
    <d v="2026-03-31T00:00:00"/>
    <m/>
    <m/>
    <s v="YB-LA001"/>
    <m/>
    <s v="V9"/>
    <x v="4"/>
    <n v="1549"/>
    <m/>
    <m/>
    <m/>
    <n v="903"/>
    <m/>
    <n v="9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09"/>
    <s v="先行生産"/>
    <m/>
    <s v="YB-LA001"/>
    <s v="V9-BH　計画生産"/>
    <s v="YB-LA001"/>
    <s v="5685000-1"/>
    <s v="単体"/>
    <n v="0"/>
    <m/>
    <n v="1"/>
    <m/>
    <d v="2026-04-06T00:00:00"/>
    <d v="2026-03-30T00:00:00"/>
    <d v="2026-03-31T00:00:00"/>
    <m/>
    <m/>
    <s v="YB-LA001"/>
    <m/>
    <s v="V9"/>
    <x v="4"/>
    <n v="1550"/>
    <m/>
    <m/>
    <m/>
    <n v="904"/>
    <m/>
    <n v="9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10"/>
    <s v="先行生産"/>
    <m/>
    <s v="YB-LA001"/>
    <s v="V9-BH　計画生産"/>
    <s v="YB-LA001"/>
    <s v="5685000-1"/>
    <s v="単体"/>
    <n v="0"/>
    <m/>
    <n v="1"/>
    <m/>
    <d v="2026-04-06T00:00:00"/>
    <d v="2026-03-30T00:00:00"/>
    <d v="2026-03-31T00:00:00"/>
    <m/>
    <m/>
    <s v="YB-LA001"/>
    <m/>
    <s v="V9"/>
    <x v="4"/>
    <n v="1551"/>
    <m/>
    <m/>
    <m/>
    <n v="905"/>
    <m/>
    <n v="9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11"/>
    <s v="先行生産"/>
    <m/>
    <s v="YB-LA001"/>
    <s v="V9-BH　計画生産"/>
    <s v="YB-LA001"/>
    <s v="5685000-1"/>
    <s v="単体"/>
    <n v="0"/>
    <m/>
    <n v="1"/>
    <m/>
    <d v="2026-04-07T00:00:00"/>
    <d v="2026-03-30T00:00:00"/>
    <d v="2026-03-31T00:00:00"/>
    <m/>
    <m/>
    <s v="YB-LA001"/>
    <m/>
    <s v="V9"/>
    <x v="4"/>
    <n v="1552"/>
    <m/>
    <m/>
    <m/>
    <n v="906"/>
    <m/>
    <n v="9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06"/>
    <s v="000391137-12"/>
    <s v="先行生産"/>
    <m/>
    <s v="YB-LA001"/>
    <s v="V9-BH　計画生産"/>
    <s v="YB-LA001"/>
    <s v="5685000-1"/>
    <s v="単体"/>
    <n v="0"/>
    <m/>
    <n v="1"/>
    <m/>
    <d v="2026-04-07T00:00:00"/>
    <d v="2026-03-30T00:00:00"/>
    <d v="2026-03-31T00:00:00"/>
    <m/>
    <m/>
    <s v="YB-LA001"/>
    <m/>
    <s v="V9"/>
    <x v="4"/>
    <n v="1553"/>
    <m/>
    <m/>
    <m/>
    <n v="907"/>
    <m/>
    <n v="9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1"/>
    <s v="000391138-01"/>
    <s v="先行生産"/>
    <m/>
    <s v="YB-LA001"/>
    <s v="V9-BH　計画生産"/>
    <s v="YB-LA001"/>
    <s v="5685000-1"/>
    <s v="単体"/>
    <n v="0"/>
    <m/>
    <n v="1"/>
    <m/>
    <d v="2026-04-08T00:00:00"/>
    <d v="2026-04-06T00:00:00"/>
    <d v="2026-04-07T00:00:00"/>
    <m/>
    <m/>
    <s v="YB-LA001"/>
    <m/>
    <s v="V9"/>
    <x v="4"/>
    <n v="1554"/>
    <m/>
    <m/>
    <m/>
    <n v="908"/>
    <m/>
    <n v="9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1"/>
    <s v="000391138-02"/>
    <s v="先行生産"/>
    <m/>
    <s v="YB-LA001"/>
    <s v="V9-BH　計画生産"/>
    <s v="YB-LA001"/>
    <s v="5685000-1"/>
    <s v="単体"/>
    <n v="0"/>
    <m/>
    <n v="1"/>
    <m/>
    <d v="2026-04-08T00:00:00"/>
    <d v="2026-04-06T00:00:00"/>
    <d v="2026-04-07T00:00:00"/>
    <m/>
    <m/>
    <s v="YB-LA001"/>
    <m/>
    <s v="V9"/>
    <x v="4"/>
    <n v="1555"/>
    <m/>
    <m/>
    <m/>
    <n v="909"/>
    <m/>
    <n v="9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1"/>
    <s v="000391138-03"/>
    <s v="先行生産"/>
    <m/>
    <s v="YB-LA001"/>
    <s v="V9-BH　計画生産"/>
    <s v="YB-LA001"/>
    <s v="5685000-1"/>
    <s v="単体"/>
    <n v="0"/>
    <m/>
    <n v="1"/>
    <m/>
    <d v="2026-04-08T00:00:00"/>
    <d v="2026-04-06T00:00:00"/>
    <d v="2026-04-07T00:00:00"/>
    <m/>
    <m/>
    <s v="YB-LA001"/>
    <m/>
    <s v="V9"/>
    <x v="4"/>
    <n v="1556"/>
    <m/>
    <m/>
    <m/>
    <n v="910"/>
    <m/>
    <n v="9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1"/>
    <s v="000391138-04"/>
    <s v="先行生産"/>
    <m/>
    <s v="YB-LA001"/>
    <s v="V9-BH　計画生産"/>
    <s v="YB-LA001"/>
    <s v="5685000-1"/>
    <s v="単体"/>
    <n v="0"/>
    <m/>
    <n v="1"/>
    <m/>
    <d v="2026-04-09T00:00:00"/>
    <d v="2026-04-06T00:00:00"/>
    <d v="2026-04-07T00:00:00"/>
    <m/>
    <m/>
    <s v="YB-LA001"/>
    <m/>
    <s v="V9"/>
    <x v="4"/>
    <n v="1557"/>
    <m/>
    <m/>
    <m/>
    <n v="911"/>
    <m/>
    <n v="9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1"/>
    <s v="000391138-05"/>
    <s v="先行生産"/>
    <m/>
    <s v="YB-LA001"/>
    <s v="V9-BH　計画生産"/>
    <s v="YB-LA001"/>
    <s v="5685000-1"/>
    <s v="単体"/>
    <n v="0"/>
    <m/>
    <n v="1"/>
    <m/>
    <d v="2026-04-09T00:00:00"/>
    <d v="2026-04-06T00:00:00"/>
    <d v="2026-04-07T00:00:00"/>
    <m/>
    <m/>
    <s v="YB-LA001"/>
    <m/>
    <s v="V9"/>
    <x v="4"/>
    <n v="1558"/>
    <m/>
    <m/>
    <m/>
    <n v="912"/>
    <m/>
    <n v="9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1"/>
    <s v="000391138-06"/>
    <s v="先行生産"/>
    <m/>
    <s v="YB-LA001"/>
    <s v="V9-BH　計画生産"/>
    <s v="YB-LA001"/>
    <s v="5685000-1"/>
    <s v="単体"/>
    <n v="0"/>
    <m/>
    <n v="1"/>
    <m/>
    <d v="2026-04-10T00:00:00"/>
    <d v="2026-04-06T00:00:00"/>
    <d v="2026-04-07T00:00:00"/>
    <m/>
    <m/>
    <s v="YB-LA001"/>
    <m/>
    <s v="V9"/>
    <x v="4"/>
    <n v="1559"/>
    <m/>
    <m/>
    <m/>
    <n v="913"/>
    <m/>
    <n v="9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1"/>
    <s v="000391138-07"/>
    <s v="先行生産"/>
    <m/>
    <s v="YB-LA001"/>
    <s v="V9-BH　計画生産"/>
    <s v="YB-LA001"/>
    <s v="5685000-1"/>
    <s v="単体"/>
    <n v="0"/>
    <m/>
    <n v="1"/>
    <m/>
    <d v="2026-04-10T00:00:00"/>
    <d v="2026-04-06T00:00:00"/>
    <d v="2026-04-07T00:00:00"/>
    <m/>
    <m/>
    <s v="YB-LA001"/>
    <m/>
    <s v="V9"/>
    <x v="4"/>
    <n v="1560"/>
    <m/>
    <m/>
    <m/>
    <n v="914"/>
    <m/>
    <n v="9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1"/>
    <s v="000391138-08"/>
    <s v="先行生産"/>
    <m/>
    <s v="YB-LA001"/>
    <s v="V9-BH　計画生産"/>
    <s v="YB-LA001"/>
    <s v="5685000-1"/>
    <s v="単体"/>
    <n v="0"/>
    <m/>
    <n v="1"/>
    <m/>
    <d v="2026-04-13T00:00:00"/>
    <d v="2026-04-06T00:00:00"/>
    <d v="2026-04-07T00:00:00"/>
    <m/>
    <m/>
    <s v="YB-LA001"/>
    <m/>
    <s v="V9"/>
    <x v="4"/>
    <n v="1561"/>
    <m/>
    <m/>
    <m/>
    <n v="915"/>
    <m/>
    <n v="9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1"/>
    <s v="000391138-09"/>
    <s v="先行生産"/>
    <m/>
    <s v="YB-LA001"/>
    <s v="V9-BH　計画生産"/>
    <s v="YB-LA001"/>
    <s v="5685000-1"/>
    <s v="単体"/>
    <n v="0"/>
    <m/>
    <n v="1"/>
    <m/>
    <d v="2026-04-13T00:00:00"/>
    <d v="2026-04-06T00:00:00"/>
    <d v="2026-04-07T00:00:00"/>
    <m/>
    <m/>
    <s v="YB-LA001"/>
    <m/>
    <s v="V9"/>
    <x v="4"/>
    <n v="1562"/>
    <m/>
    <m/>
    <m/>
    <n v="916"/>
    <m/>
    <n v="9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1"/>
    <s v="000391138-10"/>
    <s v="先行生産"/>
    <m/>
    <s v="YB-LA001"/>
    <s v="V9-BH　計画生産"/>
    <s v="YB-LA001"/>
    <s v="5685000-1"/>
    <s v="単体"/>
    <n v="0"/>
    <m/>
    <n v="1"/>
    <m/>
    <d v="2026-04-14T00:00:00"/>
    <d v="2026-04-06T00:00:00"/>
    <d v="2026-04-07T00:00:00"/>
    <m/>
    <m/>
    <s v="YB-LA001"/>
    <m/>
    <s v="V9"/>
    <x v="4"/>
    <n v="1563"/>
    <m/>
    <m/>
    <m/>
    <n v="917"/>
    <m/>
    <n v="9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1"/>
    <s v="000391138-11"/>
    <s v="先行生産"/>
    <m/>
    <s v="YB-LA001"/>
    <s v="V9-BH　計画生産"/>
    <s v="YB-LA001"/>
    <s v="5685000-1"/>
    <s v="単体"/>
    <n v="0"/>
    <m/>
    <n v="1"/>
    <m/>
    <d v="2026-04-14T00:00:00"/>
    <d v="2026-04-06T00:00:00"/>
    <d v="2026-04-07T00:00:00"/>
    <m/>
    <m/>
    <s v="YB-LA001"/>
    <m/>
    <s v="V9"/>
    <x v="4"/>
    <n v="1564"/>
    <m/>
    <m/>
    <m/>
    <n v="918"/>
    <m/>
    <n v="9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3"/>
    <s v="000391139-01"/>
    <s v="先行生産"/>
    <m/>
    <s v="YB-LA001"/>
    <s v="V9-BH　計画生産"/>
    <s v="YB-LA001"/>
    <s v="5685000-1"/>
    <s v="単体"/>
    <n v="0"/>
    <m/>
    <n v="1"/>
    <m/>
    <d v="2026-04-15T00:00:00"/>
    <d v="2026-04-13T00:00:00"/>
    <d v="2026-04-14T00:00:00"/>
    <m/>
    <m/>
    <s v="YB-LA001"/>
    <m/>
    <s v="V9"/>
    <x v="4"/>
    <n v="1565"/>
    <m/>
    <m/>
    <m/>
    <n v="919"/>
    <m/>
    <n v="9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3"/>
    <s v="000391139-02"/>
    <s v="先行生産"/>
    <m/>
    <s v="YB-LA001"/>
    <s v="V9-BH　計画生産"/>
    <s v="YB-LA001"/>
    <s v="5685000-1"/>
    <s v="単体"/>
    <n v="0"/>
    <m/>
    <n v="1"/>
    <m/>
    <d v="2026-04-15T00:00:00"/>
    <d v="2026-04-13T00:00:00"/>
    <d v="2026-04-14T00:00:00"/>
    <m/>
    <m/>
    <s v="YB-LA001"/>
    <m/>
    <s v="V9"/>
    <x v="4"/>
    <n v="1566"/>
    <m/>
    <m/>
    <m/>
    <n v="920"/>
    <m/>
    <n v="9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3"/>
    <s v="000391139-03"/>
    <s v="先行生産"/>
    <m/>
    <s v="YB-LA001"/>
    <s v="V9-BH　計画生産"/>
    <s v="YB-LA001"/>
    <s v="5685000-1"/>
    <s v="単体"/>
    <n v="0"/>
    <m/>
    <n v="1"/>
    <m/>
    <d v="2026-04-15T00:00:00"/>
    <d v="2026-04-13T00:00:00"/>
    <d v="2026-04-14T00:00:00"/>
    <m/>
    <m/>
    <s v="YB-LA001"/>
    <m/>
    <s v="V9"/>
    <x v="4"/>
    <n v="1567"/>
    <m/>
    <m/>
    <m/>
    <n v="921"/>
    <m/>
    <n v="9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3"/>
    <s v="000391139-04"/>
    <s v="先行生産"/>
    <m/>
    <s v="YB-LA001"/>
    <s v="V9-BH　計画生産"/>
    <s v="YB-LA001"/>
    <s v="5685000-1"/>
    <s v="単体"/>
    <n v="0"/>
    <m/>
    <n v="1"/>
    <m/>
    <d v="2026-04-16T00:00:00"/>
    <d v="2026-04-13T00:00:00"/>
    <d v="2026-04-14T00:00:00"/>
    <m/>
    <m/>
    <s v="YB-LA001"/>
    <m/>
    <s v="V9"/>
    <x v="4"/>
    <n v="1568"/>
    <m/>
    <m/>
    <m/>
    <n v="922"/>
    <m/>
    <n v="9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3"/>
    <s v="000391139-05"/>
    <s v="先行生産"/>
    <m/>
    <s v="YB-LA001"/>
    <s v="V9-BH　計画生産"/>
    <s v="YB-LA001"/>
    <s v="5685000-1"/>
    <s v="単体"/>
    <n v="0"/>
    <m/>
    <n v="1"/>
    <m/>
    <d v="2026-04-16T00:00:00"/>
    <d v="2026-04-13T00:00:00"/>
    <d v="2026-04-14T00:00:00"/>
    <m/>
    <m/>
    <s v="YB-LA001"/>
    <m/>
    <s v="V9"/>
    <x v="4"/>
    <n v="1569"/>
    <m/>
    <m/>
    <m/>
    <n v="923"/>
    <m/>
    <n v="9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3"/>
    <s v="000391139-06"/>
    <s v="先行生産"/>
    <m/>
    <s v="YB-LA001"/>
    <s v="V9-BH　計画生産"/>
    <s v="YB-LA001"/>
    <s v="5685000-1"/>
    <s v="単体"/>
    <n v="0"/>
    <m/>
    <n v="1"/>
    <m/>
    <d v="2026-04-16T00:00:00"/>
    <d v="2026-04-13T00:00:00"/>
    <d v="2026-04-14T00:00:00"/>
    <m/>
    <m/>
    <s v="YB-LA001"/>
    <m/>
    <s v="V9"/>
    <x v="4"/>
    <n v="1570"/>
    <m/>
    <m/>
    <m/>
    <n v="924"/>
    <m/>
    <n v="9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3"/>
    <s v="000391139-07"/>
    <s v="先行生産"/>
    <m/>
    <s v="YB-LA001"/>
    <s v="V9-BH　計画生産"/>
    <s v="YB-LA001"/>
    <s v="5685000-1"/>
    <s v="単体"/>
    <n v="0"/>
    <m/>
    <n v="1"/>
    <m/>
    <d v="2026-04-17T00:00:00"/>
    <d v="2026-04-13T00:00:00"/>
    <d v="2026-04-14T00:00:00"/>
    <m/>
    <m/>
    <s v="YB-LA001"/>
    <m/>
    <s v="V9"/>
    <x v="4"/>
    <n v="1571"/>
    <m/>
    <m/>
    <m/>
    <n v="925"/>
    <m/>
    <n v="9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3"/>
    <s v="000391139-08"/>
    <s v="先行生産"/>
    <m/>
    <s v="YB-LA001"/>
    <s v="V9-BH　計画生産"/>
    <s v="YB-LA001"/>
    <s v="5685000-1"/>
    <s v="単体"/>
    <n v="0"/>
    <m/>
    <n v="1"/>
    <m/>
    <d v="2026-04-17T00:00:00"/>
    <d v="2026-04-13T00:00:00"/>
    <d v="2026-04-14T00:00:00"/>
    <m/>
    <m/>
    <s v="YB-LA001"/>
    <m/>
    <s v="V9"/>
    <x v="4"/>
    <n v="1572"/>
    <m/>
    <m/>
    <m/>
    <n v="926"/>
    <m/>
    <n v="9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3"/>
    <s v="000391139-09"/>
    <s v="先行生産"/>
    <m/>
    <s v="YB-LA001"/>
    <s v="V9-BH　計画生産"/>
    <s v="YB-LA001"/>
    <s v="5685000-1"/>
    <s v="単体"/>
    <n v="0"/>
    <m/>
    <n v="1"/>
    <m/>
    <d v="2026-04-17T00:00:00"/>
    <d v="2026-04-13T00:00:00"/>
    <d v="2026-04-14T00:00:00"/>
    <m/>
    <m/>
    <s v="YB-LA001"/>
    <m/>
    <s v="V9"/>
    <x v="4"/>
    <n v="1573"/>
    <m/>
    <m/>
    <m/>
    <n v="927"/>
    <m/>
    <n v="9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3"/>
    <s v="000391139-10"/>
    <s v="先行生産"/>
    <m/>
    <s v="YB-LA001"/>
    <s v="V9-BH　計画生産"/>
    <s v="YB-LA001"/>
    <s v="5685000-1"/>
    <s v="単体"/>
    <n v="0"/>
    <m/>
    <n v="1"/>
    <m/>
    <d v="2026-04-20T00:00:00"/>
    <d v="2026-04-13T00:00:00"/>
    <d v="2026-04-14T00:00:00"/>
    <m/>
    <m/>
    <s v="YB-LA001"/>
    <m/>
    <s v="V9"/>
    <x v="4"/>
    <n v="1574"/>
    <m/>
    <m/>
    <m/>
    <n v="928"/>
    <m/>
    <n v="9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13"/>
    <s v="000391139-11"/>
    <s v="先行生産"/>
    <m/>
    <s v="YB-LA001"/>
    <s v="V9-BH　計画生産"/>
    <s v="YB-LA001"/>
    <s v="5685000-1"/>
    <s v="単体"/>
    <n v="0"/>
    <m/>
    <n v="1"/>
    <m/>
    <d v="2026-04-20T00:00:00"/>
    <d v="2026-04-13T00:00:00"/>
    <d v="2026-04-14T00:00:00"/>
    <m/>
    <m/>
    <s v="YB-LA001"/>
    <m/>
    <s v="V9"/>
    <x v="4"/>
    <n v="1575"/>
    <m/>
    <m/>
    <m/>
    <n v="929"/>
    <m/>
    <n v="9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01"/>
    <s v="先行生産"/>
    <m/>
    <s v="YB-LA001"/>
    <s v="V9-BH　計画生産"/>
    <s v="YB-LA001"/>
    <s v="5685000-1"/>
    <s v="単体"/>
    <n v="0"/>
    <m/>
    <n v="1"/>
    <m/>
    <d v="2026-04-21T00:00:00"/>
    <d v="2026-04-17T00:00:00"/>
    <d v="2026-04-20T00:00:00"/>
    <m/>
    <m/>
    <s v="YB-LA001"/>
    <m/>
    <s v="V9"/>
    <x v="4"/>
    <n v="1576"/>
    <m/>
    <m/>
    <m/>
    <n v="930"/>
    <m/>
    <n v="9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02"/>
    <s v="先行生産"/>
    <m/>
    <s v="YB-LA001"/>
    <s v="V9-BH　計画生産"/>
    <s v="YB-LA001"/>
    <s v="5685000-1"/>
    <s v="単体"/>
    <n v="0"/>
    <m/>
    <n v="1"/>
    <m/>
    <d v="2026-04-21T00:00:00"/>
    <d v="2026-04-17T00:00:00"/>
    <d v="2026-04-20T00:00:00"/>
    <m/>
    <m/>
    <s v="YB-LA001"/>
    <m/>
    <s v="V9"/>
    <x v="4"/>
    <n v="1577"/>
    <m/>
    <m/>
    <m/>
    <n v="931"/>
    <m/>
    <n v="9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03"/>
    <s v="先行生産"/>
    <m/>
    <s v="YB-LA001"/>
    <s v="V9-BH　計画生産"/>
    <s v="YB-LA001"/>
    <s v="5685000-1"/>
    <s v="単体"/>
    <n v="0"/>
    <m/>
    <n v="1"/>
    <m/>
    <d v="2026-04-21T00:00:00"/>
    <d v="2026-04-17T00:00:00"/>
    <d v="2026-04-20T00:00:00"/>
    <m/>
    <m/>
    <s v="YB-LA001"/>
    <m/>
    <s v="V9"/>
    <x v="4"/>
    <n v="1578"/>
    <m/>
    <m/>
    <m/>
    <n v="932"/>
    <m/>
    <n v="9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04"/>
    <s v="先行生産"/>
    <m/>
    <s v="YB-LA001"/>
    <s v="V9-BH　計画生産"/>
    <s v="YB-LA001"/>
    <s v="5685000-1"/>
    <s v="単体"/>
    <n v="0"/>
    <m/>
    <n v="1"/>
    <m/>
    <d v="2026-04-21T00:00:00"/>
    <d v="2026-04-17T00:00:00"/>
    <d v="2026-04-20T00:00:00"/>
    <m/>
    <m/>
    <s v="YB-LA001"/>
    <m/>
    <s v="V9"/>
    <x v="4"/>
    <n v="1579"/>
    <m/>
    <m/>
    <m/>
    <n v="933"/>
    <m/>
    <n v="9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05"/>
    <s v="先行生産"/>
    <m/>
    <s v="YB-LA001"/>
    <s v="V9-BH　計画生産"/>
    <s v="YB-LA001"/>
    <s v="5685000-1"/>
    <s v="単体"/>
    <n v="0"/>
    <m/>
    <n v="1"/>
    <m/>
    <d v="2026-04-21T00:00:00"/>
    <d v="2026-04-17T00:00:00"/>
    <d v="2026-04-20T00:00:00"/>
    <m/>
    <m/>
    <s v="YB-LA001"/>
    <m/>
    <s v="V9"/>
    <x v="4"/>
    <n v="1580"/>
    <m/>
    <m/>
    <m/>
    <n v="934"/>
    <m/>
    <n v="9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06"/>
    <s v="先行生産"/>
    <m/>
    <s v="YB-LA001"/>
    <s v="V9-BH　計画生産"/>
    <s v="YB-LA001"/>
    <s v="5685000-1"/>
    <s v="単体"/>
    <n v="0"/>
    <m/>
    <n v="1"/>
    <m/>
    <d v="2026-04-21T00:00:00"/>
    <d v="2026-04-17T00:00:00"/>
    <d v="2026-04-20T00:00:00"/>
    <m/>
    <m/>
    <s v="YB-LA001"/>
    <m/>
    <s v="V9"/>
    <x v="4"/>
    <n v="1581"/>
    <m/>
    <m/>
    <m/>
    <n v="935"/>
    <m/>
    <n v="9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07"/>
    <s v="先行生産"/>
    <m/>
    <s v="YB-LA001"/>
    <s v="V9-BH　計画生産"/>
    <s v="YB-LA001"/>
    <s v="5685000-1"/>
    <s v="単体"/>
    <n v="0"/>
    <m/>
    <n v="1"/>
    <m/>
    <d v="2026-04-22T00:00:00"/>
    <d v="2026-04-17T00:00:00"/>
    <d v="2026-04-20T00:00:00"/>
    <m/>
    <m/>
    <s v="YB-LA001"/>
    <m/>
    <s v="V9"/>
    <x v="4"/>
    <n v="1582"/>
    <m/>
    <m/>
    <m/>
    <n v="936"/>
    <m/>
    <n v="9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08"/>
    <s v="先行生産"/>
    <m/>
    <s v="YB-LA001"/>
    <s v="V9-BH　計画生産"/>
    <s v="YB-LA001"/>
    <s v="5685000-1"/>
    <s v="単体"/>
    <n v="0"/>
    <m/>
    <n v="1"/>
    <m/>
    <d v="2026-04-22T00:00:00"/>
    <d v="2026-04-17T00:00:00"/>
    <d v="2026-04-20T00:00:00"/>
    <m/>
    <m/>
    <s v="YB-LA001"/>
    <m/>
    <s v="V9"/>
    <x v="4"/>
    <n v="1583"/>
    <m/>
    <m/>
    <m/>
    <n v="937"/>
    <m/>
    <n v="9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09"/>
    <s v="先行生産"/>
    <m/>
    <s v="YB-LA001"/>
    <s v="V9-BH　計画生産"/>
    <s v="YB-LA001"/>
    <s v="5685000-1"/>
    <s v="単体"/>
    <n v="0"/>
    <m/>
    <n v="1"/>
    <m/>
    <d v="2026-04-22T00:00:00"/>
    <d v="2026-04-17T00:00:00"/>
    <d v="2026-04-20T00:00:00"/>
    <m/>
    <m/>
    <s v="YB-LA001"/>
    <m/>
    <s v="V9"/>
    <x v="4"/>
    <n v="1584"/>
    <m/>
    <m/>
    <m/>
    <n v="938"/>
    <m/>
    <n v="9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10"/>
    <s v="先行生産"/>
    <m/>
    <s v="YB-LA001"/>
    <s v="V9-BH　計画生産"/>
    <s v="YB-LA001"/>
    <s v="5685000-1"/>
    <s v="単体"/>
    <n v="0"/>
    <m/>
    <n v="1"/>
    <m/>
    <d v="2026-04-22T00:00:00"/>
    <d v="2026-04-17T00:00:00"/>
    <d v="2026-04-20T00:00:00"/>
    <m/>
    <m/>
    <s v="YB-LA001"/>
    <m/>
    <s v="V9"/>
    <x v="4"/>
    <n v="1585"/>
    <m/>
    <m/>
    <m/>
    <n v="939"/>
    <m/>
    <n v="9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11"/>
    <s v="先行生産"/>
    <m/>
    <s v="YB-LA001"/>
    <s v="V9-BH　計画生産"/>
    <s v="YB-LA001"/>
    <s v="5685000-1"/>
    <s v="単体"/>
    <n v="0"/>
    <m/>
    <n v="1"/>
    <m/>
    <d v="2026-04-22T00:00:00"/>
    <d v="2026-04-17T00:00:00"/>
    <d v="2026-04-20T00:00:00"/>
    <m/>
    <m/>
    <s v="YB-LA001"/>
    <m/>
    <s v="V9"/>
    <x v="4"/>
    <n v="1586"/>
    <m/>
    <m/>
    <m/>
    <n v="940"/>
    <m/>
    <n v="9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12"/>
    <s v="先行生産"/>
    <m/>
    <s v="YB-LA001"/>
    <s v="V9-BH　計画生産"/>
    <s v="YB-LA001"/>
    <s v="5685000-1"/>
    <s v="単体"/>
    <n v="0"/>
    <m/>
    <n v="1"/>
    <m/>
    <d v="2026-04-22T00:00:00"/>
    <d v="2026-04-17T00:00:00"/>
    <d v="2026-04-20T00:00:00"/>
    <m/>
    <m/>
    <s v="YB-LA001"/>
    <m/>
    <s v="V9"/>
    <x v="4"/>
    <n v="1587"/>
    <m/>
    <m/>
    <m/>
    <n v="941"/>
    <m/>
    <n v="9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13"/>
    <s v="先行生産"/>
    <m/>
    <s v="YB-LA001"/>
    <s v="V9-BH　計画生産"/>
    <s v="YB-LA001"/>
    <s v="5685000-1"/>
    <s v="単体"/>
    <n v="0"/>
    <m/>
    <n v="1"/>
    <m/>
    <d v="2026-04-23T00:00:00"/>
    <d v="2026-04-17T00:00:00"/>
    <d v="2026-04-20T00:00:00"/>
    <m/>
    <m/>
    <s v="YB-LA001"/>
    <m/>
    <s v="V9"/>
    <x v="4"/>
    <n v="1588"/>
    <m/>
    <m/>
    <m/>
    <n v="942"/>
    <m/>
    <n v="9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14"/>
    <s v="先行生産"/>
    <m/>
    <s v="YB-LA001"/>
    <s v="V9-BH　計画生産"/>
    <s v="YB-LA001"/>
    <s v="5685000-1"/>
    <s v="単体"/>
    <n v="0"/>
    <m/>
    <n v="1"/>
    <m/>
    <d v="2026-04-23T00:00:00"/>
    <d v="2026-04-17T00:00:00"/>
    <d v="2026-04-20T00:00:00"/>
    <m/>
    <m/>
    <s v="YB-LA001"/>
    <m/>
    <s v="V9"/>
    <x v="4"/>
    <n v="1589"/>
    <m/>
    <m/>
    <m/>
    <n v="943"/>
    <m/>
    <n v="9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15"/>
    <s v="先行生産"/>
    <m/>
    <s v="YB-LA001"/>
    <s v="V9-BH　計画生産"/>
    <s v="YB-LA001"/>
    <s v="5685000-1"/>
    <s v="単体"/>
    <n v="0"/>
    <m/>
    <n v="1"/>
    <m/>
    <d v="2026-04-23T00:00:00"/>
    <d v="2026-04-17T00:00:00"/>
    <d v="2026-04-20T00:00:00"/>
    <m/>
    <m/>
    <s v="YB-LA001"/>
    <m/>
    <s v="V9"/>
    <x v="4"/>
    <n v="1590"/>
    <m/>
    <m/>
    <m/>
    <n v="944"/>
    <m/>
    <n v="9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16"/>
    <s v="先行生産"/>
    <m/>
    <s v="YB-LA001"/>
    <s v="V9-BH　計画生産"/>
    <s v="YB-LA001"/>
    <s v="5685000-1"/>
    <s v="単体"/>
    <n v="0"/>
    <m/>
    <n v="1"/>
    <m/>
    <d v="2026-04-23T00:00:00"/>
    <d v="2026-04-17T00:00:00"/>
    <d v="2026-04-20T00:00:00"/>
    <m/>
    <m/>
    <s v="YB-LA001"/>
    <m/>
    <s v="V9"/>
    <x v="4"/>
    <n v="1591"/>
    <m/>
    <m/>
    <m/>
    <n v="945"/>
    <m/>
    <n v="9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17"/>
    <s v="先行生産"/>
    <m/>
    <s v="YB-LA001"/>
    <s v="V9-BH　計画生産"/>
    <s v="YB-LA001"/>
    <s v="5685000-1"/>
    <s v="単体"/>
    <n v="0"/>
    <m/>
    <n v="1"/>
    <m/>
    <d v="2026-04-23T00:00:00"/>
    <d v="2026-04-17T00:00:00"/>
    <d v="2026-04-20T00:00:00"/>
    <m/>
    <m/>
    <s v="YB-LA001"/>
    <m/>
    <s v="V9"/>
    <x v="4"/>
    <n v="1592"/>
    <m/>
    <m/>
    <m/>
    <n v="946"/>
    <m/>
    <n v="9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18"/>
    <s v="先行生産"/>
    <m/>
    <s v="YB-LA001"/>
    <s v="V9-BH　計画生産"/>
    <s v="YB-LA001"/>
    <s v="5685000-1"/>
    <s v="単体"/>
    <n v="0"/>
    <m/>
    <n v="1"/>
    <m/>
    <d v="2026-04-23T00:00:00"/>
    <d v="2026-04-17T00:00:00"/>
    <d v="2026-04-20T00:00:00"/>
    <m/>
    <m/>
    <s v="YB-LA001"/>
    <m/>
    <s v="V9"/>
    <x v="4"/>
    <n v="1593"/>
    <m/>
    <m/>
    <m/>
    <n v="947"/>
    <m/>
    <n v="1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19"/>
    <s v="先行生産"/>
    <m/>
    <s v="YB-LA001"/>
    <s v="V9-BH　計画生産"/>
    <s v="YB-LA001"/>
    <s v="5685000-1"/>
    <s v="単体"/>
    <n v="0"/>
    <m/>
    <n v="1"/>
    <m/>
    <d v="2026-04-24T00:00:00"/>
    <d v="2026-04-17T00:00:00"/>
    <d v="2026-04-20T00:00:00"/>
    <m/>
    <m/>
    <s v="YB-LA001"/>
    <m/>
    <s v="V9"/>
    <x v="4"/>
    <n v="1594"/>
    <m/>
    <m/>
    <m/>
    <n v="948"/>
    <m/>
    <n v="10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20"/>
    <s v="先行生産"/>
    <m/>
    <s v="YB-LA001"/>
    <s v="V9-BH　計画生産"/>
    <s v="YB-LA001"/>
    <s v="5685000-1"/>
    <s v="単体"/>
    <n v="0"/>
    <m/>
    <n v="1"/>
    <m/>
    <d v="2026-04-24T00:00:00"/>
    <d v="2026-04-17T00:00:00"/>
    <d v="2026-04-20T00:00:00"/>
    <m/>
    <m/>
    <s v="YB-LA001"/>
    <m/>
    <s v="V9"/>
    <x v="4"/>
    <n v="1595"/>
    <m/>
    <m/>
    <m/>
    <n v="949"/>
    <m/>
    <n v="10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21"/>
    <s v="先行生産"/>
    <m/>
    <s v="YB-LA001"/>
    <s v="V9-BH　計画生産"/>
    <s v="YB-LA001"/>
    <s v="5685000-1"/>
    <s v="単体"/>
    <n v="0"/>
    <m/>
    <n v="1"/>
    <m/>
    <d v="2026-04-24T00:00:00"/>
    <d v="2026-04-17T00:00:00"/>
    <d v="2026-04-20T00:00:00"/>
    <m/>
    <m/>
    <s v="YB-LA001"/>
    <m/>
    <s v="V9"/>
    <x v="4"/>
    <n v="1596"/>
    <m/>
    <m/>
    <m/>
    <n v="950"/>
    <m/>
    <n v="10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22"/>
    <s v="先行生産"/>
    <m/>
    <s v="YB-LA001"/>
    <s v="V9-BH　計画生産"/>
    <s v="YB-LA001"/>
    <s v="5685000-1"/>
    <s v="単体"/>
    <n v="0"/>
    <m/>
    <n v="1"/>
    <m/>
    <d v="2026-04-24T00:00:00"/>
    <d v="2026-04-17T00:00:00"/>
    <d v="2026-04-20T00:00:00"/>
    <m/>
    <m/>
    <s v="YB-LA001"/>
    <m/>
    <s v="V9"/>
    <x v="4"/>
    <n v="1597"/>
    <m/>
    <m/>
    <m/>
    <n v="951"/>
    <m/>
    <n v="10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23"/>
    <s v="先行生産"/>
    <m/>
    <s v="YB-LA001"/>
    <s v="V9-BH　計画生産"/>
    <s v="YB-LA001"/>
    <s v="5685000-1"/>
    <s v="単体"/>
    <n v="0"/>
    <m/>
    <n v="1"/>
    <m/>
    <d v="2026-04-24T00:00:00"/>
    <d v="2026-04-17T00:00:00"/>
    <d v="2026-04-20T00:00:00"/>
    <m/>
    <m/>
    <s v="YB-LA001"/>
    <m/>
    <s v="V9"/>
    <x v="4"/>
    <n v="1598"/>
    <m/>
    <m/>
    <m/>
    <n v="952"/>
    <m/>
    <n v="10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24"/>
    <s v="先行生産"/>
    <m/>
    <s v="YB-LA001"/>
    <s v="V9-BH　計画生産"/>
    <s v="YB-LA001"/>
    <s v="5685000-1"/>
    <s v="単体"/>
    <n v="0"/>
    <m/>
    <n v="1"/>
    <m/>
    <d v="2026-04-27T00:00:00"/>
    <d v="2026-04-17T00:00:00"/>
    <d v="2026-04-20T00:00:00"/>
    <m/>
    <m/>
    <s v="YB-LA001"/>
    <m/>
    <s v="V9"/>
    <x v="4"/>
    <n v="1599"/>
    <m/>
    <m/>
    <m/>
    <n v="953"/>
    <m/>
    <n v="10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25"/>
    <s v="先行生産"/>
    <m/>
    <s v="YB-LA001"/>
    <s v="V9-BH　計画生産"/>
    <s v="YB-LA001"/>
    <s v="5685000-1"/>
    <s v="単体"/>
    <n v="0"/>
    <m/>
    <n v="1"/>
    <m/>
    <d v="2026-04-27T00:00:00"/>
    <d v="2026-04-17T00:00:00"/>
    <d v="2026-04-20T00:00:00"/>
    <m/>
    <m/>
    <s v="YB-LA001"/>
    <m/>
    <s v="V9"/>
    <x v="4"/>
    <n v="1600"/>
    <m/>
    <m/>
    <m/>
    <n v="954"/>
    <m/>
    <n v="10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26"/>
    <s v="先行生産"/>
    <m/>
    <s v="YB-LA001"/>
    <s v="V9-BH　計画生産"/>
    <s v="YB-LA001"/>
    <s v="5685000-1"/>
    <s v="単体"/>
    <n v="0"/>
    <m/>
    <n v="1"/>
    <m/>
    <d v="2026-04-27T00:00:00"/>
    <d v="2026-04-17T00:00:00"/>
    <d v="2026-04-20T00:00:00"/>
    <m/>
    <m/>
    <s v="YB-LA001"/>
    <m/>
    <s v="V9"/>
    <x v="4"/>
    <n v="1601"/>
    <m/>
    <m/>
    <m/>
    <n v="955"/>
    <m/>
    <n v="10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27"/>
    <s v="先行生産"/>
    <m/>
    <s v="YB-LA001"/>
    <s v="V9-BH　計画生産"/>
    <s v="YB-LA001"/>
    <s v="5685000-1"/>
    <s v="単体"/>
    <n v="0"/>
    <m/>
    <n v="1"/>
    <m/>
    <d v="2026-04-27T00:00:00"/>
    <d v="2026-04-17T00:00:00"/>
    <d v="2026-04-20T00:00:00"/>
    <m/>
    <m/>
    <s v="YB-LA001"/>
    <m/>
    <s v="V9"/>
    <x v="4"/>
    <n v="1602"/>
    <m/>
    <m/>
    <m/>
    <n v="956"/>
    <m/>
    <n v="10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2"/>
    <s v="000389419-28"/>
    <s v="先行生産"/>
    <m/>
    <s v="YB-LA001"/>
    <s v="V9-BH　計画生産"/>
    <s v="YB-LA001"/>
    <s v="5685000-1"/>
    <s v="単体"/>
    <n v="0"/>
    <m/>
    <n v="1"/>
    <m/>
    <d v="2026-04-27T00:00:00"/>
    <d v="2026-04-17T00:00:00"/>
    <d v="2026-04-20T00:00:00"/>
    <m/>
    <m/>
    <s v="YB-LA001"/>
    <m/>
    <s v="V9"/>
    <x v="4"/>
    <n v="1603"/>
    <m/>
    <m/>
    <m/>
    <n v="957"/>
    <m/>
    <n v="10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01"/>
    <s v="先行生産"/>
    <m/>
    <s v="YB-LA001"/>
    <s v="V9-BH　計画生産"/>
    <s v="YB-LA001"/>
    <s v="5685000-1"/>
    <s v="単体"/>
    <n v="0"/>
    <m/>
    <n v="1"/>
    <m/>
    <d v="2026-04-28T00:00:00"/>
    <d v="2026-04-24T00:00:00"/>
    <d v="2026-04-27T00:00:00"/>
    <m/>
    <m/>
    <s v="YB-LA001"/>
    <m/>
    <s v="V9"/>
    <x v="4"/>
    <n v="1604"/>
    <m/>
    <m/>
    <m/>
    <n v="958"/>
    <m/>
    <n v="10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02"/>
    <s v="先行生産"/>
    <m/>
    <s v="YB-LA001"/>
    <s v="V9-BH　計画生産"/>
    <s v="YB-LA001"/>
    <s v="5685000-1"/>
    <s v="単体"/>
    <n v="0"/>
    <m/>
    <n v="1"/>
    <m/>
    <d v="2026-04-28T00:00:00"/>
    <d v="2026-04-24T00:00:00"/>
    <d v="2026-04-27T00:00:00"/>
    <m/>
    <m/>
    <s v="YB-LA001"/>
    <m/>
    <s v="V9"/>
    <x v="4"/>
    <n v="1605"/>
    <m/>
    <m/>
    <m/>
    <n v="959"/>
    <m/>
    <n v="10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03"/>
    <s v="先行生産"/>
    <m/>
    <s v="YB-LA001"/>
    <s v="V9-BH　計画生産"/>
    <s v="YB-LA001"/>
    <s v="5685000-1"/>
    <s v="単体"/>
    <n v="0"/>
    <m/>
    <n v="1"/>
    <m/>
    <d v="2026-04-28T00:00:00"/>
    <d v="2026-04-24T00:00:00"/>
    <d v="2026-04-27T00:00:00"/>
    <m/>
    <m/>
    <s v="YB-LA001"/>
    <m/>
    <s v="V9"/>
    <x v="4"/>
    <n v="1606"/>
    <m/>
    <m/>
    <m/>
    <n v="960"/>
    <m/>
    <n v="10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04"/>
    <s v="先行生産"/>
    <m/>
    <s v="YB-LA001"/>
    <s v="V9-BH　計画生産"/>
    <s v="YB-LA001"/>
    <s v="5685000-1"/>
    <s v="単体"/>
    <n v="0"/>
    <m/>
    <n v="1"/>
    <m/>
    <d v="2026-04-28T00:00:00"/>
    <d v="2026-04-24T00:00:00"/>
    <d v="2026-04-27T00:00:00"/>
    <m/>
    <m/>
    <s v="YB-LA001"/>
    <m/>
    <s v="V9"/>
    <x v="4"/>
    <n v="1607"/>
    <m/>
    <m/>
    <m/>
    <n v="961"/>
    <m/>
    <n v="10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05"/>
    <s v="先行生産"/>
    <m/>
    <s v="YB-LA001"/>
    <s v="V9-BH　計画生産"/>
    <s v="YB-LA001"/>
    <s v="5685000-1"/>
    <s v="単体"/>
    <n v="0"/>
    <m/>
    <n v="1"/>
    <m/>
    <d v="2026-04-28T00:00:00"/>
    <d v="2026-04-24T00:00:00"/>
    <d v="2026-04-27T00:00:00"/>
    <m/>
    <m/>
    <s v="YB-LA001"/>
    <m/>
    <s v="V9"/>
    <x v="4"/>
    <n v="1608"/>
    <m/>
    <m/>
    <m/>
    <n v="962"/>
    <m/>
    <n v="10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06"/>
    <s v="先行生産"/>
    <m/>
    <s v="YB-LA001"/>
    <s v="V9-BH　計画生産"/>
    <s v="YB-LA001"/>
    <s v="5685000-1"/>
    <s v="単体"/>
    <n v="0"/>
    <m/>
    <n v="1"/>
    <m/>
    <d v="2026-04-28T00:00:00"/>
    <d v="2026-04-24T00:00:00"/>
    <d v="2026-04-27T00:00:00"/>
    <m/>
    <m/>
    <s v="YB-LA001"/>
    <m/>
    <s v="V9"/>
    <x v="4"/>
    <n v="1609"/>
    <m/>
    <m/>
    <m/>
    <n v="963"/>
    <m/>
    <n v="10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7"/>
    <s v="先行生産"/>
    <m/>
    <s v="YB-LA001"/>
    <s v="V9-BH　計画生産"/>
    <s v="YB-LA001"/>
    <s v="5685000-1"/>
    <s v="単体"/>
    <n v="0"/>
    <m/>
    <n v="1"/>
    <m/>
    <d v="2026-05-07T00:00:00"/>
    <d v="2026-04-24T00:00:00"/>
    <d v="2026-04-27T00:00:00"/>
    <m/>
    <m/>
    <s v="YB-LA001"/>
    <m/>
    <s v="V9"/>
    <x v="5"/>
    <n v="1610"/>
    <m/>
    <m/>
    <m/>
    <n v="964"/>
    <m/>
    <n v="10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8"/>
    <s v="先行生産"/>
    <m/>
    <s v="YB-LA001"/>
    <s v="V9-BH　計画生産"/>
    <s v="YB-LA001"/>
    <s v="5685000-1"/>
    <s v="単体"/>
    <n v="0"/>
    <m/>
    <n v="1"/>
    <m/>
    <d v="2026-05-07T00:00:00"/>
    <d v="2026-04-24T00:00:00"/>
    <d v="2026-04-27T00:00:00"/>
    <m/>
    <m/>
    <s v="YB-LA001"/>
    <m/>
    <s v="V9"/>
    <x v="5"/>
    <n v="1611"/>
    <m/>
    <m/>
    <m/>
    <n v="965"/>
    <m/>
    <n v="10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9"/>
    <s v="先行生産"/>
    <m/>
    <s v="YB-LA001"/>
    <s v="V9-BH　計画生産"/>
    <s v="YB-LA001"/>
    <s v="5685000-1"/>
    <s v="単体"/>
    <n v="0"/>
    <m/>
    <n v="1"/>
    <m/>
    <d v="2026-05-07T00:00:00"/>
    <d v="2026-04-24T00:00:00"/>
    <d v="2026-04-27T00:00:00"/>
    <m/>
    <m/>
    <s v="YB-LA001"/>
    <m/>
    <s v="V9"/>
    <x v="5"/>
    <n v="1612"/>
    <m/>
    <m/>
    <m/>
    <n v="966"/>
    <m/>
    <n v="10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10"/>
    <s v="先行生産"/>
    <m/>
    <s v="YB-LA001"/>
    <s v="V9-BH　計画生産"/>
    <s v="YB-LA001"/>
    <s v="5685000-1"/>
    <s v="単体"/>
    <n v="0"/>
    <m/>
    <n v="1"/>
    <m/>
    <d v="2026-05-07T00:00:00"/>
    <d v="2026-04-24T00:00:00"/>
    <d v="2026-04-27T00:00:00"/>
    <m/>
    <m/>
    <s v="YB-LA001"/>
    <m/>
    <s v="V9"/>
    <x v="5"/>
    <n v="1613"/>
    <m/>
    <m/>
    <m/>
    <n v="967"/>
    <m/>
    <n v="10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11"/>
    <s v="先行生産"/>
    <m/>
    <s v="YB-LA001"/>
    <s v="V9-BH　計画生産"/>
    <s v="YB-LA001"/>
    <s v="5685000-1"/>
    <s v="単体"/>
    <n v="0"/>
    <m/>
    <n v="1"/>
    <m/>
    <d v="2026-05-07T00:00:00"/>
    <d v="2026-04-24T00:00:00"/>
    <d v="2026-04-27T00:00:00"/>
    <m/>
    <m/>
    <s v="YB-LA001"/>
    <m/>
    <s v="V9"/>
    <x v="5"/>
    <n v="1614"/>
    <m/>
    <m/>
    <m/>
    <n v="968"/>
    <m/>
    <n v="10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12"/>
    <s v="先行生産"/>
    <m/>
    <s v="YB-LA001"/>
    <s v="V9-BH　計画生産"/>
    <s v="YB-LA001"/>
    <s v="5685000-1"/>
    <s v="単体"/>
    <n v="0"/>
    <m/>
    <n v="1"/>
    <m/>
    <d v="2026-05-07T00:00:00"/>
    <d v="2026-04-24T00:00:00"/>
    <d v="2026-04-27T00:00:00"/>
    <m/>
    <m/>
    <s v="YB-LA001"/>
    <m/>
    <s v="V9"/>
    <x v="5"/>
    <n v="1615"/>
    <m/>
    <m/>
    <m/>
    <n v="969"/>
    <m/>
    <n v="10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13"/>
    <s v="先行生産"/>
    <m/>
    <s v="YB-LA001"/>
    <s v="V9-BH　計画生産"/>
    <s v="YB-LA001"/>
    <s v="5685000-1"/>
    <s v="単体"/>
    <n v="0"/>
    <m/>
    <n v="1"/>
    <m/>
    <d v="2026-05-08T00:00:00"/>
    <d v="2026-04-24T00:00:00"/>
    <d v="2026-04-27T00:00:00"/>
    <m/>
    <m/>
    <s v="YB-LA001"/>
    <m/>
    <s v="V9"/>
    <x v="5"/>
    <n v="1616"/>
    <m/>
    <m/>
    <m/>
    <n v="970"/>
    <m/>
    <n v="10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14"/>
    <s v="先行生産"/>
    <m/>
    <s v="YB-LA001"/>
    <s v="V9-BH　計画生産"/>
    <s v="YB-LA001"/>
    <s v="5685000-1"/>
    <s v="単体"/>
    <n v="0"/>
    <m/>
    <n v="1"/>
    <m/>
    <d v="2026-05-08T00:00:00"/>
    <d v="2026-04-24T00:00:00"/>
    <d v="2026-04-27T00:00:00"/>
    <m/>
    <m/>
    <s v="YB-LA001"/>
    <m/>
    <s v="V9"/>
    <x v="5"/>
    <n v="1617"/>
    <m/>
    <m/>
    <m/>
    <n v="971"/>
    <m/>
    <n v="10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15"/>
    <s v="先行生産"/>
    <m/>
    <s v="YB-LA001"/>
    <s v="V9-BH　計画生産"/>
    <s v="YB-LA001"/>
    <s v="5685000-1"/>
    <s v="単体"/>
    <n v="0"/>
    <m/>
    <n v="1"/>
    <m/>
    <d v="2026-05-08T00:00:00"/>
    <d v="2026-04-24T00:00:00"/>
    <d v="2026-04-27T00:00:00"/>
    <m/>
    <m/>
    <s v="YB-LA001"/>
    <m/>
    <s v="V9"/>
    <x v="5"/>
    <n v="1618"/>
    <m/>
    <m/>
    <m/>
    <n v="972"/>
    <m/>
    <n v="10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16"/>
    <s v="先行生産"/>
    <m/>
    <s v="YB-LA001"/>
    <s v="V9-BH　計画生産"/>
    <s v="YB-LA001"/>
    <s v="5685000-1"/>
    <s v="単体"/>
    <n v="0"/>
    <m/>
    <n v="1"/>
    <m/>
    <d v="2026-05-08T00:00:00"/>
    <d v="2026-04-24T00:00:00"/>
    <d v="2026-04-27T00:00:00"/>
    <m/>
    <m/>
    <s v="YB-LA001"/>
    <m/>
    <s v="V9"/>
    <x v="5"/>
    <n v="1619"/>
    <m/>
    <m/>
    <m/>
    <n v="973"/>
    <m/>
    <n v="10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17"/>
    <s v="先行生産"/>
    <m/>
    <s v="YB-LA001"/>
    <s v="V9-BH　計画生産"/>
    <s v="YB-LA001"/>
    <s v="5685000-1"/>
    <s v="単体"/>
    <n v="0"/>
    <m/>
    <n v="1"/>
    <m/>
    <d v="2026-05-08T00:00:00"/>
    <d v="2026-04-24T00:00:00"/>
    <d v="2026-04-27T00:00:00"/>
    <m/>
    <m/>
    <s v="YB-LA001"/>
    <m/>
    <s v="V9"/>
    <x v="5"/>
    <n v="1620"/>
    <m/>
    <m/>
    <m/>
    <n v="974"/>
    <m/>
    <n v="10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18"/>
    <s v="先行生産"/>
    <m/>
    <s v="YB-LA001"/>
    <s v="V9-BH　計画生産"/>
    <s v="YB-LA001"/>
    <s v="5685000-1"/>
    <s v="単体"/>
    <n v="0"/>
    <m/>
    <n v="1"/>
    <m/>
    <d v="2026-05-08T00:00:00"/>
    <d v="2026-04-24T00:00:00"/>
    <d v="2026-04-27T00:00:00"/>
    <m/>
    <m/>
    <s v="YB-LA001"/>
    <m/>
    <s v="V9"/>
    <x v="5"/>
    <n v="1621"/>
    <m/>
    <m/>
    <m/>
    <n v="975"/>
    <m/>
    <n v="10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19"/>
    <s v="先行生産"/>
    <m/>
    <s v="YB-LA001"/>
    <s v="V9-BH　計画生産"/>
    <s v="YB-LA001"/>
    <s v="5685000-1"/>
    <s v="単体"/>
    <n v="0"/>
    <m/>
    <n v="1"/>
    <m/>
    <d v="2026-05-11T00:00:00"/>
    <d v="2026-04-24T00:00:00"/>
    <d v="2026-04-27T00:00:00"/>
    <m/>
    <m/>
    <s v="YB-LA001"/>
    <m/>
    <s v="V9"/>
    <x v="5"/>
    <n v="1622"/>
    <m/>
    <m/>
    <m/>
    <n v="976"/>
    <m/>
    <n v="10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20"/>
    <s v="先行生産"/>
    <m/>
    <s v="YB-LA001"/>
    <s v="V9-BH　計画生産"/>
    <s v="YB-LA001"/>
    <s v="5685000-1"/>
    <s v="単体"/>
    <n v="0"/>
    <m/>
    <n v="1"/>
    <m/>
    <d v="2026-05-11T00:00:00"/>
    <d v="2026-04-24T00:00:00"/>
    <d v="2026-04-27T00:00:00"/>
    <m/>
    <m/>
    <s v="YB-LA001"/>
    <m/>
    <s v="V9"/>
    <x v="5"/>
    <n v="1623"/>
    <m/>
    <m/>
    <m/>
    <n v="977"/>
    <m/>
    <n v="10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21"/>
    <s v="先行生産"/>
    <m/>
    <s v="YB-LA001"/>
    <s v="V9-BH　計画生産"/>
    <s v="YB-LA001"/>
    <s v="5685000-1"/>
    <s v="単体"/>
    <n v="0"/>
    <m/>
    <n v="1"/>
    <m/>
    <d v="2026-05-11T00:00:00"/>
    <d v="2026-04-24T00:00:00"/>
    <d v="2026-04-27T00:00:00"/>
    <m/>
    <m/>
    <s v="YB-LA001"/>
    <m/>
    <s v="V9"/>
    <x v="5"/>
    <n v="1624"/>
    <m/>
    <m/>
    <m/>
    <n v="978"/>
    <m/>
    <n v="10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22"/>
    <s v="先行生産"/>
    <m/>
    <s v="YB-LA001"/>
    <s v="V9-BH　計画生産"/>
    <s v="YB-LA001"/>
    <s v="5685000-1"/>
    <s v="単体"/>
    <n v="0"/>
    <m/>
    <n v="1"/>
    <m/>
    <d v="2026-05-11T00:00:00"/>
    <d v="2026-04-24T00:00:00"/>
    <d v="2026-04-27T00:00:00"/>
    <m/>
    <m/>
    <s v="YB-LA001"/>
    <m/>
    <s v="V9"/>
    <x v="5"/>
    <n v="1625"/>
    <m/>
    <m/>
    <m/>
    <n v="979"/>
    <m/>
    <n v="10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23"/>
    <s v="先行生産"/>
    <m/>
    <s v="YB-LA001"/>
    <s v="V9-BH　計画生産"/>
    <s v="YB-LA001"/>
    <s v="5685000-1"/>
    <s v="単体"/>
    <n v="0"/>
    <m/>
    <n v="1"/>
    <m/>
    <d v="2026-05-11T00:00:00"/>
    <d v="2026-04-24T00:00:00"/>
    <d v="2026-04-27T00:00:00"/>
    <m/>
    <m/>
    <s v="YB-LA001"/>
    <m/>
    <s v="V9"/>
    <x v="5"/>
    <n v="1626"/>
    <m/>
    <m/>
    <m/>
    <n v="980"/>
    <m/>
    <n v="10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24"/>
    <s v="先行生産"/>
    <m/>
    <s v="YB-LA001"/>
    <s v="V9-BH　計画生産"/>
    <s v="YB-LA001"/>
    <s v="5685000-1"/>
    <s v="単体"/>
    <n v="0"/>
    <m/>
    <n v="1"/>
    <m/>
    <d v="2026-05-12T00:00:00"/>
    <d v="2026-04-24T00:00:00"/>
    <d v="2026-04-27T00:00:00"/>
    <m/>
    <m/>
    <s v="YB-LA001"/>
    <m/>
    <s v="V9"/>
    <x v="5"/>
    <n v="1627"/>
    <m/>
    <m/>
    <m/>
    <n v="981"/>
    <m/>
    <n v="10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25"/>
    <s v="先行生産"/>
    <m/>
    <s v="YB-LA001"/>
    <s v="V9-BH　計画生産"/>
    <s v="YB-LA001"/>
    <s v="5685000-1"/>
    <s v="単体"/>
    <n v="0"/>
    <m/>
    <n v="1"/>
    <m/>
    <d v="2026-05-12T00:00:00"/>
    <d v="2026-04-24T00:00:00"/>
    <d v="2026-04-27T00:00:00"/>
    <m/>
    <m/>
    <s v="YB-LA001"/>
    <m/>
    <s v="V9"/>
    <x v="5"/>
    <n v="1628"/>
    <m/>
    <m/>
    <m/>
    <n v="982"/>
    <m/>
    <n v="10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26"/>
    <s v="先行生産"/>
    <m/>
    <s v="YB-LA001"/>
    <s v="V9-BH　計画生産"/>
    <s v="YB-LA001"/>
    <s v="5685000-1"/>
    <s v="単体"/>
    <n v="0"/>
    <m/>
    <n v="1"/>
    <m/>
    <d v="2026-05-12T00:00:00"/>
    <d v="2026-04-24T00:00:00"/>
    <d v="2026-04-27T00:00:00"/>
    <m/>
    <m/>
    <s v="YB-LA001"/>
    <m/>
    <s v="V9"/>
    <x v="5"/>
    <n v="1629"/>
    <m/>
    <m/>
    <m/>
    <n v="983"/>
    <m/>
    <n v="10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27"/>
    <s v="先行生産"/>
    <m/>
    <s v="YB-LA001"/>
    <s v="V9-BH　計画生産"/>
    <s v="YB-LA001"/>
    <s v="5685000-1"/>
    <s v="単体"/>
    <n v="0"/>
    <m/>
    <n v="1"/>
    <m/>
    <d v="2026-05-12T00:00:00"/>
    <d v="2026-04-24T00:00:00"/>
    <d v="2026-04-27T00:00:00"/>
    <m/>
    <m/>
    <s v="YB-LA001"/>
    <m/>
    <s v="V9"/>
    <x v="5"/>
    <n v="1630"/>
    <m/>
    <m/>
    <m/>
    <n v="984"/>
    <m/>
    <n v="10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9"/>
    <s v="000391140-28"/>
    <s v="先行生産"/>
    <m/>
    <s v="YB-LA001"/>
    <s v="V9-BH　計画生産"/>
    <s v="YB-LA001"/>
    <s v="5685000-1"/>
    <s v="単体"/>
    <n v="0"/>
    <m/>
    <n v="1"/>
    <m/>
    <d v="2026-05-12T00:00:00"/>
    <d v="2026-04-24T00:00:00"/>
    <d v="2026-04-27T00:00:00"/>
    <m/>
    <m/>
    <s v="YB-LA001"/>
    <m/>
    <s v="V9"/>
    <x v="5"/>
    <n v="1631"/>
    <m/>
    <m/>
    <m/>
    <n v="985"/>
    <m/>
    <n v="10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1"/>
    <s v="先行生産"/>
    <m/>
    <s v="YB-LA001"/>
    <s v="V9-BH　計画生産"/>
    <s v="YB-LA001"/>
    <s v="5685000-1"/>
    <s v="単体"/>
    <n v="0"/>
    <m/>
    <n v="27"/>
    <m/>
    <d v="2026-05-12T00:00:00"/>
    <d v="2026-05-11T00:00:00"/>
    <d v="2026-05-12T00:00:00"/>
    <m/>
    <m/>
    <s v="YB-LA001"/>
    <m/>
    <s v="V9"/>
    <x v="5"/>
    <n v="1632"/>
    <m/>
    <m/>
    <m/>
    <n v="986"/>
    <m/>
    <n v="10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7"/>
    <n v="27"/>
    <n v="27"/>
    <n v="27"/>
    <n v="27"/>
    <n v="27"/>
    <n v="27"/>
    <n v="27"/>
  </r>
  <r>
    <n v="281"/>
    <s v="000391142"/>
    <s v="先行生産"/>
    <m/>
    <s v="YB-LA001"/>
    <s v="V9-BH　計画生産"/>
    <s v="YB-LA001"/>
    <s v="5685000-1"/>
    <s v="単体"/>
    <n v="0"/>
    <m/>
    <n v="27"/>
    <m/>
    <d v="2026-05-18T00:00:00"/>
    <d v="2026-05-15T00:00:00"/>
    <d v="2026-05-18T00:00:00"/>
    <m/>
    <m/>
    <s v="YB-LA001"/>
    <m/>
    <s v="V9"/>
    <x v="5"/>
    <n v="1633"/>
    <m/>
    <m/>
    <m/>
    <n v="987"/>
    <m/>
    <n v="10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7"/>
    <n v="27"/>
    <n v="27"/>
    <n v="27"/>
    <n v="27"/>
    <n v="27"/>
    <n v="27"/>
    <n v="27"/>
  </r>
  <r>
    <n v="282"/>
    <s v="000389427"/>
    <s v="先行生産"/>
    <m/>
    <s v="YB-LA001"/>
    <s v="V9-BH　計画生産"/>
    <s v="YB-LA001"/>
    <s v="5685000-1"/>
    <s v="単体"/>
    <n v="0"/>
    <m/>
    <n v="28"/>
    <m/>
    <d v="2026-05-26T00:00:00"/>
    <d v="2026-05-25T00:00:00"/>
    <d v="2026-05-26T00:00:00"/>
    <m/>
    <m/>
    <s v="YB-LA001"/>
    <m/>
    <s v="V9"/>
    <x v="5"/>
    <n v="1634"/>
    <m/>
    <m/>
    <m/>
    <n v="988"/>
    <m/>
    <n v="10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28"/>
    <n v="28"/>
    <n v="28"/>
    <n v="28"/>
    <n v="28"/>
    <n v="28"/>
    <n v="28"/>
  </r>
  <r>
    <n v="328"/>
    <s v="000391143"/>
    <s v="先行生産"/>
    <m/>
    <s v="YB-LA001"/>
    <s v="V9-BH　計画生産"/>
    <s v="YB-LA001"/>
    <s v="5685000-1"/>
    <s v="単体"/>
    <n v="0"/>
    <m/>
    <n v="28"/>
    <m/>
    <d v="2026-06-02T00:00:00"/>
    <d v="2026-06-01T00:00:00"/>
    <d v="2026-06-02T00:00:00"/>
    <m/>
    <m/>
    <s v="YB-LA001"/>
    <m/>
    <s v="V9"/>
    <x v="6"/>
    <n v="1635"/>
    <m/>
    <m/>
    <m/>
    <n v="989"/>
    <m/>
    <n v="10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28"/>
    <n v="28"/>
    <n v="28"/>
    <n v="28"/>
    <n v="28"/>
    <n v="28"/>
    <n v="28"/>
  </r>
  <r>
    <n v="329"/>
    <s v="000391144"/>
    <s v="先行生産"/>
    <m/>
    <s v="YB-LA001"/>
    <s v="V9-BH　計画生産"/>
    <s v="YB-LA001"/>
    <s v="5685000-1"/>
    <s v="単体"/>
    <n v="0"/>
    <m/>
    <n v="27"/>
    <m/>
    <d v="2026-06-09T00:00:00"/>
    <d v="2026-06-08T00:00:00"/>
    <d v="2026-06-09T00:00:00"/>
    <m/>
    <m/>
    <s v="YB-LA001"/>
    <m/>
    <s v="V9"/>
    <x v="6"/>
    <n v="1636"/>
    <m/>
    <m/>
    <m/>
    <n v="990"/>
    <m/>
    <n v="10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7"/>
    <n v="27"/>
    <n v="27"/>
    <n v="27"/>
    <n v="27"/>
    <n v="27"/>
    <n v="27"/>
    <n v="27"/>
  </r>
  <r>
    <n v="330"/>
    <s v="000391145"/>
    <s v="先行生産"/>
    <m/>
    <s v="YB-LA001"/>
    <s v="V9-BH　計画生産"/>
    <s v="YB-LA001"/>
    <s v="5685000-1"/>
    <s v="単体"/>
    <n v="0"/>
    <m/>
    <n v="27"/>
    <m/>
    <d v="2026-06-16T00:00:00"/>
    <d v="2026-06-15T00:00:00"/>
    <d v="2026-06-16T00:00:00"/>
    <m/>
    <m/>
    <s v="YB-LA001"/>
    <m/>
    <s v="V9"/>
    <x v="6"/>
    <n v="1637"/>
    <m/>
    <m/>
    <m/>
    <n v="991"/>
    <m/>
    <n v="10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7"/>
    <n v="27"/>
    <n v="27"/>
    <n v="27"/>
    <n v="27"/>
    <n v="27"/>
    <n v="27"/>
    <n v="27"/>
  </r>
  <r>
    <n v="335"/>
    <s v="000389425"/>
    <s v="先行生産"/>
    <m/>
    <s v="YB-LA001"/>
    <s v="V9-BH　計画生産"/>
    <s v="YB-LA001"/>
    <s v="5685000-1"/>
    <s v="単体"/>
    <n v="0"/>
    <m/>
    <n v="28"/>
    <m/>
    <d v="2026-06-23T00:00:00"/>
    <d v="2026-06-22T00:00:00"/>
    <d v="2026-06-23T00:00:00"/>
    <m/>
    <m/>
    <s v="YB-LA001"/>
    <m/>
    <s v="V9"/>
    <x v="6"/>
    <n v="1638"/>
    <m/>
    <m/>
    <m/>
    <n v="992"/>
    <m/>
    <n v="10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28"/>
    <n v="28"/>
    <n v="28"/>
    <n v="28"/>
    <n v="28"/>
    <n v="28"/>
    <n v="28"/>
  </r>
  <r>
    <n v="337"/>
    <s v="000391147"/>
    <s v="先行生産"/>
    <m/>
    <s v="YB-LA001"/>
    <s v="V9-BH　計画生産"/>
    <s v="YB-LA001"/>
    <s v="5685000-1"/>
    <s v="単体"/>
    <n v="0"/>
    <m/>
    <n v="28"/>
    <m/>
    <d v="2026-06-30T00:00:00"/>
    <d v="2026-06-29T00:00:00"/>
    <d v="2026-06-30T00:00:00"/>
    <m/>
    <m/>
    <s v="YB-LA001"/>
    <m/>
    <s v="V9"/>
    <x v="6"/>
    <n v="1639"/>
    <m/>
    <m/>
    <m/>
    <n v="993"/>
    <m/>
    <n v="10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28"/>
    <n v="28"/>
    <n v="28"/>
    <n v="28"/>
    <n v="28"/>
    <n v="28"/>
    <n v="28"/>
  </r>
  <r>
    <n v="361"/>
    <s v="000391146"/>
    <s v="先行生産"/>
    <m/>
    <s v="YB-LA001"/>
    <s v="V9-BH　計画生産"/>
    <s v="YB-LA001"/>
    <s v="5685000-1"/>
    <s v="単体"/>
    <n v="0"/>
    <m/>
    <n v="27"/>
    <m/>
    <d v="2026-07-07T00:00:00"/>
    <d v="2026-07-06T00:00:00"/>
    <d v="2026-07-07T00:00:00"/>
    <m/>
    <m/>
    <s v="YB-LA001"/>
    <m/>
    <s v="V9"/>
    <x v="7"/>
    <n v="1640"/>
    <m/>
    <m/>
    <m/>
    <n v="994"/>
    <m/>
    <n v="10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7"/>
    <n v="27"/>
    <n v="27"/>
    <n v="27"/>
    <n v="27"/>
    <n v="27"/>
    <n v="27"/>
    <n v="27"/>
  </r>
  <r>
    <n v="363"/>
    <s v="000391148"/>
    <s v="先行生産"/>
    <m/>
    <s v="YB-LA001"/>
    <s v="V9-BH　計画生産"/>
    <s v="YB-LA001"/>
    <s v="5685000-1"/>
    <s v="単体"/>
    <n v="0"/>
    <m/>
    <n v="27"/>
    <m/>
    <d v="2026-07-13T00:00:00"/>
    <d v="2026-07-10T00:00:00"/>
    <d v="2026-07-13T00:00:00"/>
    <m/>
    <m/>
    <s v="YB-LA001"/>
    <m/>
    <s v="V9"/>
    <x v="7"/>
    <n v="1641"/>
    <m/>
    <m/>
    <m/>
    <n v="995"/>
    <m/>
    <n v="10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7"/>
    <n v="27"/>
    <n v="27"/>
    <n v="27"/>
    <n v="27"/>
    <n v="27"/>
    <n v="27"/>
    <n v="27"/>
  </r>
  <r>
    <n v="364"/>
    <s v="000389421"/>
    <s v="先行生産"/>
    <m/>
    <s v="YB-LA001"/>
    <s v="V9-BH　計画生産"/>
    <s v="YB-LA001"/>
    <s v="5685000-1"/>
    <s v="単体"/>
    <n v="0"/>
    <m/>
    <n v="37"/>
    <m/>
    <d v="2026-07-28T00:00:00"/>
    <d v="2026-07-27T00:00:00"/>
    <d v="2026-07-28T00:00:00"/>
    <m/>
    <m/>
    <s v="YB-LA001"/>
    <m/>
    <s v="V9"/>
    <x v="7"/>
    <n v="1642"/>
    <m/>
    <m/>
    <m/>
    <n v="996"/>
    <m/>
    <n v="10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37"/>
    <n v="37"/>
    <n v="37"/>
    <n v="37"/>
    <n v="37"/>
    <n v="37"/>
    <n v="37"/>
    <n v="37"/>
  </r>
  <r>
    <n v="398"/>
    <s v="000391149"/>
    <s v="先行生産"/>
    <m/>
    <s v="YB-LA001"/>
    <s v="V9-BH　計画生産"/>
    <s v="YB-LA001"/>
    <s v="5685000-1"/>
    <s v="単体"/>
    <n v="0"/>
    <m/>
    <n v="37"/>
    <m/>
    <d v="2026-08-04T00:00:00"/>
    <d v="2026-08-03T00:00:00"/>
    <d v="2026-08-04T00:00:00"/>
    <m/>
    <m/>
    <s v="YB-LA001"/>
    <m/>
    <s v="V9"/>
    <x v="8"/>
    <n v="1643"/>
    <m/>
    <m/>
    <m/>
    <n v="997"/>
    <m/>
    <n v="10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37"/>
    <n v="37"/>
    <n v="37"/>
    <n v="37"/>
    <n v="37"/>
    <n v="37"/>
    <n v="37"/>
    <n v="37"/>
  </r>
  <r>
    <n v="399"/>
    <s v="000391150"/>
    <s v="先行生産"/>
    <m/>
    <s v="YB-LA001"/>
    <s v="V9-BH　計画生産"/>
    <s v="YB-LA001"/>
    <s v="5685000-1"/>
    <s v="単体"/>
    <n v="0"/>
    <m/>
    <n v="36"/>
    <m/>
    <d v="2026-08-18T00:00:00"/>
    <d v="2026-08-17T00:00:00"/>
    <d v="2026-08-18T00:00:00"/>
    <m/>
    <m/>
    <s v="YB-LA001"/>
    <m/>
    <s v="V9"/>
    <x v="8"/>
    <n v="1644"/>
    <m/>
    <m/>
    <m/>
    <n v="998"/>
    <m/>
    <n v="10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36"/>
    <n v="36"/>
    <n v="36"/>
    <n v="36"/>
    <n v="36"/>
    <n v="36"/>
    <n v="36"/>
    <n v="36"/>
  </r>
  <r>
    <n v="400"/>
    <s v="000389424"/>
    <s v="先行生産"/>
    <m/>
    <s v="YB-LA001"/>
    <s v="V9-BH　計画生産"/>
    <s v="YB-LA001"/>
    <s v="5685000-1"/>
    <s v="単体"/>
    <n v="0"/>
    <m/>
    <n v="90"/>
    <m/>
    <d v="2026-08-25T00:00:00"/>
    <d v="2026-08-24T00:00:00"/>
    <d v="2026-08-25T00:00:00"/>
    <m/>
    <m/>
    <s v="YB-LA001"/>
    <m/>
    <s v="V9"/>
    <x v="8"/>
    <n v="1645"/>
    <m/>
    <m/>
    <m/>
    <n v="999"/>
    <m/>
    <n v="10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90"/>
    <n v="90"/>
    <n v="90"/>
    <n v="90"/>
    <n v="90"/>
    <n v="90"/>
    <n v="90"/>
    <n v="90"/>
  </r>
  <r>
    <n v="401"/>
    <s v="000397592"/>
    <s v="JRS"/>
    <m/>
    <m/>
    <s v="V9-BH"/>
    <s v="YB-LA002"/>
    <s v="3655124-5"/>
    <s v="単体"/>
    <n v="1"/>
    <m/>
    <n v="41"/>
    <m/>
    <d v="2026-09-01T00:00:00"/>
    <d v="2026-08-31T00:00:00"/>
    <d v="2026-09-01T00:00:00"/>
    <m/>
    <m/>
    <s v="YB-LA002"/>
    <m/>
    <s v="V9"/>
    <x v="9"/>
    <n v="1646"/>
    <m/>
    <m/>
    <m/>
    <m/>
    <n v="650"/>
    <m/>
    <n v="597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41"/>
    <n v="41"/>
    <n v="41"/>
    <n v="41"/>
    <n v="41"/>
    <n v="41"/>
    <n v="41"/>
    <n v="0"/>
  </r>
  <r>
    <n v="461"/>
    <s v="000389426"/>
    <s v="先行生産"/>
    <m/>
    <s v="YB-LA001"/>
    <s v="V9-BH　計画生産"/>
    <s v="YB-LA001"/>
    <s v="5685000-1"/>
    <s v="単体"/>
    <n v="0"/>
    <m/>
    <n v="90"/>
    <m/>
    <d v="2026-09-17T00:00:00"/>
    <d v="2026-09-16T00:00:00"/>
    <d v="2026-09-17T00:00:00"/>
    <m/>
    <m/>
    <s v="YB-LA001"/>
    <m/>
    <s v="V9"/>
    <x v="9"/>
    <n v="1647"/>
    <m/>
    <m/>
    <m/>
    <n v="1000"/>
    <m/>
    <n v="10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90"/>
    <n v="90"/>
    <n v="90"/>
    <n v="90"/>
    <n v="90"/>
    <n v="90"/>
    <n v="90"/>
    <n v="90"/>
  </r>
  <r>
    <n v="519"/>
    <s v="000389422"/>
    <s v="先行生産"/>
    <m/>
    <s v="YB-LA001"/>
    <s v="V9-BH　計画生産"/>
    <s v="YB-LA001"/>
    <s v="5685000-1"/>
    <s v="単体"/>
    <n v="0"/>
    <m/>
    <n v="90"/>
    <m/>
    <d v="2026-10-23T00:00:00"/>
    <d v="2026-10-22T00:00:00"/>
    <d v="2026-10-23T00:00:00"/>
    <m/>
    <m/>
    <s v="YB-LA001"/>
    <m/>
    <s v="V9"/>
    <x v="10"/>
    <n v="1648"/>
    <m/>
    <m/>
    <m/>
    <n v="1001"/>
    <m/>
    <n v="10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90"/>
    <n v="90"/>
    <n v="90"/>
    <n v="90"/>
    <n v="90"/>
    <n v="90"/>
    <n v="90"/>
    <n v="90"/>
  </r>
  <r>
    <n v="520"/>
    <s v="000397610"/>
    <s v="JRS"/>
    <m/>
    <m/>
    <s v="V9-BH"/>
    <s v="YB-LA002"/>
    <s v="3655124-5"/>
    <s v="単体"/>
    <n v="1"/>
    <m/>
    <n v="50"/>
    <m/>
    <d v="2026-11-02T00:00:00"/>
    <d v="2026-10-30T00:00:00"/>
    <d v="2026-11-02T00:00:00"/>
    <m/>
    <m/>
    <s v="YB-LA002"/>
    <m/>
    <s v="V9"/>
    <x v="11"/>
    <n v="1649"/>
    <m/>
    <m/>
    <m/>
    <m/>
    <n v="651"/>
    <m/>
    <n v="598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0"/>
  </r>
  <r>
    <n v="548"/>
    <s v="000389420"/>
    <s v="先行生産"/>
    <m/>
    <s v="YB-LA001"/>
    <s v="V9-BH　計画生産"/>
    <s v="YB-LA001"/>
    <s v="5685000-1"/>
    <s v="単体"/>
    <n v="0"/>
    <m/>
    <n v="85"/>
    <m/>
    <d v="2026-11-24T00:00:00"/>
    <d v="2026-11-23T00:00:00"/>
    <d v="2026-11-24T00:00:00"/>
    <m/>
    <m/>
    <s v="YB-LA001"/>
    <m/>
    <s v="V9"/>
    <x v="11"/>
    <n v="1650"/>
    <m/>
    <m/>
    <m/>
    <n v="1002"/>
    <m/>
    <n v="10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85"/>
    <n v="85"/>
    <n v="85"/>
    <n v="85"/>
    <n v="85"/>
    <n v="85"/>
    <n v="85"/>
    <n v="85"/>
  </r>
  <r>
    <n v="574"/>
    <s v="000389429"/>
    <s v="先行生産"/>
    <m/>
    <s v="YB-LA001"/>
    <s v="V9-BH　計画生産"/>
    <s v="YB-LA001"/>
    <s v="5685000-1"/>
    <s v="単体"/>
    <n v="0"/>
    <m/>
    <n v="75"/>
    <m/>
    <d v="2026-12-17T00:00:00"/>
    <d v="2026-12-16T00:00:00"/>
    <d v="2026-12-17T00:00:00"/>
    <m/>
    <m/>
    <s v="YB-LA001"/>
    <m/>
    <s v="V9"/>
    <x v="12"/>
    <n v="1651"/>
    <m/>
    <m/>
    <m/>
    <n v="1003"/>
    <m/>
    <n v="10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75"/>
    <n v="75"/>
    <n v="75"/>
    <n v="75"/>
    <n v="75"/>
    <n v="75"/>
    <n v="75"/>
    <n v="75"/>
  </r>
  <r>
    <n v="604"/>
    <s v="000389431"/>
    <s v="先行生産"/>
    <m/>
    <s v="YB-LA001"/>
    <s v="V9-BH　計画生産"/>
    <s v="YB-LA001"/>
    <s v="5685000-1"/>
    <s v="単体"/>
    <n v="0"/>
    <m/>
    <n v="40"/>
    <m/>
    <d v="2027-01-26T00:00:00"/>
    <d v="2027-01-25T00:00:00"/>
    <d v="2027-01-26T00:00:00"/>
    <m/>
    <m/>
    <s v="YB-LA001"/>
    <m/>
    <s v="V9"/>
    <x v="13"/>
    <n v="1652"/>
    <m/>
    <m/>
    <m/>
    <n v="1004"/>
    <m/>
    <n v="10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40"/>
    <n v="40"/>
    <n v="40"/>
    <n v="40"/>
    <n v="40"/>
    <n v="40"/>
    <n v="40"/>
    <n v="40"/>
  </r>
  <r>
    <n v="605"/>
    <s v="000397624"/>
    <s v="JRS"/>
    <m/>
    <m/>
    <s v="V9-BH"/>
    <s v="YB-LA002"/>
    <s v="3655124-5"/>
    <s v="単体"/>
    <n v="1"/>
    <m/>
    <n v="50"/>
    <m/>
    <d v="2027-02-01T00:00:00"/>
    <d v="2027-01-29T00:00:00"/>
    <d v="2027-02-01T00:00:00"/>
    <m/>
    <m/>
    <s v="YB-LA002"/>
    <m/>
    <s v="V9"/>
    <x v="14"/>
    <n v="1653"/>
    <m/>
    <m/>
    <m/>
    <m/>
    <n v="652"/>
    <m/>
    <n v="599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0"/>
  </r>
  <r>
    <n v="610"/>
    <s v="000397487"/>
    <s v="先行生産"/>
    <m/>
    <s v="YB-LA001"/>
    <s v="V9-BH　計画生産"/>
    <s v="YB-LA001"/>
    <s v="5685000-1"/>
    <s v="単体"/>
    <n v="0"/>
    <m/>
    <n v="10"/>
    <m/>
    <d v="2027-02-24T00:00:00"/>
    <d v="2027-02-23T00:00:00"/>
    <d v="2027-02-24T00:00:00"/>
    <m/>
    <m/>
    <s v="YB-LA001"/>
    <m/>
    <s v="V9"/>
    <x v="14"/>
    <n v="1654"/>
    <m/>
    <m/>
    <m/>
    <n v="1005"/>
    <m/>
    <n v="10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10"/>
    <n v="10"/>
    <n v="10"/>
    <n v="10"/>
    <n v="10"/>
    <n v="10"/>
    <n v="10"/>
  </r>
  <r>
    <n v="9"/>
    <s v="000395943"/>
    <s v="OFET"/>
    <s v="ﾊﾝｿｳﾌﾞ VUS-LAA101"/>
    <s v="VUS-LAA101"/>
    <s v="メンテ部材（検査有）"/>
    <s v="VUS-LAA101"/>
    <s v="0184429-0"/>
    <s v="ﾒﾝﾃ"/>
    <n v="1"/>
    <m/>
    <n v="5"/>
    <d v="2025-12-10T00:00:00"/>
    <d v="2026-01-22T00:00:00"/>
    <d v="2026-01-22T00:00:00"/>
    <d v="2026-01-22T00:00:00"/>
    <s v="OK"/>
    <s v="MB-08151"/>
    <s v="LAA101"/>
    <n v="5"/>
    <s v="ﾒﾝﾃV8"/>
    <x v="1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s v="000394355"/>
    <s v="JRMS"/>
    <s v="ﾊﾝｿｳﾌﾞ"/>
    <s v="VUS-LAA101"/>
    <s v="メンテ部材（検査有）"/>
    <s v="VUS-LAA101"/>
    <s v="0184429-0"/>
    <s v="ﾒﾝﾃ"/>
    <n v="0"/>
    <m/>
    <n v="1"/>
    <d v="2025-12-19T00:00:00"/>
    <d v="2026-01-22T00:00:00"/>
    <d v="2026-01-22T00:00:00"/>
    <d v="2026-01-22T00:00:00"/>
    <s v="OK"/>
    <s v="MB-08182"/>
    <s v="LAA101"/>
    <n v="1"/>
    <s v="ﾒﾝﾃV8"/>
    <x v="1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"/>
    <s v="000396251"/>
    <s v="OFET"/>
    <s v="ﾊﾝｿｳﾌﾞ VUS-LAA101"/>
    <s v="VUS-LAA101"/>
    <s v="メンテ部材（検査有）"/>
    <s v="VUS-LAA101"/>
    <s v="0184429-0"/>
    <s v="ﾒﾝﾃ"/>
    <n v="1"/>
    <m/>
    <n v="5"/>
    <d v="2025-12-10T00:00:00"/>
    <d v="2026-01-23T00:00:00"/>
    <d v="2026-01-23T00:00:00"/>
    <d v="2026-01-23T00:00:00"/>
    <s v="OK"/>
    <s v="MB-08156"/>
    <s v="LAA101"/>
    <n v="5"/>
    <s v="ﾒﾝﾃV8"/>
    <x v="1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"/>
    <s v="000396253"/>
    <s v="OFET"/>
    <s v="ﾊﾝｿｳﾌﾞ VUS-LAA101"/>
    <s v="VUS-LAA101"/>
    <s v="メンテ部材（検査有）"/>
    <s v="VUS-LAA101"/>
    <s v="0184429-0"/>
    <s v="ﾒﾝﾃ"/>
    <n v="1"/>
    <m/>
    <n v="4"/>
    <d v="2025-12-10T00:00:00"/>
    <d v="2026-01-26T00:00:00"/>
    <d v="2026-01-26T00:00:00"/>
    <d v="2026-01-26T00:00:00"/>
    <s v="OK"/>
    <s v="MB-08160"/>
    <s v="LAA101"/>
    <n v="4"/>
    <s v="ﾒﾝﾃV8"/>
    <x v="1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2"/>
    <s v="000396252"/>
    <s v="OFET"/>
    <s v="ﾊﾝｿｳﾌﾞ VUS-LAA101"/>
    <s v="VUS-LAA101"/>
    <s v="メンテ部材（検査有）"/>
    <s v="VUS-LAA101"/>
    <s v="0184429-0"/>
    <s v="ﾒﾝﾃ"/>
    <n v="1"/>
    <m/>
    <n v="4"/>
    <d v="2025-12-10T00:00:00"/>
    <d v="2026-01-27T00:00:00"/>
    <d v="2026-01-27T00:00:00"/>
    <d v="2026-01-27T00:00:00"/>
    <s v="OK"/>
    <s v="MB-08164"/>
    <s v="LAA101"/>
    <n v="4"/>
    <s v="ﾒﾝﾃV8"/>
    <x v="1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7"/>
    <s v="000395939"/>
    <s v="OFET"/>
    <s v="ﾊﾝｿｳﾌﾞ VUS-LAA101"/>
    <s v="VUS-LAA101"/>
    <s v="メンテ部材（検査有）"/>
    <s v="VUS-LAA101"/>
    <s v="0184429-0"/>
    <s v="ﾒﾝﾃ"/>
    <n v="1"/>
    <m/>
    <n v="1"/>
    <d v="2025-12-10T00:00:00"/>
    <d v="2026-01-29T00:00:00"/>
    <d v="2026-01-29T00:00:00"/>
    <d v="2026-01-29T00:00:00"/>
    <s v="OK"/>
    <s v="MB-08167"/>
    <s v="LAA101"/>
    <n v="1"/>
    <s v="ﾒﾝﾃV8"/>
    <x v="1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5"/>
    <s v="000395953"/>
    <s v="OFET"/>
    <s v="ﾊﾝｿｳﾌﾞ VUS-LAA101"/>
    <s v="VUS-LAA101"/>
    <s v="メンテ部材（検査有）"/>
    <s v="VUS-LAA101"/>
    <s v="0184429-0"/>
    <s v="ﾒﾝﾃ"/>
    <n v="1"/>
    <m/>
    <n v="3"/>
    <d v="2025-12-10T00:00:00"/>
    <d v="2026-01-29T00:00:00"/>
    <d v="2026-01-29T00:00:00"/>
    <d v="2026-01-29T00:00:00"/>
    <s v="OK"/>
    <s v="MB-08168"/>
    <s v="LAA101"/>
    <n v="3"/>
    <s v="ﾒﾝﾃV8"/>
    <x v="1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"/>
    <s v="000395937"/>
    <s v="OFET"/>
    <s v="ﾊﾝｿｳﾌﾞ VUS-LAA101"/>
    <s v="VUS-LAA101"/>
    <s v="メンテ部材（検査有）"/>
    <s v="VUS-LAA101"/>
    <s v="0184429-0"/>
    <s v="ﾒﾝﾃ"/>
    <n v="1"/>
    <m/>
    <n v="1"/>
    <d v="2025-12-10T00:00:00"/>
    <d v="2026-01-29T00:00:00"/>
    <d v="2026-01-29T00:00:00"/>
    <d v="2026-01-29T00:00:00"/>
    <s v="OK"/>
    <s v="MB-08169"/>
    <s v="LAA101"/>
    <n v="1"/>
    <s v="ﾒﾝﾃV8"/>
    <x v="1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6"/>
    <s v="000395957"/>
    <s v="OFET"/>
    <s v="ﾊﾝｿｳﾌﾞ VUS-LAA101"/>
    <s v="VUS-LAA101"/>
    <s v="メンテ部材（検査有）"/>
    <s v="VUS-LAA101"/>
    <s v="0184429-0"/>
    <s v="ﾒﾝﾃ"/>
    <n v="1"/>
    <m/>
    <n v="2"/>
    <d v="2026-01-15T00:00:00"/>
    <d v="2026-02-10T00:00:00"/>
    <d v="2026-02-10T00:00:00"/>
    <d v="2026-02-10T00:00:00"/>
    <s v="OK"/>
    <m/>
    <s v="LAA101"/>
    <n v="2"/>
    <s v="ﾒﾝﾃV8"/>
    <x v="2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5"/>
    <s v="000395970"/>
    <s v="OFET"/>
    <s v="ﾊﾝｿｳﾌﾞ VUS-LAA101"/>
    <s v="VUS-LAA101"/>
    <s v="メンテ部材（検査有）"/>
    <s v="VUS-LAA101"/>
    <s v="0184429-0"/>
    <s v="ﾒﾝﾃ"/>
    <n v="1"/>
    <m/>
    <n v="1"/>
    <d v="2026-01-15T00:00:00"/>
    <d v="2026-02-10T00:00:00"/>
    <d v="2026-02-10T00:00:00"/>
    <d v="2026-02-10T00:00:00"/>
    <s v="OK"/>
    <m/>
    <s v="LAA101"/>
    <n v="1"/>
    <s v="ﾒﾝﾃV8"/>
    <x v="2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8"/>
    <s v="000398422"/>
    <s v="JRMS"/>
    <s v="ﾊﾝｿｳﾌﾞ"/>
    <s v="VUS-LAA101"/>
    <s v="メンテ部材（検査有）"/>
    <s v="VUS-LAA101"/>
    <s v="0184429-0"/>
    <s v="ﾒﾝﾃ"/>
    <n v="0"/>
    <m/>
    <n v="2"/>
    <d v="2026-02-10T00:00:00"/>
    <d v="2026-03-10T00:00:00"/>
    <d v="2026-03-10T00:00:00"/>
    <d v="2026-03-10T00:00:00"/>
    <s v="OK"/>
    <m/>
    <s v="LAA101"/>
    <n v="2"/>
    <s v="ﾒﾝﾃV8"/>
    <x v="3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"/>
    <s v="000395962"/>
    <s v="OFET"/>
    <s v="ｿｳﾆｭｳｺｳﾌﾞ VUS-LAE101"/>
    <s v="VUS-LAE101"/>
    <s v="メンテ部材（検査有）"/>
    <s v="VUS-LAE101"/>
    <s v="0184763-0"/>
    <s v="ﾒﾝﾃ"/>
    <n v="1"/>
    <m/>
    <n v="2"/>
    <d v="2025-12-10T00:00:00"/>
    <d v="2026-01-22T00:00:00"/>
    <d v="2026-01-22T00:00:00"/>
    <d v="2026-01-22T00:00:00"/>
    <s v="OK"/>
    <s v="MB-08149"/>
    <s v="LAE101"/>
    <n v="2"/>
    <s v="ﾒﾝﾃV8"/>
    <x v="1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"/>
    <s v="000395963"/>
    <s v="OFET"/>
    <s v="ｿｳﾆｭｳｺｳﾌﾞ VUS-LAE101"/>
    <s v="VUS-LAE101"/>
    <s v="メンテ部材（検査有）"/>
    <s v="VUS-LAE101"/>
    <s v="0184763-0"/>
    <s v="ﾒﾝﾃ"/>
    <n v="1"/>
    <m/>
    <n v="3"/>
    <d v="2025-12-10T00:00:00"/>
    <d v="2026-01-23T00:00:00"/>
    <d v="2026-01-23T00:00:00"/>
    <d v="2026-01-23T00:00:00"/>
    <s v="OK"/>
    <s v="MB-08154"/>
    <s v="LAE101"/>
    <n v="3"/>
    <s v="ﾒﾝﾃV8"/>
    <x v="1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1"/>
    <s v="000395965"/>
    <s v="OFET"/>
    <s v="ｿｳﾆｭｳｺｳﾌﾞ VUS-LAE101"/>
    <s v="VUS-LAE101"/>
    <s v="メンテ部材（検査有）"/>
    <s v="VUS-LAE101"/>
    <s v="0184763-0"/>
    <s v="ﾒﾝﾃ"/>
    <n v="1"/>
    <m/>
    <n v="1"/>
    <d v="2026-01-15T00:00:00"/>
    <d v="2026-02-10T00:00:00"/>
    <d v="2026-02-10T00:00:00"/>
    <d v="2026-02-10T00:00:00"/>
    <s v="OK"/>
    <m/>
    <s v="LAE101"/>
    <n v="1"/>
    <s v="ﾒﾝﾃV8"/>
    <x v="2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0"/>
    <s v="000395974"/>
    <s v="OFET"/>
    <s v="ｿｳﾆｭｳｺｳﾌﾞ VUS-LAE101"/>
    <s v="VUS-LAE101"/>
    <s v="メンテ部材（検査有）"/>
    <s v="VUS-LAE101"/>
    <s v="0184763-0"/>
    <s v="ﾒﾝﾃ"/>
    <n v="1"/>
    <m/>
    <n v="2"/>
    <d v="2026-01-15T00:00:00"/>
    <d v="2026-02-10T00:00:00"/>
    <d v="2026-02-10T00:00:00"/>
    <d v="2026-02-10T00:00:00"/>
    <s v="OK"/>
    <m/>
    <s v="LAE101"/>
    <n v="2"/>
    <s v="ﾒﾝﾃV8"/>
    <x v="2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"/>
    <s v="000395949"/>
    <s v="OFET"/>
    <s v="10000ｴﾝﾌﾞ VU-LB001"/>
    <s v="VUS-LAC001"/>
    <s v="メンテ部材（検査有）"/>
    <s v="VUS-LAC001"/>
    <s v="1868741-5"/>
    <s v="ﾒﾝﾃ"/>
    <n v="1"/>
    <m/>
    <n v="1"/>
    <d v="2025-12-10T00:00:00"/>
    <d v="2026-01-22T00:00:00"/>
    <d v="2026-01-22T00:00:00"/>
    <d v="2026-01-22T00:00:00"/>
    <s v="OK"/>
    <s v="MB-08145"/>
    <s v="LAC001"/>
    <n v="1"/>
    <s v="ﾒﾝﾃV8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"/>
    <s v="000395972"/>
    <s v="OFET"/>
    <s v="10000ｴﾝﾌﾞ VU-LB001"/>
    <s v="VUS-LAC001"/>
    <s v="メンテ部材（検査有）"/>
    <s v="VUS-LAC001"/>
    <s v="1868741-5"/>
    <s v="ﾒﾝﾃ"/>
    <n v="1"/>
    <m/>
    <n v="2"/>
    <d v="2026-01-15T00:00:00"/>
    <d v="2026-02-10T00:00:00"/>
    <d v="2026-02-10T00:00:00"/>
    <d v="2026-02-10T00:00:00"/>
    <s v="OK"/>
    <m/>
    <s v="LAC001"/>
    <n v="2"/>
    <s v="ﾒﾝﾃV8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"/>
    <s v="000395976"/>
    <s v="OFET"/>
    <s v="10000ｴﾝﾌﾞ VU-LB001"/>
    <s v="VUS-LAC001"/>
    <s v="メンテ部材（検査有）"/>
    <s v="VUS-LAC001"/>
    <s v="1868741-5"/>
    <s v="ﾒﾝﾃ"/>
    <n v="1"/>
    <m/>
    <n v="2"/>
    <d v="2026-01-15T00:00:00"/>
    <d v="2026-02-10T00:00:00"/>
    <d v="2026-02-10T00:00:00"/>
    <d v="2026-02-10T00:00:00"/>
    <s v="OK"/>
    <m/>
    <s v="LAC001"/>
    <n v="2"/>
    <s v="ﾒﾝﾃV8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1"/>
    <s v="000394042"/>
    <s v="京市交"/>
    <s v="10000ｴﾝﾌﾞ"/>
    <s v="VUS-LAC001"/>
    <s v="メンテ部材（検査有）"/>
    <s v="VUS-LAC001"/>
    <s v="1868741-5"/>
    <s v="ﾒﾝﾃ"/>
    <n v="0"/>
    <m/>
    <n v="2"/>
    <m/>
    <d v="2026-02-16T00:00:00"/>
    <d v="2026-02-16T00:00:00"/>
    <d v="2026-02-16T00:00:00"/>
    <s v="NG"/>
    <m/>
    <s v="LAC001"/>
    <n v="0"/>
    <s v="ﾒﾝﾃV8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"/>
    <s v="000395952"/>
    <s v="OFET"/>
    <s v="1000ｴﾝ ｶｾﾂﾄﾌﾞ"/>
    <s v="VUS-LAD001"/>
    <s v="メンテ部材（検査有）"/>
    <s v="VUS-LAD001"/>
    <s v="1868742-3"/>
    <s v="ﾒﾝﾃ"/>
    <n v="1"/>
    <m/>
    <n v="5"/>
    <d v="2025-12-10T00:00:00"/>
    <d v="2026-01-22T00:00:00"/>
    <d v="2026-01-22T00:00:00"/>
    <d v="2026-01-22T00:00:00"/>
    <s v="OK"/>
    <s v="MB-08146"/>
    <s v="LAD001"/>
    <n v="5"/>
    <s v="ﾒﾝﾃV8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</r>
  <r>
    <n v="11"/>
    <s v="000396254"/>
    <s v="OFET"/>
    <s v="1000ｴﾝ ｶｾﾂﾄﾌﾞ"/>
    <s v="VUS-LAD001"/>
    <s v="メンテ部材（検査有）"/>
    <s v="VUS-LAD001"/>
    <s v="1868742-3"/>
    <s v="ﾒﾝﾃ"/>
    <n v="1"/>
    <m/>
    <n v="4"/>
    <d v="2025-12-10T00:00:00"/>
    <d v="2026-01-23T00:00:00"/>
    <d v="2026-01-23T00:00:00"/>
    <d v="2026-01-23T00:00:00"/>
    <s v="OK"/>
    <s v="MB-08153"/>
    <s v="LAD001"/>
    <n v="4"/>
    <s v="ﾒﾝﾃV8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</r>
  <r>
    <n v="15"/>
    <s v="000395958"/>
    <s v="OFET"/>
    <s v="1000ｴﾝ ｶｾﾂﾄﾌﾞ VUS-LAD001"/>
    <s v="VUS-LAD001"/>
    <s v="メンテ部材（検査有）"/>
    <s v="VUS-LAD001"/>
    <s v="1868742-3"/>
    <s v="ﾒﾝﾃ"/>
    <n v="1"/>
    <m/>
    <n v="4"/>
    <d v="2025-12-10T00:00:00"/>
    <d v="2026-01-26T00:00:00"/>
    <d v="2026-01-26T00:00:00"/>
    <d v="2026-01-26T00:00:00"/>
    <s v="OK"/>
    <s v="MB-08157"/>
    <s v="LAD001"/>
    <n v="4"/>
    <s v="ﾒﾝﾃV8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</r>
  <r>
    <n v="19"/>
    <s v="000395948"/>
    <s v="OFET"/>
    <s v="1000ｴﾝ ｶｾﾂﾄﾌﾞ VUS-LAD001"/>
    <s v="VUS-LAD001"/>
    <s v="メンテ部材（検査有）"/>
    <s v="VUS-LAD001"/>
    <s v="1868742-3"/>
    <s v="ﾒﾝﾃ"/>
    <n v="1"/>
    <m/>
    <n v="1"/>
    <d v="2025-12-10T00:00:00"/>
    <d v="2026-01-27T00:00:00"/>
    <d v="2026-01-27T00:00:00"/>
    <d v="2026-01-27T00:00:00"/>
    <s v="OK"/>
    <s v="MB-08161"/>
    <s v="LAD001"/>
    <n v="1"/>
    <s v="ﾒﾝﾃV8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37"/>
    <s v="000395969"/>
    <s v="OFET"/>
    <s v="1000ｴﾝ ｶｾﾂﾄﾌﾞ VUS-LAD001"/>
    <s v="VUS-LAD001"/>
    <s v="メンテ部材（検査有）"/>
    <s v="VUS-LAD001"/>
    <s v="1868742-3"/>
    <s v="ﾒﾝﾃ"/>
    <n v="1"/>
    <m/>
    <n v="2"/>
    <d v="2026-01-15T00:00:00"/>
    <d v="2026-02-10T00:00:00"/>
    <d v="2026-02-10T00:00:00"/>
    <d v="2026-02-10T00:00:00"/>
    <s v="OK"/>
    <m/>
    <s v="LAD001"/>
    <n v="2"/>
    <s v="ﾒﾝﾃV8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</r>
  <r>
    <n v="38"/>
    <s v="000395975"/>
    <s v="OFET"/>
    <s v="1000ｴﾝ ｶｾﾂﾄﾌﾞ VUS-LAD001"/>
    <s v="VUS-LAD001"/>
    <s v="メンテ部材（検査有）"/>
    <s v="VUS-LAD001"/>
    <s v="1868742-3"/>
    <s v="ﾒﾝﾃ"/>
    <n v="1"/>
    <m/>
    <n v="2"/>
    <d v="2026-01-15T00:00:00"/>
    <d v="2026-02-10T00:00:00"/>
    <d v="2026-02-10T00:00:00"/>
    <d v="2026-02-10T00:00:00"/>
    <s v="OK"/>
    <m/>
    <s v="LAD001"/>
    <n v="2"/>
    <s v="ﾒﾝﾃV8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</r>
  <r>
    <n v="16"/>
    <s v="000395959"/>
    <s v="OFET"/>
    <s v="5000ｴﾝﾌﾞ VUS-LAF001"/>
    <s v="VUS-LAF001"/>
    <s v="メンテ部材（検査有）"/>
    <s v="VUS-LAF001"/>
    <s v="1876212-3"/>
    <s v="ﾒﾝﾃ"/>
    <n v="1"/>
    <m/>
    <n v="4"/>
    <d v="2025-12-10T00:00:00"/>
    <d v="2026-01-26T00:00:00"/>
    <d v="2026-01-26T00:00:00"/>
    <d v="2026-01-26T00:00:00"/>
    <s v="OK"/>
    <s v="MB-08158"/>
    <s v="LAF001"/>
    <n v="4"/>
    <s v="ﾒﾝﾃV8"/>
    <x v="1"/>
    <m/>
    <m/>
    <m/>
    <m/>
    <m/>
    <m/>
    <m/>
    <m/>
    <m/>
    <m/>
    <m/>
    <m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"/>
    <s v="000395947"/>
    <s v="OFET"/>
    <s v="5000ｴﾝﾌﾞ VUS-LAF001"/>
    <s v="VUS-LAF001"/>
    <s v="メンテ部材（検査有）"/>
    <s v="VUS-LAF001"/>
    <s v="1876212-3"/>
    <s v="ﾒﾝﾃ"/>
    <n v="1"/>
    <m/>
    <n v="1"/>
    <d v="2025-12-10T00:00:00"/>
    <d v="2026-01-27T00:00:00"/>
    <d v="2026-01-27T00:00:00"/>
    <d v="2026-01-27T00:00:00"/>
    <s v="OK"/>
    <s v="MB-08162"/>
    <s v="LAF001"/>
    <n v="1"/>
    <s v="ﾒﾝﾃV8"/>
    <x v="1"/>
    <m/>
    <m/>
    <m/>
    <m/>
    <m/>
    <m/>
    <m/>
    <m/>
    <m/>
    <m/>
    <m/>
    <m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9"/>
    <s v="000395971"/>
    <s v="OFET"/>
    <s v="5000ｴﾝﾌﾞ VUS-LAF001"/>
    <s v="VUS-LAF001"/>
    <s v="メンテ部材（検査有）"/>
    <s v="VUS-LAF001"/>
    <s v="1876212-3"/>
    <s v="ﾒﾝﾃ"/>
    <n v="1"/>
    <m/>
    <n v="2"/>
    <d v="2026-01-15T00:00:00"/>
    <d v="2026-02-10T00:00:00"/>
    <d v="2026-02-10T00:00:00"/>
    <d v="2026-02-10T00:00:00"/>
    <s v="OK"/>
    <m/>
    <s v="LAF001"/>
    <n v="2"/>
    <s v="ﾒﾝﾃV8"/>
    <x v="2"/>
    <m/>
    <m/>
    <m/>
    <m/>
    <m/>
    <m/>
    <m/>
    <m/>
    <m/>
    <m/>
    <m/>
    <m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"/>
    <s v="000395955"/>
    <s v="OFET"/>
    <s v="ｶｲｼﾕｳﾌﾞ VU-LB001"/>
    <s v="VUS-LAN001"/>
    <s v="メンテ部材（検査有）"/>
    <s v="VUS-LAN001"/>
    <s v="1876242-5"/>
    <s v="ﾒﾝﾃ"/>
    <n v="1"/>
    <m/>
    <n v="1"/>
    <d v="2025-12-10T00:00:00"/>
    <d v="2026-01-22T00:00:00"/>
    <d v="2026-01-22T00:00:00"/>
    <d v="2026-01-22T00:00:00"/>
    <s v="OK"/>
    <s v="MB-08147"/>
    <s v="LAN001"/>
    <n v="1"/>
    <s v="ﾒﾝﾃV8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"/>
    <s v="000395964"/>
    <s v="OFET"/>
    <s v="ﾎｷﾕｳﾌﾞ，ｺｳﾎｳ VU-LC001"/>
    <s v="VUS-LBL001"/>
    <s v="メンテ部材（検査有）"/>
    <s v="VUS-LBL001"/>
    <s v="1876267-0"/>
    <s v="ﾒﾝﾃ"/>
    <n v="1"/>
    <m/>
    <n v="5"/>
    <d v="2025-12-10T00:00:00"/>
    <d v="2026-01-22T00:00:00"/>
    <d v="2026-01-22T00:00:00"/>
    <d v="2026-01-22T00:00:00"/>
    <s v="OK"/>
    <s v="MB-08152"/>
    <s v="LBL001"/>
    <n v="5"/>
    <s v="ﾒﾝﾃV8"/>
    <x v="1"/>
    <m/>
    <m/>
    <m/>
    <m/>
    <m/>
    <m/>
    <m/>
    <m/>
    <m/>
    <m/>
    <m/>
    <m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s v="000396263"/>
    <s v="OFET"/>
    <s v="ﾂﾘｼﾍｲ ﾎﾘﾕｳﾌﾞ VUS-LAG001"/>
    <s v="VUS-LAG001"/>
    <s v="メンテ部材（検査有）"/>
    <s v="VUS-LAG001"/>
    <s v="1876278-6"/>
    <s v="ﾒﾝﾃ"/>
    <n v="1"/>
    <m/>
    <n v="5"/>
    <d v="2025-12-10T00:00:00"/>
    <d v="2026-01-05T00:00:00"/>
    <d v="2026-01-29T00:00:00"/>
    <d v="2026-01-13T00:00:00"/>
    <e v="#VALUE!"/>
    <s v="MB-08144"/>
    <s v="LAG001"/>
    <e v="#VALUE!"/>
    <s v="ﾒﾝﾃV8"/>
    <x v="1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8"/>
    <s v="000396262"/>
    <s v="OFET"/>
    <s v="ﾂﾘｼﾍｲ ﾎﾘﾕｳﾌﾞ VUS-LAG001"/>
    <s v="VUS-LAG001"/>
    <s v="メンテ部材（検査有）"/>
    <s v="VUS-LAG001"/>
    <s v="1876278-6"/>
    <s v="ﾒﾝﾃ"/>
    <n v="1"/>
    <m/>
    <n v="5"/>
    <d v="2025-12-10T00:00:00"/>
    <d v="2026-01-06T00:00:00"/>
    <d v="2026-01-30T00:00:00"/>
    <d v="2026-01-30T00:00:00"/>
    <e v="#VALUE!"/>
    <s v="MB-08170"/>
    <s v="LAG001"/>
    <e v="#VALUE!"/>
    <s v="ﾒﾝﾃV8"/>
    <x v="1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"/>
    <s v="000395944"/>
    <s v="OFET"/>
    <s v="ﾂﾘｼﾍｲ ﾎﾘﾕｳﾌﾞ"/>
    <s v="VUS-LAG001"/>
    <s v="メンテ部材（検査有）"/>
    <s v="VUS-LAG001"/>
    <s v="1876278-6"/>
    <s v="ﾒﾝﾃ"/>
    <n v="1"/>
    <m/>
    <n v="5"/>
    <d v="2025-12-10T00:00:00"/>
    <d v="2026-01-22T00:00:00"/>
    <d v="2026-01-22T00:00:00"/>
    <d v="2026-01-22T00:00:00"/>
    <s v="OK"/>
    <s v="MB-08150"/>
    <s v="LAG001"/>
    <n v="5"/>
    <s v="ﾒﾝﾃV8"/>
    <x v="1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s v="000396257"/>
    <s v="OFET"/>
    <s v="ﾂﾘｼﾍｲ ﾎﾘﾕｳﾌﾞ"/>
    <s v="VUS-LAG001"/>
    <s v="メンテ部材（検査有）"/>
    <s v="VUS-LAG001"/>
    <s v="1876278-6"/>
    <s v="ﾒﾝﾃ"/>
    <n v="1"/>
    <m/>
    <n v="4"/>
    <d v="2025-12-10T00:00:00"/>
    <d v="2026-01-23T00:00:00"/>
    <d v="2026-01-23T00:00:00"/>
    <d v="2026-01-23T00:00:00"/>
    <s v="OK"/>
    <s v="MB-08155"/>
    <s v="LAG001"/>
    <n v="4"/>
    <s v="ﾒﾝﾃV8"/>
    <x v="1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"/>
    <s v="000396255"/>
    <s v="OFET"/>
    <s v="ﾂﾘｼﾍｲ ﾎﾘﾕｳﾌﾞ"/>
    <s v="VUS-LAG001"/>
    <s v="メンテ部材（検査有）"/>
    <s v="VUS-LAG001"/>
    <s v="1876278-6"/>
    <s v="ﾒﾝﾃ"/>
    <n v="1"/>
    <m/>
    <n v="5"/>
    <d v="2025-12-10T00:00:00"/>
    <d v="2026-01-26T00:00:00"/>
    <d v="2026-01-26T00:00:00"/>
    <d v="2026-01-26T00:00:00"/>
    <s v="OK"/>
    <s v="MB-08159"/>
    <s v="LAG001"/>
    <n v="5"/>
    <s v="ﾒﾝﾃV8"/>
    <x v="1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1"/>
    <s v="000396256"/>
    <s v="OFET"/>
    <s v="ﾂﾘｼﾍｲ ﾎﾘﾕｳﾌﾞ"/>
    <s v="VUS-LAG001"/>
    <s v="メンテ部材（検査有）"/>
    <s v="VUS-LAG001"/>
    <s v="1876278-6"/>
    <s v="ﾒﾝﾃ"/>
    <n v="1"/>
    <m/>
    <n v="4"/>
    <d v="2025-12-10T00:00:00"/>
    <d v="2026-01-27T00:00:00"/>
    <d v="2026-01-27T00:00:00"/>
    <d v="2026-01-27T00:00:00"/>
    <s v="OK"/>
    <s v="MB-08163"/>
    <s v="LAG001"/>
    <n v="4"/>
    <s v="ﾒﾝﾃV8"/>
    <x v="1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9"/>
    <s v="000396264"/>
    <s v="OFET"/>
    <s v="ﾂﾘｼﾍｲ ﾎﾘﾕｳﾌﾞ VUS-LAG001"/>
    <s v="VUS-LAG001"/>
    <s v="メンテ部材（検査有）"/>
    <s v="VUS-LAG001"/>
    <s v="1876278-6"/>
    <s v="ﾒﾝﾃ"/>
    <n v="1"/>
    <m/>
    <n v="4"/>
    <d v="2025-12-10T00:00:00"/>
    <d v="2026-02-02T00:00:00"/>
    <d v="2026-02-02T00:00:00"/>
    <d v="2026-02-02T00:00:00"/>
    <s v="OK"/>
    <s v="MB-08171"/>
    <s v="LAG001"/>
    <n v="4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0"/>
    <s v="000396258"/>
    <s v="OFET"/>
    <s v="ﾂﾘｼﾍｲ ﾎﾘﾕｳﾌﾞ VUS-LAG001"/>
    <s v="VUS-LAG001"/>
    <s v="メンテ部材（検査有）"/>
    <s v="VUS-LAG001"/>
    <s v="1876278-6"/>
    <s v="ﾒﾝﾃ"/>
    <n v="1"/>
    <m/>
    <n v="5"/>
    <d v="2025-12-10T00:00:00"/>
    <d v="2026-02-03T00:00:00"/>
    <d v="2026-02-03T00:00:00"/>
    <d v="2026-02-03T00:00:00"/>
    <s v="OK"/>
    <s v="MB-08172"/>
    <s v="LAG001"/>
    <n v="5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1"/>
    <s v="000396259"/>
    <s v="OFET"/>
    <s v="ﾂﾘｼﾍｲ ﾎﾘﾕｳﾌﾞ VUS-LAG001"/>
    <s v="VUS-LAG001"/>
    <s v="メンテ部材（検査有）"/>
    <s v="VUS-LAG001"/>
    <s v="1876278-6"/>
    <s v="ﾒﾝﾃ"/>
    <n v="1"/>
    <m/>
    <n v="5"/>
    <d v="2025-12-10T00:00:00"/>
    <d v="2026-02-04T00:00:00"/>
    <d v="2026-02-04T00:00:00"/>
    <d v="2026-02-04T00:00:00"/>
    <s v="OK"/>
    <s v="MB-08173"/>
    <s v="LAG001"/>
    <n v="5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"/>
    <s v="000396261"/>
    <s v="OFET"/>
    <s v="ﾂﾘｼﾍｲ ﾎﾘﾕｳﾌﾞ VUS-LAG001"/>
    <s v="VUS-LAG001"/>
    <s v="メンテ部材（検査有）"/>
    <s v="VUS-LAG001"/>
    <s v="1876278-6"/>
    <s v="ﾒﾝﾃ"/>
    <n v="1"/>
    <m/>
    <n v="5"/>
    <d v="2025-12-10T00:00:00"/>
    <d v="2026-02-05T00:00:00"/>
    <d v="2026-02-05T00:00:00"/>
    <d v="2026-02-05T00:00:00"/>
    <s v="OK"/>
    <s v="MB-08174"/>
    <s v="LAG001"/>
    <n v="5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"/>
    <s v="000395941"/>
    <s v="OFET"/>
    <s v="ﾂﾘｼﾍｲ ﾎﾘﾕｳﾌﾞ VUS-LAG001"/>
    <s v="VUS-LAG001"/>
    <s v="メンテ部材（検査有）"/>
    <s v="VUS-LAG001"/>
    <s v="1876278-6"/>
    <s v="ﾒﾝﾃ"/>
    <n v="1"/>
    <m/>
    <n v="5"/>
    <d v="2025-12-10T00:00:00"/>
    <d v="2026-02-06T00:00:00"/>
    <d v="2026-02-06T00:00:00"/>
    <d v="2026-02-06T00:00:00"/>
    <s v="OK"/>
    <s v="MB-08175"/>
    <s v="LAG001"/>
    <n v="5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"/>
    <s v="000395954"/>
    <s v="OFET"/>
    <s v="ﾂﾘｼﾍｲ ﾎﾘﾕｳﾌﾞ VUS-LAG001"/>
    <s v="VUS-LAG001"/>
    <s v="メンテ部材（検査有）"/>
    <s v="VUS-LAG001"/>
    <s v="1876278-6"/>
    <s v="ﾒﾝﾃ"/>
    <n v="1"/>
    <m/>
    <n v="3"/>
    <d v="2026-01-14T00:00:00"/>
    <d v="2026-02-09T00:00:00"/>
    <d v="2026-02-09T00:00:00"/>
    <d v="2026-02-09T00:00:00"/>
    <s v="OK"/>
    <m/>
    <s v="LAG001"/>
    <n v="3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3"/>
    <s v="000395938"/>
    <s v="OFET"/>
    <s v="ﾂﾘｼﾍｲ ﾎﾘﾕｳﾌﾞ VUS-LAG001"/>
    <s v="VUS-LAG001"/>
    <s v="メンテ部材（検査有）"/>
    <s v="VUS-LAG001"/>
    <s v="1876278-6"/>
    <s v="ﾒﾝﾃ"/>
    <n v="1"/>
    <m/>
    <n v="1"/>
    <d v="2026-01-15T00:00:00"/>
    <d v="2026-02-10T00:00:00"/>
    <d v="2026-02-10T00:00:00"/>
    <d v="2026-02-10T00:00:00"/>
    <s v="OK"/>
    <m/>
    <s v="LAG001"/>
    <n v="1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2"/>
    <s v="000395950"/>
    <s v="OFET"/>
    <s v="ﾂﾘｼﾍｲ ﾎﾘﾕｳﾌﾞ VUS-LAG001"/>
    <s v="VUS-LAG001"/>
    <s v="メンテ部材（検査有）"/>
    <s v="VUS-LAG001"/>
    <s v="1876278-6"/>
    <s v="ﾒﾝﾃ"/>
    <n v="1"/>
    <m/>
    <n v="1"/>
    <d v="2026-01-15T00:00:00"/>
    <d v="2026-02-10T00:00:00"/>
    <d v="2026-02-10T00:00:00"/>
    <d v="2026-02-10T00:00:00"/>
    <s v="OK"/>
    <m/>
    <s v="LAG001"/>
    <n v="1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4"/>
    <s v="000395956"/>
    <s v="OFET"/>
    <s v="ﾂﾘｼﾍｲ ﾎﾘﾕｳﾌﾞ VUS-LAG001"/>
    <s v="VUS-LAG001"/>
    <s v="メンテ部材（検査有）"/>
    <s v="VUS-LAG001"/>
    <s v="1876278-6"/>
    <s v="ﾒﾝﾃ"/>
    <n v="1"/>
    <m/>
    <n v="2"/>
    <d v="2026-01-15T00:00:00"/>
    <d v="2026-02-10T00:00:00"/>
    <d v="2026-02-10T00:00:00"/>
    <d v="2026-02-10T00:00:00"/>
    <s v="OK"/>
    <m/>
    <s v="LAG001"/>
    <n v="2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7"/>
    <s v="000395966"/>
    <s v="OFET"/>
    <s v="ﾂﾘｼﾍｲ ﾎﾘﾕｳﾌﾞ VUS-LAG001"/>
    <s v="VUS-LAG001"/>
    <s v="メンテ部材（検査有）"/>
    <s v="VUS-LAG001"/>
    <s v="1876278-6"/>
    <s v="ﾒﾝﾃ"/>
    <n v="1"/>
    <m/>
    <n v="2"/>
    <d v="2026-01-16T00:00:00"/>
    <d v="2026-02-12T00:00:00"/>
    <d v="2026-02-12T00:00:00"/>
    <d v="2026-02-12T00:00:00"/>
    <s v="OK"/>
    <m/>
    <s v="LAG001"/>
    <n v="2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8"/>
    <s v="000395973"/>
    <s v="OFET"/>
    <s v="ﾂﾘｼﾍｲ ﾎﾘﾕｳﾌﾞ VUS-LAG001"/>
    <s v="VUS-LAG001"/>
    <s v="メンテ部材（検査有）"/>
    <s v="VUS-LAG001"/>
    <s v="1876278-6"/>
    <s v="ﾒﾝﾃ"/>
    <n v="1"/>
    <m/>
    <n v="2"/>
    <d v="2026-01-16T00:00:00"/>
    <d v="2026-02-12T00:00:00"/>
    <d v="2026-02-12T00:00:00"/>
    <d v="2026-02-12T00:00:00"/>
    <s v="OK"/>
    <m/>
    <s v="LAG001"/>
    <n v="2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9"/>
    <s v="000395960"/>
    <s v="OFET"/>
    <s v="ﾂﾘｼﾍｲ ﾎﾘﾕｳﾌﾞ VUS-LAG001"/>
    <s v="VUS-LAG001"/>
    <s v="メンテ部材（検査有）"/>
    <s v="VUS-LAG001"/>
    <s v="1876278-6"/>
    <s v="ﾒﾝﾃ"/>
    <n v="1"/>
    <m/>
    <n v="3"/>
    <d v="2026-01-16T00:00:00"/>
    <d v="2026-02-13T00:00:00"/>
    <d v="2026-02-13T00:00:00"/>
    <d v="2026-02-13T00:00:00"/>
    <s v="OK"/>
    <m/>
    <s v="LAG001"/>
    <n v="3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"/>
    <s v="000395961"/>
    <s v="OFET"/>
    <s v="ﾂﾘｼﾍｲ ﾎﾘﾕｳﾌﾞ VUS-LAG001"/>
    <s v="VUS-LAG001"/>
    <s v="メンテ部材（検査有）"/>
    <s v="VUS-LAG001"/>
    <s v="1876278-6"/>
    <s v="ﾒﾝﾃ"/>
    <n v="1"/>
    <m/>
    <n v="3"/>
    <d v="2026-01-20T00:00:00"/>
    <d v="2026-02-16T00:00:00"/>
    <d v="2026-02-16T00:00:00"/>
    <d v="2026-02-16T00:00:00"/>
    <s v="OK"/>
    <m/>
    <s v="LAG001"/>
    <n v="3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"/>
    <s v="000394043"/>
    <s v="京市交"/>
    <s v="ﾂﾘｼﾍｲ ﾎﾘﾕｳﾌﾞ"/>
    <s v="VUS-LAG001"/>
    <s v="メンテ部材（検査有）"/>
    <s v="VUS-LAG001"/>
    <s v="1876278-6"/>
    <s v="ﾒﾝﾃ"/>
    <n v="0"/>
    <m/>
    <n v="2"/>
    <d v="2026-01-20T00:00:00"/>
    <d v="2026-02-16T00:00:00"/>
    <d v="2026-02-16T00:00:00"/>
    <d v="2026-02-16T00:00:00"/>
    <s v="OK"/>
    <m/>
    <s v="LAG001"/>
    <n v="2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4"/>
    <s v="000395968"/>
    <s v="OFET"/>
    <s v="ﾂﾘｼﾍｲ ﾎﾘﾕｳﾌﾞ"/>
    <s v="VUS-LAG001"/>
    <s v="メンテ部材（検査有）"/>
    <s v="VUS-LAG001"/>
    <s v="1876278-6"/>
    <s v="ﾒﾝﾃ"/>
    <n v="1"/>
    <m/>
    <n v="5"/>
    <d v="2026-01-22T00:00:00"/>
    <d v="2026-02-18T00:00:00"/>
    <d v="2026-02-18T00:00:00"/>
    <d v="2026-02-18T00:00:00"/>
    <s v="OK"/>
    <m/>
    <s v="LAG001"/>
    <n v="5"/>
    <s v="ﾒﾝﾃV8"/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5"/>
    <s v="000397016"/>
    <s v="JRMS"/>
    <s v="ﾂﾘｼﾍｲ ﾎﾘﾕｳﾌﾞ"/>
    <s v="VUS-LAG001"/>
    <s v="メンテ部材（検査有）"/>
    <s v="VUS-LAG001"/>
    <s v="1876278-6"/>
    <s v="ﾒﾝﾃ"/>
    <n v="0"/>
    <m/>
    <n v="2"/>
    <d v="2026-02-03T00:00:00"/>
    <d v="2026-03-03T00:00:00"/>
    <d v="2026-03-03T00:00:00"/>
    <d v="2026-03-03T00:00:00"/>
    <s v="OK"/>
    <m/>
    <s v="LAG001"/>
    <n v="2"/>
    <s v="ﾒﾝﾃV8"/>
    <x v="3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"/>
    <s v="000395967"/>
    <s v="OFET"/>
    <s v="ﾎｷﾕｳﾌﾞ，ｺｳﾎｳ"/>
    <s v="VUS-LBL002"/>
    <s v="メンテ部材（検査有）"/>
    <s v="VUS-LBL002"/>
    <s v="3729668-0"/>
    <s v="ﾒﾝﾃ"/>
    <n v="1"/>
    <m/>
    <n v="5"/>
    <d v="2026-01-20T00:00:00"/>
    <d v="2026-02-17T00:00:00"/>
    <d v="2026-02-17T00:00:00"/>
    <d v="2026-02-17T00:00:00"/>
    <s v="OK"/>
    <m/>
    <s v="LBL002"/>
    <n v="5"/>
    <s v="ﾒﾝﾃV8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s v="000382666"/>
    <s v="OFET"/>
    <s v="ｶｲｼﾕｳﾌﾞ"/>
    <s v="YBS-LAN001"/>
    <s v="メンテ部材（検査有）"/>
    <s v="YBS-LAN001"/>
    <s v="5683345-0"/>
    <s v="ﾒﾝﾃ"/>
    <n v="0"/>
    <m/>
    <n v="3"/>
    <d v="2025-12-19T00:00:00"/>
    <d v="2026-01-22T00:00:00"/>
    <d v="2026-01-22T00:00:00"/>
    <d v="2026-01-22T00:00:00"/>
    <s v="OK"/>
    <s v="MB-08183"/>
    <s v="LAN001"/>
    <n v="3"/>
    <s v="ﾒﾝﾃV9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n v="3"/>
    <s v="000390798"/>
    <s v="沖電気工業株式会社"/>
    <s v="V9BHカセット（26年3月度）"/>
    <s v="YBS-LAN001"/>
    <s v="メンテ部材（検査有）"/>
    <s v="YBS-LAN001"/>
    <s v="5683345-0"/>
    <s v="ﾒﾝﾃ"/>
    <n v="0"/>
    <m/>
    <n v="5"/>
    <d v="2026-01-26T00:00:00"/>
    <d v="2026-02-20T00:00:00"/>
    <d v="2026-02-20T00:00:00"/>
    <d v="2026-02-20T00:00:00"/>
    <s v="OK"/>
    <m/>
    <s v="LAN001"/>
    <n v="5"/>
    <s v="ﾒﾝﾃV9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</r>
  <r>
    <n v="7"/>
    <s v="000395985"/>
    <s v="OFET"/>
    <s v="ｶｲｼﾕｳﾌﾞ"/>
    <s v="YBS-LAN001"/>
    <s v="メンテ部材（検査有）"/>
    <s v="YBS-LAN001"/>
    <s v="5683345-0"/>
    <s v="ﾒﾝﾃ"/>
    <n v="1"/>
    <m/>
    <n v="1"/>
    <d v="2026-01-28T00:00:00"/>
    <d v="2026-02-25T00:00:00"/>
    <d v="2026-02-25T00:00:00"/>
    <d v="2026-02-25T00:00:00"/>
    <s v="OK"/>
    <m/>
    <s v="LAN001"/>
    <n v="1"/>
    <s v="ﾒﾝﾃV9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n v="2"/>
    <s v="000390667"/>
    <s v="沖電気工業株式会社"/>
    <s v="V9BHカセット（26年3月度）"/>
    <s v="YBS-LAC001"/>
    <s v="メンテ部材（検査有）"/>
    <s v="YBS-LAC001"/>
    <s v="5685600-0"/>
    <s v="ﾒﾝﾃ"/>
    <n v="0"/>
    <m/>
    <n v="4"/>
    <d v="2026-01-23T00:00:00"/>
    <d v="2026-02-19T00:00:00"/>
    <d v="2026-02-19T00:00:00"/>
    <d v="2026-02-19T00:00:00"/>
    <s v="OK"/>
    <m/>
    <s v="LAC001"/>
    <n v="4"/>
    <s v="ﾒﾝﾃV9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</r>
  <r>
    <n v="4"/>
    <s v="000391501"/>
    <s v="沖電気工業株式会社"/>
    <s v="V9BHカセット（26年3月度）"/>
    <s v="YBS-LAC001"/>
    <s v="メンテ部材（検査有）"/>
    <s v="YBS-LAC001"/>
    <s v="5685600-0"/>
    <s v="ﾒﾝﾃ"/>
    <n v="0"/>
    <m/>
    <n v="4"/>
    <d v="2026-01-26T00:00:00"/>
    <d v="2026-02-20T00:00:00"/>
    <d v="2026-02-20T00:00:00"/>
    <d v="2026-02-20T00:00:00"/>
    <s v="OK"/>
    <m/>
    <s v="LAC001"/>
    <n v="4"/>
    <s v="ﾒﾝﾃV9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</r>
  <r>
    <n v="5"/>
    <s v="000390666"/>
    <s v="沖電気工業株式会社"/>
    <s v="V9BHカセット（26年3月度）"/>
    <s v="YBS-LAD001"/>
    <s v="メンテ部材（検査有）"/>
    <s v="YBS-LAD001"/>
    <s v="5685601-8"/>
    <s v="ﾒﾝﾃ"/>
    <n v="0"/>
    <m/>
    <n v="5"/>
    <d v="2026-01-26T00:00:00"/>
    <d v="2026-02-20T00:00:00"/>
    <d v="2026-02-20T00:00:00"/>
    <d v="2026-02-20T00:00:00"/>
    <s v="OK"/>
    <m/>
    <s v="LAD001"/>
    <n v="5"/>
    <s v="ﾒﾝﾃV9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</r>
  <r>
    <n v="6"/>
    <s v="000390797"/>
    <s v="沖電気工業株式会社"/>
    <s v="V9BHカセット（26年3月度）"/>
    <s v="YBS-LAF001"/>
    <s v="メンテ部材（検査有）"/>
    <s v="YBS-LAF001"/>
    <s v="5685602-6"/>
    <s v="ﾒﾝﾃ"/>
    <n v="0"/>
    <m/>
    <n v="5"/>
    <d v="2026-01-26T00:00:00"/>
    <d v="2026-02-20T00:00:00"/>
    <d v="2026-02-20T00:00:00"/>
    <d v="2026-02-20T00:00:00"/>
    <s v="OK"/>
    <m/>
    <s v="LAF001"/>
    <n v="5"/>
    <s v="ﾒﾝﾃV9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ﾋﾟﾎﾞｯﾄﾃｰﾌﾞﾙ1" cacheId="1" applyNumberFormats="0" applyBorderFormats="0" applyFontFormats="0" applyPatternFormats="0" applyAlignmentFormats="0" applyWidthHeightFormats="1" dataCaption="値" updatedVersion="5" minRefreshableVersion="3" useAutoFormatting="1" itemPrintTitles="1" createdVersion="5" indent="0" outline="1" outlineData="1" multipleFieldFilters="0">
  <location ref="A3:AH21" firstHeaderRow="0" firstDataRow="1" firstDataCol="1"/>
  <pivotFields count="100">
    <pivotField numFmtId="17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9" showAll="0"/>
    <pivotField showAll="0"/>
    <pivotField numFmtId="178" showAll="0"/>
    <pivotField numFmtId="178" showAll="0"/>
    <pivotField numFmtId="178" showAll="0"/>
    <pivotField showAll="0"/>
    <pivotField showAll="0"/>
    <pivotField showAll="0"/>
    <pivotField showAll="0"/>
    <pivotField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</pivotFields>
  <rowFields count="1">
    <field x="2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</colItems>
  <dataFields count="33">
    <dataField name="合計 / LAA101Q" fld="67" baseField="0" baseItem="0"/>
    <dataField name="合計 / LAF001Q" fld="68" baseField="0" baseItem="0"/>
    <dataField name="合計 / LAF002Q" fld="69" baseField="0" baseItem="0"/>
    <dataField name="合計 / LAF003Q" fld="70" baseField="0" baseItem="0"/>
    <dataField name="合計 / LAG001Q" fld="71" baseField="0" baseItem="0"/>
    <dataField name="合計 / LAG002Q" fld="72" baseField="0" baseItem="0"/>
    <dataField name="合計 / LAE101Q" fld="73" baseField="0" baseItem="0"/>
    <dataField name="合計 / LAE102Q" fld="74" baseField="0" baseItem="0"/>
    <dataField name="合計 / LAE201Q" fld="75" baseField="0" baseItem="0"/>
    <dataField name="合計 / LBL001Q" fld="76" baseField="0" baseItem="0"/>
    <dataField name="合計 / LBL002Q" fld="77" baseField="0" baseItem="0"/>
    <dataField name="合計 / LAL001Q" fld="78" baseField="0" baseItem="0"/>
    <dataField name="合計 / LAN001Q" fld="79" baseField="0" baseItem="0"/>
    <dataField name="合計 / LAN002Q" fld="80" baseField="0" baseItem="0"/>
    <dataField name="合計 / LCN001Q" fld="81" baseField="0" baseItem="0"/>
    <dataField name="合計 / LAC001Q" fld="82" baseField="0" baseItem="0"/>
    <dataField name="合計 / LAC002Q" fld="83" baseField="0" baseItem="0"/>
    <dataField name="合計 / LCC001Q" fld="84" baseField="0" baseItem="0"/>
    <dataField name="合計 / LCC002Q" fld="85" baseField="0" baseItem="0"/>
    <dataField name="合計 / LAD001Q" fld="86" baseField="0" baseItem="0"/>
    <dataField name="合計 / LAD002Q" fld="87" baseField="0" baseItem="0"/>
    <dataField name="合計 / LCD001Q" fld="88" baseField="0" baseItem="0"/>
    <dataField name="合計 / LCD002Q" fld="89" baseField="0" baseItem="0"/>
    <dataField name="合計 / LAH001Q" fld="90" baseField="0" baseItem="0"/>
    <dataField name="合計 / 新LAA001Q" fld="91" baseField="0" baseItem="0"/>
    <dataField name="合計 / 新LAＦ001Q" fld="92" baseField="0" baseItem="0"/>
    <dataField name="合計 / 新LAＧ001Q" fld="93" baseField="0" baseItem="0"/>
    <dataField name="合計 / 新LAＥ001Q" fld="94" baseField="0" baseItem="0"/>
    <dataField name="合計 / 新LAL001Q" fld="95" baseField="0" baseItem="0"/>
    <dataField name="合計 / 新LAN001Q" fld="96" baseField="0" baseItem="0"/>
    <dataField name="合計 / 新LAC001Q" fld="97" baseField="0" baseItem="0"/>
    <dataField name="合計 / 新LAD001Q" fld="98" baseField="0" baseItem="0"/>
    <dataField name="合計 / 新LAH001Q" fld="99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26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202" sqref="I202"/>
    </sheetView>
  </sheetViews>
  <sheetFormatPr defaultRowHeight="13.5"/>
  <cols>
    <col min="2" max="18" width="7.625" customWidth="1"/>
    <col min="19" max="31" width="6.125" customWidth="1"/>
  </cols>
  <sheetData>
    <row r="1" spans="1:31" s="45" customFormat="1" ht="21.75" thickBot="1">
      <c r="A1" s="44" t="s">
        <v>959</v>
      </c>
      <c r="N1" s="45" t="s">
        <v>824</v>
      </c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 spans="1:31" s="54" customFormat="1" ht="11.25" thickBot="1">
      <c r="A2" s="47"/>
      <c r="B2" s="48"/>
      <c r="C2" s="49"/>
      <c r="D2" s="50"/>
      <c r="E2" s="50"/>
      <c r="F2" s="50"/>
      <c r="G2" s="50"/>
      <c r="H2" s="50" t="s">
        <v>825</v>
      </c>
      <c r="I2" s="50"/>
      <c r="J2" s="50"/>
      <c r="K2" s="50"/>
      <c r="L2" s="50"/>
      <c r="M2" s="50"/>
      <c r="N2" s="50"/>
      <c r="O2" s="51"/>
      <c r="P2" s="52" t="s">
        <v>826</v>
      </c>
      <c r="Q2" s="53" t="s">
        <v>827</v>
      </c>
      <c r="R2" s="45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 spans="1:31" s="54" customFormat="1" ht="105.75" thickBot="1">
      <c r="A3" s="47"/>
      <c r="B3" s="55" t="s">
        <v>828</v>
      </c>
      <c r="C3" s="56" t="s">
        <v>829</v>
      </c>
      <c r="D3" s="57" t="s">
        <v>830</v>
      </c>
      <c r="E3" s="58" t="s">
        <v>831</v>
      </c>
      <c r="F3" s="59" t="s">
        <v>832</v>
      </c>
      <c r="G3" s="60" t="s">
        <v>833</v>
      </c>
      <c r="H3" s="61" t="s">
        <v>834</v>
      </c>
      <c r="I3" s="62" t="s">
        <v>835</v>
      </c>
      <c r="J3" s="63" t="s">
        <v>836</v>
      </c>
      <c r="K3" s="64" t="s">
        <v>837</v>
      </c>
      <c r="L3" s="65" t="s">
        <v>838</v>
      </c>
      <c r="M3" s="66" t="s">
        <v>839</v>
      </c>
      <c r="N3" s="67" t="s">
        <v>840</v>
      </c>
      <c r="O3" s="68" t="s">
        <v>841</v>
      </c>
      <c r="P3" s="69" t="s">
        <v>842</v>
      </c>
      <c r="Q3" s="68" t="s">
        <v>843</v>
      </c>
      <c r="R3" s="70" t="s">
        <v>844</v>
      </c>
      <c r="S3" s="71" t="s">
        <v>260</v>
      </c>
      <c r="T3" s="72" t="s">
        <v>134</v>
      </c>
      <c r="U3" s="73" t="s">
        <v>197</v>
      </c>
      <c r="V3" s="74" t="s">
        <v>441</v>
      </c>
      <c r="W3" s="74" t="s">
        <v>140</v>
      </c>
      <c r="X3" s="73" t="s">
        <v>450</v>
      </c>
      <c r="Y3" s="75" t="s">
        <v>342</v>
      </c>
      <c r="Z3" s="71" t="s">
        <v>190</v>
      </c>
      <c r="AA3" s="75" t="s">
        <v>285</v>
      </c>
      <c r="AB3" s="74" t="s">
        <v>417</v>
      </c>
      <c r="AC3" s="76" t="s">
        <v>199</v>
      </c>
      <c r="AD3" s="77" t="s">
        <v>465</v>
      </c>
      <c r="AE3" s="78" t="s">
        <v>182</v>
      </c>
    </row>
    <row r="4" spans="1:31" s="54" customFormat="1" ht="10.5" hidden="1">
      <c r="A4" s="79" t="s">
        <v>845</v>
      </c>
      <c r="B4" s="80" t="s">
        <v>846</v>
      </c>
      <c r="C4" s="81">
        <v>3</v>
      </c>
      <c r="D4" s="82">
        <v>3</v>
      </c>
      <c r="E4" s="83"/>
      <c r="F4" s="83"/>
      <c r="G4" s="83"/>
      <c r="H4" s="83"/>
      <c r="I4" s="83"/>
      <c r="J4" s="83"/>
      <c r="K4" s="84"/>
      <c r="L4" s="85">
        <v>6</v>
      </c>
      <c r="M4" s="86">
        <v>6</v>
      </c>
      <c r="N4" s="81">
        <v>6</v>
      </c>
      <c r="O4" s="87">
        <v>0</v>
      </c>
      <c r="P4" s="81"/>
      <c r="Q4" s="87"/>
      <c r="R4" s="88">
        <f t="shared" ref="R4:R67" si="0">L4+P4</f>
        <v>6</v>
      </c>
      <c r="S4" s="89"/>
      <c r="T4" s="90"/>
      <c r="U4" s="90"/>
      <c r="V4" s="90"/>
      <c r="W4" s="90"/>
      <c r="X4" s="90"/>
      <c r="Y4" s="90"/>
      <c r="Z4" s="90"/>
      <c r="AA4" s="90"/>
      <c r="AB4" s="90"/>
      <c r="AC4" s="90"/>
      <c r="AD4" s="91"/>
    </row>
    <row r="5" spans="1:31" s="54" customFormat="1" ht="10.5" hidden="1">
      <c r="A5" s="92"/>
      <c r="B5" s="93" t="s">
        <v>847</v>
      </c>
      <c r="C5" s="94">
        <v>0</v>
      </c>
      <c r="D5" s="95">
        <v>51</v>
      </c>
      <c r="E5" s="96"/>
      <c r="F5" s="96"/>
      <c r="G5" s="96"/>
      <c r="H5" s="96"/>
      <c r="I5" s="96"/>
      <c r="J5" s="96"/>
      <c r="K5" s="97"/>
      <c r="L5" s="98">
        <v>51</v>
      </c>
      <c r="M5" s="99">
        <v>57</v>
      </c>
      <c r="N5" s="94">
        <v>51</v>
      </c>
      <c r="O5" s="100">
        <v>0</v>
      </c>
      <c r="P5" s="94"/>
      <c r="Q5" s="100"/>
      <c r="R5" s="101">
        <f t="shared" si="0"/>
        <v>51</v>
      </c>
      <c r="S5" s="89"/>
      <c r="T5" s="90"/>
      <c r="U5" s="90"/>
      <c r="V5" s="90"/>
      <c r="W5" s="90"/>
      <c r="X5" s="90"/>
      <c r="Y5" s="90"/>
      <c r="Z5" s="90"/>
      <c r="AA5" s="90"/>
      <c r="AB5" s="90"/>
      <c r="AC5" s="90"/>
      <c r="AD5" s="91"/>
    </row>
    <row r="6" spans="1:31" s="54" customFormat="1" ht="10.5" hidden="1">
      <c r="A6" s="102"/>
      <c r="B6" s="93" t="s">
        <v>848</v>
      </c>
      <c r="C6" s="94">
        <v>7</v>
      </c>
      <c r="D6" s="95">
        <v>65</v>
      </c>
      <c r="E6" s="96"/>
      <c r="F6" s="96"/>
      <c r="G6" s="96"/>
      <c r="H6" s="96"/>
      <c r="I6" s="96"/>
      <c r="J6" s="96"/>
      <c r="K6" s="97"/>
      <c r="L6" s="98">
        <v>72</v>
      </c>
      <c r="M6" s="99">
        <v>129</v>
      </c>
      <c r="N6" s="94">
        <v>72</v>
      </c>
      <c r="O6" s="100">
        <v>0</v>
      </c>
      <c r="P6" s="94"/>
      <c r="Q6" s="100"/>
      <c r="R6" s="101">
        <f t="shared" si="0"/>
        <v>72</v>
      </c>
      <c r="S6" s="89"/>
      <c r="T6" s="90"/>
      <c r="U6" s="90"/>
      <c r="V6" s="90"/>
      <c r="W6" s="90"/>
      <c r="X6" s="90"/>
      <c r="Y6" s="90"/>
      <c r="Z6" s="90"/>
      <c r="AA6" s="90"/>
      <c r="AB6" s="90"/>
      <c r="AC6" s="90"/>
      <c r="AD6" s="91"/>
    </row>
    <row r="7" spans="1:31" s="54" customFormat="1" ht="10.5" hidden="1">
      <c r="A7" s="92"/>
      <c r="B7" s="93" t="s">
        <v>849</v>
      </c>
      <c r="C7" s="94">
        <v>2</v>
      </c>
      <c r="D7" s="95">
        <v>69</v>
      </c>
      <c r="E7" s="96"/>
      <c r="F7" s="96"/>
      <c r="G7" s="96"/>
      <c r="H7" s="96"/>
      <c r="I7" s="96"/>
      <c r="J7" s="96"/>
      <c r="K7" s="97"/>
      <c r="L7" s="98">
        <v>71</v>
      </c>
      <c r="M7" s="99">
        <v>200</v>
      </c>
      <c r="N7" s="94">
        <v>71</v>
      </c>
      <c r="O7" s="100">
        <v>0</v>
      </c>
      <c r="P7" s="94"/>
      <c r="Q7" s="100"/>
      <c r="R7" s="101">
        <f t="shared" si="0"/>
        <v>71</v>
      </c>
      <c r="S7" s="89"/>
      <c r="T7" s="90"/>
      <c r="U7" s="90"/>
      <c r="V7" s="90"/>
      <c r="W7" s="90"/>
      <c r="X7" s="90"/>
      <c r="Y7" s="90"/>
      <c r="Z7" s="90"/>
      <c r="AA7" s="90"/>
      <c r="AB7" s="90"/>
      <c r="AC7" s="90"/>
      <c r="AD7" s="91"/>
    </row>
    <row r="8" spans="1:31" s="54" customFormat="1" ht="10.5" hidden="1">
      <c r="A8" s="92" t="s">
        <v>850</v>
      </c>
      <c r="B8" s="93" t="s">
        <v>851</v>
      </c>
      <c r="C8" s="94">
        <v>76</v>
      </c>
      <c r="D8" s="95">
        <v>18</v>
      </c>
      <c r="E8" s="96"/>
      <c r="F8" s="96"/>
      <c r="G8" s="96"/>
      <c r="H8" s="96"/>
      <c r="I8" s="96"/>
      <c r="J8" s="96"/>
      <c r="K8" s="97"/>
      <c r="L8" s="98">
        <v>94</v>
      </c>
      <c r="M8" s="99">
        <v>294</v>
      </c>
      <c r="N8" s="94">
        <v>94</v>
      </c>
      <c r="O8" s="100">
        <v>0</v>
      </c>
      <c r="P8" s="94"/>
      <c r="Q8" s="100"/>
      <c r="R8" s="101">
        <f t="shared" si="0"/>
        <v>94</v>
      </c>
      <c r="S8" s="89"/>
      <c r="T8" s="90"/>
      <c r="U8" s="90"/>
      <c r="V8" s="90"/>
      <c r="W8" s="90"/>
      <c r="X8" s="90"/>
      <c r="Y8" s="90"/>
      <c r="Z8" s="90"/>
      <c r="AA8" s="90"/>
      <c r="AB8" s="90"/>
      <c r="AC8" s="90"/>
      <c r="AD8" s="91"/>
    </row>
    <row r="9" spans="1:31" s="54" customFormat="1" ht="10.5" hidden="1">
      <c r="A9" s="103">
        <f>SUM(L4:L15)</f>
        <v>838</v>
      </c>
      <c r="B9" s="93" t="s">
        <v>852</v>
      </c>
      <c r="C9" s="94">
        <v>86</v>
      </c>
      <c r="D9" s="95">
        <v>40</v>
      </c>
      <c r="E9" s="96"/>
      <c r="F9" s="96"/>
      <c r="G9" s="96"/>
      <c r="H9" s="96"/>
      <c r="I9" s="96"/>
      <c r="J9" s="96"/>
      <c r="K9" s="97"/>
      <c r="L9" s="98">
        <v>126</v>
      </c>
      <c r="M9" s="99">
        <v>420</v>
      </c>
      <c r="N9" s="94">
        <v>126</v>
      </c>
      <c r="O9" s="100">
        <v>0</v>
      </c>
      <c r="P9" s="94"/>
      <c r="Q9" s="100"/>
      <c r="R9" s="101">
        <f t="shared" si="0"/>
        <v>126</v>
      </c>
      <c r="S9" s="89"/>
      <c r="T9" s="90"/>
      <c r="U9" s="90"/>
      <c r="V9" s="90"/>
      <c r="W9" s="90"/>
      <c r="X9" s="90"/>
      <c r="Y9" s="90"/>
      <c r="Z9" s="90"/>
      <c r="AA9" s="90"/>
      <c r="AB9" s="90"/>
      <c r="AC9" s="90"/>
      <c r="AD9" s="91"/>
    </row>
    <row r="10" spans="1:31" s="54" customFormat="1" ht="10.5" hidden="1">
      <c r="A10" s="104"/>
      <c r="B10" s="93" t="s">
        <v>853</v>
      </c>
      <c r="C10" s="94">
        <v>101</v>
      </c>
      <c r="D10" s="95">
        <v>29</v>
      </c>
      <c r="E10" s="96"/>
      <c r="F10" s="96"/>
      <c r="G10" s="96"/>
      <c r="H10" s="96"/>
      <c r="I10" s="96"/>
      <c r="J10" s="96"/>
      <c r="K10" s="97"/>
      <c r="L10" s="98">
        <v>130</v>
      </c>
      <c r="M10" s="99">
        <v>550</v>
      </c>
      <c r="N10" s="94">
        <v>130</v>
      </c>
      <c r="O10" s="100">
        <v>0</v>
      </c>
      <c r="P10" s="94"/>
      <c r="Q10" s="100"/>
      <c r="R10" s="101">
        <f t="shared" si="0"/>
        <v>130</v>
      </c>
      <c r="S10" s="89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1"/>
    </row>
    <row r="11" spans="1:31" s="54" customFormat="1" ht="10.5" hidden="1">
      <c r="A11" s="92" t="s">
        <v>854</v>
      </c>
      <c r="B11" s="93" t="s">
        <v>855</v>
      </c>
      <c r="C11" s="94">
        <v>106</v>
      </c>
      <c r="D11" s="95">
        <v>6</v>
      </c>
      <c r="E11" s="96"/>
      <c r="F11" s="96"/>
      <c r="G11" s="96"/>
      <c r="H11" s="96"/>
      <c r="I11" s="96"/>
      <c r="J11" s="96"/>
      <c r="K11" s="97"/>
      <c r="L11" s="98">
        <v>112</v>
      </c>
      <c r="M11" s="99">
        <v>662</v>
      </c>
      <c r="N11" s="94">
        <v>112</v>
      </c>
      <c r="O11" s="100">
        <v>0</v>
      </c>
      <c r="P11" s="94"/>
      <c r="Q11" s="100"/>
      <c r="R11" s="101">
        <f t="shared" si="0"/>
        <v>112</v>
      </c>
      <c r="S11" s="89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1"/>
    </row>
    <row r="12" spans="1:31" s="54" customFormat="1" ht="10.5" hidden="1">
      <c r="A12" s="102">
        <f>A6+A9</f>
        <v>838</v>
      </c>
      <c r="B12" s="105" t="s">
        <v>856</v>
      </c>
      <c r="C12" s="94">
        <v>45</v>
      </c>
      <c r="D12" s="95">
        <v>42</v>
      </c>
      <c r="E12" s="96"/>
      <c r="F12" s="96"/>
      <c r="G12" s="96"/>
      <c r="H12" s="96"/>
      <c r="I12" s="96"/>
      <c r="J12" s="96"/>
      <c r="K12" s="97"/>
      <c r="L12" s="98">
        <v>87</v>
      </c>
      <c r="M12" s="99">
        <v>749</v>
      </c>
      <c r="N12" s="94">
        <v>87</v>
      </c>
      <c r="O12" s="100">
        <v>0</v>
      </c>
      <c r="P12" s="94"/>
      <c r="Q12" s="100"/>
      <c r="R12" s="101">
        <f t="shared" si="0"/>
        <v>87</v>
      </c>
      <c r="S12" s="89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1"/>
    </row>
    <row r="13" spans="1:31" s="54" customFormat="1" ht="10.5" hidden="1">
      <c r="A13" s="92"/>
      <c r="B13" s="93" t="s">
        <v>857</v>
      </c>
      <c r="C13" s="94">
        <v>3</v>
      </c>
      <c r="D13" s="95">
        <v>73</v>
      </c>
      <c r="E13" s="96"/>
      <c r="F13" s="96"/>
      <c r="G13" s="96"/>
      <c r="H13" s="96"/>
      <c r="I13" s="96"/>
      <c r="J13" s="96"/>
      <c r="K13" s="97"/>
      <c r="L13" s="98">
        <v>76</v>
      </c>
      <c r="M13" s="99">
        <v>825</v>
      </c>
      <c r="N13" s="94">
        <v>76</v>
      </c>
      <c r="O13" s="100">
        <v>0</v>
      </c>
      <c r="P13" s="94"/>
      <c r="Q13" s="100"/>
      <c r="R13" s="101">
        <f t="shared" si="0"/>
        <v>76</v>
      </c>
      <c r="S13" s="89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1"/>
    </row>
    <row r="14" spans="1:31" s="54" customFormat="1" ht="10.5" hidden="1">
      <c r="A14" s="92"/>
      <c r="B14" s="93" t="s">
        <v>858</v>
      </c>
      <c r="C14" s="94">
        <v>0</v>
      </c>
      <c r="D14" s="95">
        <v>3</v>
      </c>
      <c r="E14" s="96"/>
      <c r="F14" s="96"/>
      <c r="G14" s="96"/>
      <c r="H14" s="96"/>
      <c r="I14" s="96"/>
      <c r="J14" s="96"/>
      <c r="K14" s="97"/>
      <c r="L14" s="98">
        <v>3</v>
      </c>
      <c r="M14" s="99">
        <v>828</v>
      </c>
      <c r="N14" s="94">
        <v>3</v>
      </c>
      <c r="O14" s="100">
        <v>0</v>
      </c>
      <c r="P14" s="94"/>
      <c r="Q14" s="100"/>
      <c r="R14" s="101">
        <f t="shared" si="0"/>
        <v>3</v>
      </c>
      <c r="S14" s="89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1"/>
    </row>
    <row r="15" spans="1:31" s="54" customFormat="1" ht="11.25" hidden="1" thickBot="1">
      <c r="A15" s="106"/>
      <c r="B15" s="107" t="s">
        <v>859</v>
      </c>
      <c r="C15" s="108">
        <v>10</v>
      </c>
      <c r="D15" s="109">
        <v>0</v>
      </c>
      <c r="E15" s="110"/>
      <c r="F15" s="110"/>
      <c r="G15" s="110"/>
      <c r="H15" s="110"/>
      <c r="I15" s="110"/>
      <c r="J15" s="110"/>
      <c r="K15" s="111"/>
      <c r="L15" s="112">
        <v>10</v>
      </c>
      <c r="M15" s="113">
        <v>838</v>
      </c>
      <c r="N15" s="108">
        <v>10</v>
      </c>
      <c r="O15" s="114">
        <v>0</v>
      </c>
      <c r="P15" s="115"/>
      <c r="Q15" s="116"/>
      <c r="R15" s="117">
        <f t="shared" si="0"/>
        <v>10</v>
      </c>
      <c r="S15" s="89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1"/>
    </row>
    <row r="16" spans="1:31" s="54" customFormat="1" ht="10.5" hidden="1">
      <c r="A16" s="79" t="s">
        <v>860</v>
      </c>
      <c r="B16" s="80" t="s">
        <v>846</v>
      </c>
      <c r="C16" s="81">
        <v>5</v>
      </c>
      <c r="D16" s="82">
        <v>1</v>
      </c>
      <c r="E16" s="83">
        <v>0</v>
      </c>
      <c r="F16" s="83"/>
      <c r="G16" s="83"/>
      <c r="H16" s="83"/>
      <c r="I16" s="83"/>
      <c r="J16" s="83"/>
      <c r="K16" s="84"/>
      <c r="L16" s="85">
        <v>6</v>
      </c>
      <c r="M16" s="86">
        <v>844</v>
      </c>
      <c r="N16" s="81">
        <v>6</v>
      </c>
      <c r="O16" s="87">
        <v>0</v>
      </c>
      <c r="P16" s="81"/>
      <c r="Q16" s="87"/>
      <c r="R16" s="88">
        <f t="shared" si="0"/>
        <v>6</v>
      </c>
      <c r="S16" s="89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1"/>
    </row>
    <row r="17" spans="1:30" s="54" customFormat="1" ht="10.5" hidden="1">
      <c r="A17" s="92"/>
      <c r="B17" s="93" t="s">
        <v>847</v>
      </c>
      <c r="C17" s="94">
        <v>12</v>
      </c>
      <c r="D17" s="95">
        <v>0</v>
      </c>
      <c r="E17" s="96">
        <v>0</v>
      </c>
      <c r="F17" s="96"/>
      <c r="G17" s="96"/>
      <c r="H17" s="96"/>
      <c r="I17" s="96"/>
      <c r="J17" s="96"/>
      <c r="K17" s="97"/>
      <c r="L17" s="98">
        <v>12</v>
      </c>
      <c r="M17" s="99">
        <v>856</v>
      </c>
      <c r="N17" s="94">
        <v>12</v>
      </c>
      <c r="O17" s="100">
        <v>0</v>
      </c>
      <c r="P17" s="94"/>
      <c r="Q17" s="100"/>
      <c r="R17" s="101">
        <f t="shared" si="0"/>
        <v>12</v>
      </c>
      <c r="S17" s="89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1"/>
    </row>
    <row r="18" spans="1:30" s="54" customFormat="1" ht="10.5" hidden="1">
      <c r="A18" s="102"/>
      <c r="B18" s="93" t="s">
        <v>848</v>
      </c>
      <c r="C18" s="94">
        <v>25</v>
      </c>
      <c r="D18" s="95">
        <v>0</v>
      </c>
      <c r="E18" s="96">
        <v>0</v>
      </c>
      <c r="F18" s="96"/>
      <c r="G18" s="96"/>
      <c r="H18" s="96"/>
      <c r="I18" s="96"/>
      <c r="J18" s="96"/>
      <c r="K18" s="97"/>
      <c r="L18" s="98">
        <v>25</v>
      </c>
      <c r="M18" s="99">
        <v>881</v>
      </c>
      <c r="N18" s="94">
        <v>25</v>
      </c>
      <c r="O18" s="100">
        <v>0</v>
      </c>
      <c r="P18" s="94"/>
      <c r="Q18" s="100"/>
      <c r="R18" s="101">
        <f t="shared" si="0"/>
        <v>25</v>
      </c>
      <c r="S18" s="89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1"/>
    </row>
    <row r="19" spans="1:30" s="54" customFormat="1" ht="10.5" hidden="1">
      <c r="A19" s="92"/>
      <c r="B19" s="93" t="s">
        <v>849</v>
      </c>
      <c r="C19" s="94">
        <v>16</v>
      </c>
      <c r="D19" s="95">
        <v>0</v>
      </c>
      <c r="E19" s="96">
        <v>0</v>
      </c>
      <c r="F19" s="96"/>
      <c r="G19" s="96"/>
      <c r="H19" s="96"/>
      <c r="I19" s="96"/>
      <c r="J19" s="96"/>
      <c r="K19" s="97"/>
      <c r="L19" s="98">
        <v>16</v>
      </c>
      <c r="M19" s="99">
        <v>897</v>
      </c>
      <c r="N19" s="94">
        <v>16</v>
      </c>
      <c r="O19" s="100">
        <v>0</v>
      </c>
      <c r="P19" s="94"/>
      <c r="Q19" s="100"/>
      <c r="R19" s="101">
        <f t="shared" si="0"/>
        <v>16</v>
      </c>
      <c r="S19" s="89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1"/>
    </row>
    <row r="20" spans="1:30" s="54" customFormat="1" ht="10.5" hidden="1">
      <c r="A20" s="92" t="s">
        <v>850</v>
      </c>
      <c r="B20" s="93" t="s">
        <v>851</v>
      </c>
      <c r="C20" s="94">
        <v>31</v>
      </c>
      <c r="D20" s="95">
        <v>0</v>
      </c>
      <c r="E20" s="96">
        <v>1</v>
      </c>
      <c r="F20" s="96"/>
      <c r="G20" s="96"/>
      <c r="H20" s="96"/>
      <c r="I20" s="96"/>
      <c r="J20" s="96"/>
      <c r="K20" s="97"/>
      <c r="L20" s="98">
        <v>32</v>
      </c>
      <c r="M20" s="99">
        <v>929</v>
      </c>
      <c r="N20" s="94">
        <v>31</v>
      </c>
      <c r="O20" s="100">
        <v>1</v>
      </c>
      <c r="P20" s="94"/>
      <c r="Q20" s="100"/>
      <c r="R20" s="101">
        <f t="shared" si="0"/>
        <v>32</v>
      </c>
      <c r="S20" s="89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1"/>
    </row>
    <row r="21" spans="1:30" s="54" customFormat="1" ht="10.5" hidden="1">
      <c r="A21" s="103">
        <f>SUM(L16:L27)</f>
        <v>422</v>
      </c>
      <c r="B21" s="93" t="s">
        <v>852</v>
      </c>
      <c r="C21" s="94">
        <v>28</v>
      </c>
      <c r="D21" s="95">
        <v>8</v>
      </c>
      <c r="E21" s="96">
        <v>0</v>
      </c>
      <c r="F21" s="96"/>
      <c r="G21" s="96"/>
      <c r="H21" s="96"/>
      <c r="I21" s="96"/>
      <c r="J21" s="96"/>
      <c r="K21" s="97"/>
      <c r="L21" s="98">
        <v>36</v>
      </c>
      <c r="M21" s="99">
        <v>965</v>
      </c>
      <c r="N21" s="94">
        <v>36</v>
      </c>
      <c r="O21" s="100">
        <v>0</v>
      </c>
      <c r="P21" s="94"/>
      <c r="Q21" s="100"/>
      <c r="R21" s="101">
        <f t="shared" si="0"/>
        <v>36</v>
      </c>
      <c r="S21" s="89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1"/>
    </row>
    <row r="22" spans="1:30" s="54" customFormat="1" ht="10.5" hidden="1">
      <c r="A22" s="92"/>
      <c r="B22" s="93" t="s">
        <v>853</v>
      </c>
      <c r="C22" s="94">
        <v>19</v>
      </c>
      <c r="D22" s="95">
        <v>46</v>
      </c>
      <c r="E22" s="96">
        <v>9</v>
      </c>
      <c r="F22" s="96"/>
      <c r="G22" s="96"/>
      <c r="H22" s="96"/>
      <c r="I22" s="96"/>
      <c r="J22" s="96"/>
      <c r="K22" s="97"/>
      <c r="L22" s="98">
        <v>74</v>
      </c>
      <c r="M22" s="99">
        <v>1039</v>
      </c>
      <c r="N22" s="94">
        <v>65</v>
      </c>
      <c r="O22" s="100">
        <v>9</v>
      </c>
      <c r="P22" s="94"/>
      <c r="Q22" s="100"/>
      <c r="R22" s="101">
        <f t="shared" si="0"/>
        <v>74</v>
      </c>
      <c r="S22" s="89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1"/>
    </row>
    <row r="23" spans="1:30" s="54" customFormat="1" ht="10.5" hidden="1">
      <c r="A23" s="92" t="s">
        <v>854</v>
      </c>
      <c r="B23" s="93" t="s">
        <v>855</v>
      </c>
      <c r="C23" s="94">
        <v>17</v>
      </c>
      <c r="D23" s="95">
        <v>25</v>
      </c>
      <c r="E23" s="96">
        <v>15</v>
      </c>
      <c r="F23" s="96"/>
      <c r="G23" s="96"/>
      <c r="H23" s="96"/>
      <c r="I23" s="96"/>
      <c r="J23" s="96"/>
      <c r="K23" s="97"/>
      <c r="L23" s="98">
        <v>57</v>
      </c>
      <c r="M23" s="99">
        <v>1096</v>
      </c>
      <c r="N23" s="94">
        <v>42</v>
      </c>
      <c r="O23" s="100">
        <v>15</v>
      </c>
      <c r="P23" s="94"/>
      <c r="Q23" s="100"/>
      <c r="R23" s="101">
        <f t="shared" si="0"/>
        <v>57</v>
      </c>
      <c r="S23" s="89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1"/>
    </row>
    <row r="24" spans="1:30" s="54" customFormat="1" ht="10.5" hidden="1">
      <c r="A24" s="102">
        <f>A18+A21</f>
        <v>422</v>
      </c>
      <c r="B24" s="105" t="s">
        <v>861</v>
      </c>
      <c r="C24" s="94">
        <v>23</v>
      </c>
      <c r="D24" s="95">
        <v>40</v>
      </c>
      <c r="E24" s="96">
        <v>0</v>
      </c>
      <c r="F24" s="96"/>
      <c r="G24" s="96"/>
      <c r="H24" s="96"/>
      <c r="I24" s="96"/>
      <c r="J24" s="96"/>
      <c r="K24" s="97"/>
      <c r="L24" s="98">
        <v>63</v>
      </c>
      <c r="M24" s="99">
        <v>1159</v>
      </c>
      <c r="N24" s="94">
        <v>63</v>
      </c>
      <c r="O24" s="100">
        <v>0</v>
      </c>
      <c r="P24" s="94"/>
      <c r="Q24" s="100"/>
      <c r="R24" s="101">
        <f t="shared" si="0"/>
        <v>63</v>
      </c>
      <c r="S24" s="89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1"/>
    </row>
    <row r="25" spans="1:30" s="54" customFormat="1" ht="10.5" hidden="1">
      <c r="A25" s="92"/>
      <c r="B25" s="93" t="s">
        <v>857</v>
      </c>
      <c r="C25" s="94">
        <v>7</v>
      </c>
      <c r="D25" s="95">
        <v>22</v>
      </c>
      <c r="E25" s="96">
        <v>0</v>
      </c>
      <c r="F25" s="96"/>
      <c r="G25" s="96"/>
      <c r="H25" s="96"/>
      <c r="I25" s="96"/>
      <c r="J25" s="96"/>
      <c r="K25" s="97"/>
      <c r="L25" s="98">
        <v>29</v>
      </c>
      <c r="M25" s="99">
        <v>1188</v>
      </c>
      <c r="N25" s="94">
        <v>29</v>
      </c>
      <c r="O25" s="100">
        <v>0</v>
      </c>
      <c r="P25" s="94"/>
      <c r="Q25" s="100"/>
      <c r="R25" s="101">
        <f t="shared" si="0"/>
        <v>29</v>
      </c>
      <c r="S25" s="89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1"/>
    </row>
    <row r="26" spans="1:30" s="54" customFormat="1" ht="10.5" hidden="1">
      <c r="A26" s="92"/>
      <c r="B26" s="93" t="s">
        <v>858</v>
      </c>
      <c r="C26" s="94">
        <v>14</v>
      </c>
      <c r="D26" s="95">
        <v>7</v>
      </c>
      <c r="E26" s="96">
        <v>0</v>
      </c>
      <c r="F26" s="96"/>
      <c r="G26" s="96"/>
      <c r="H26" s="96"/>
      <c r="I26" s="96"/>
      <c r="J26" s="96"/>
      <c r="K26" s="97"/>
      <c r="L26" s="98">
        <v>21</v>
      </c>
      <c r="M26" s="99">
        <v>1209</v>
      </c>
      <c r="N26" s="94">
        <v>21</v>
      </c>
      <c r="O26" s="100">
        <v>0</v>
      </c>
      <c r="P26" s="94"/>
      <c r="Q26" s="100"/>
      <c r="R26" s="101">
        <f t="shared" si="0"/>
        <v>21</v>
      </c>
      <c r="S26" s="89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1"/>
    </row>
    <row r="27" spans="1:30" s="54" customFormat="1" ht="11.25" hidden="1" thickBot="1">
      <c r="A27" s="106"/>
      <c r="B27" s="107" t="s">
        <v>859</v>
      </c>
      <c r="C27" s="108">
        <v>39</v>
      </c>
      <c r="D27" s="109">
        <v>12</v>
      </c>
      <c r="E27" s="110">
        <v>0</v>
      </c>
      <c r="F27" s="110"/>
      <c r="G27" s="110"/>
      <c r="H27" s="110"/>
      <c r="I27" s="110"/>
      <c r="J27" s="110"/>
      <c r="K27" s="111"/>
      <c r="L27" s="112">
        <v>51</v>
      </c>
      <c r="M27" s="113">
        <v>1260</v>
      </c>
      <c r="N27" s="108">
        <v>51</v>
      </c>
      <c r="O27" s="114">
        <v>0</v>
      </c>
      <c r="P27" s="115"/>
      <c r="Q27" s="116"/>
      <c r="R27" s="117">
        <f t="shared" si="0"/>
        <v>51</v>
      </c>
      <c r="S27" s="89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1"/>
    </row>
    <row r="28" spans="1:30" s="54" customFormat="1" ht="10.5" hidden="1">
      <c r="A28" s="79" t="s">
        <v>862</v>
      </c>
      <c r="B28" s="80" t="s">
        <v>846</v>
      </c>
      <c r="C28" s="81">
        <v>23</v>
      </c>
      <c r="D28" s="82">
        <v>11</v>
      </c>
      <c r="E28" s="83">
        <v>0</v>
      </c>
      <c r="F28" s="83">
        <v>0</v>
      </c>
      <c r="G28" s="83"/>
      <c r="H28" s="83">
        <v>0</v>
      </c>
      <c r="I28" s="83"/>
      <c r="J28" s="83"/>
      <c r="K28" s="84"/>
      <c r="L28" s="85">
        <v>34</v>
      </c>
      <c r="M28" s="86">
        <v>1294</v>
      </c>
      <c r="N28" s="81">
        <v>34</v>
      </c>
      <c r="O28" s="87">
        <v>0</v>
      </c>
      <c r="P28" s="81"/>
      <c r="Q28" s="87"/>
      <c r="R28" s="88">
        <f t="shared" si="0"/>
        <v>34</v>
      </c>
      <c r="S28" s="89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1"/>
    </row>
    <row r="29" spans="1:30" s="54" customFormat="1" ht="10.5" hidden="1">
      <c r="A29" s="92"/>
      <c r="B29" s="93" t="s">
        <v>847</v>
      </c>
      <c r="C29" s="94">
        <v>46</v>
      </c>
      <c r="D29" s="95">
        <v>28</v>
      </c>
      <c r="E29" s="96">
        <v>3</v>
      </c>
      <c r="F29" s="96">
        <v>0</v>
      </c>
      <c r="G29" s="96"/>
      <c r="H29" s="96">
        <v>0</v>
      </c>
      <c r="I29" s="96"/>
      <c r="J29" s="96"/>
      <c r="K29" s="97"/>
      <c r="L29" s="98">
        <v>77</v>
      </c>
      <c r="M29" s="99">
        <v>1371</v>
      </c>
      <c r="N29" s="94">
        <v>74</v>
      </c>
      <c r="O29" s="100">
        <v>3</v>
      </c>
      <c r="P29" s="94"/>
      <c r="Q29" s="100"/>
      <c r="R29" s="101">
        <f t="shared" si="0"/>
        <v>77</v>
      </c>
      <c r="S29" s="89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1"/>
    </row>
    <row r="30" spans="1:30" s="54" customFormat="1" ht="10.5" hidden="1">
      <c r="A30" s="102"/>
      <c r="B30" s="93" t="s">
        <v>848</v>
      </c>
      <c r="C30" s="94">
        <v>15</v>
      </c>
      <c r="D30" s="95">
        <v>24</v>
      </c>
      <c r="E30" s="96">
        <v>14</v>
      </c>
      <c r="F30" s="96">
        <v>0</v>
      </c>
      <c r="G30" s="96"/>
      <c r="H30" s="96">
        <v>0</v>
      </c>
      <c r="I30" s="96"/>
      <c r="J30" s="96"/>
      <c r="K30" s="97"/>
      <c r="L30" s="98">
        <v>53</v>
      </c>
      <c r="M30" s="99">
        <v>1424</v>
      </c>
      <c r="N30" s="94">
        <v>39</v>
      </c>
      <c r="O30" s="100">
        <v>14</v>
      </c>
      <c r="P30" s="94"/>
      <c r="Q30" s="100"/>
      <c r="R30" s="101">
        <f t="shared" si="0"/>
        <v>53</v>
      </c>
      <c r="S30" s="89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1"/>
    </row>
    <row r="31" spans="1:30" s="54" customFormat="1" ht="10.5" hidden="1">
      <c r="A31" s="92"/>
      <c r="B31" s="93" t="s">
        <v>849</v>
      </c>
      <c r="C31" s="94">
        <v>0</v>
      </c>
      <c r="D31" s="95">
        <v>5</v>
      </c>
      <c r="E31" s="96">
        <v>2</v>
      </c>
      <c r="F31" s="96">
        <v>0</v>
      </c>
      <c r="G31" s="96"/>
      <c r="H31" s="96">
        <v>0</v>
      </c>
      <c r="I31" s="96"/>
      <c r="J31" s="96"/>
      <c r="K31" s="97"/>
      <c r="L31" s="98">
        <v>7</v>
      </c>
      <c r="M31" s="99">
        <v>1431</v>
      </c>
      <c r="N31" s="94">
        <v>5</v>
      </c>
      <c r="O31" s="100">
        <v>2</v>
      </c>
      <c r="P31" s="94"/>
      <c r="Q31" s="100"/>
      <c r="R31" s="101">
        <f t="shared" si="0"/>
        <v>7</v>
      </c>
      <c r="S31" s="89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1"/>
    </row>
    <row r="32" spans="1:30" s="54" customFormat="1" ht="10.5" hidden="1">
      <c r="A32" s="92" t="s">
        <v>850</v>
      </c>
      <c r="B32" s="93" t="s">
        <v>851</v>
      </c>
      <c r="C32" s="94">
        <v>0</v>
      </c>
      <c r="D32" s="95">
        <v>4</v>
      </c>
      <c r="E32" s="96">
        <v>0</v>
      </c>
      <c r="F32" s="96">
        <v>0</v>
      </c>
      <c r="G32" s="96"/>
      <c r="H32" s="96">
        <v>0</v>
      </c>
      <c r="I32" s="96"/>
      <c r="J32" s="96"/>
      <c r="K32" s="97"/>
      <c r="L32" s="98">
        <v>4</v>
      </c>
      <c r="M32" s="99">
        <v>1435</v>
      </c>
      <c r="N32" s="94">
        <v>4</v>
      </c>
      <c r="O32" s="100">
        <v>0</v>
      </c>
      <c r="P32" s="94"/>
      <c r="Q32" s="100"/>
      <c r="R32" s="101">
        <f t="shared" si="0"/>
        <v>4</v>
      </c>
      <c r="S32" s="89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1"/>
    </row>
    <row r="33" spans="1:30" s="54" customFormat="1" ht="10.5" hidden="1">
      <c r="A33" s="103">
        <f>SUM(L28:L39)</f>
        <v>362</v>
      </c>
      <c r="B33" s="93" t="s">
        <v>852</v>
      </c>
      <c r="C33" s="94">
        <v>0</v>
      </c>
      <c r="D33" s="95">
        <v>41</v>
      </c>
      <c r="E33" s="96">
        <v>3</v>
      </c>
      <c r="F33" s="96">
        <v>0</v>
      </c>
      <c r="G33" s="96"/>
      <c r="H33" s="96">
        <v>0</v>
      </c>
      <c r="I33" s="96"/>
      <c r="J33" s="96"/>
      <c r="K33" s="97"/>
      <c r="L33" s="98">
        <v>44</v>
      </c>
      <c r="M33" s="99">
        <v>1479</v>
      </c>
      <c r="N33" s="94">
        <v>41</v>
      </c>
      <c r="O33" s="100">
        <v>3</v>
      </c>
      <c r="P33" s="94"/>
      <c r="Q33" s="100"/>
      <c r="R33" s="101">
        <f t="shared" si="0"/>
        <v>44</v>
      </c>
      <c r="S33" s="89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1"/>
    </row>
    <row r="34" spans="1:30" s="54" customFormat="1" ht="10.5" hidden="1">
      <c r="A34" s="92"/>
      <c r="B34" s="93" t="s">
        <v>853</v>
      </c>
      <c r="C34" s="94">
        <v>19</v>
      </c>
      <c r="D34" s="95">
        <v>17</v>
      </c>
      <c r="E34" s="96">
        <v>4</v>
      </c>
      <c r="F34" s="96">
        <v>13</v>
      </c>
      <c r="G34" s="96"/>
      <c r="H34" s="96">
        <v>0</v>
      </c>
      <c r="I34" s="96"/>
      <c r="J34" s="96"/>
      <c r="K34" s="97"/>
      <c r="L34" s="98">
        <v>53</v>
      </c>
      <c r="M34" s="99">
        <v>1532</v>
      </c>
      <c r="N34" s="94">
        <v>49</v>
      </c>
      <c r="O34" s="100">
        <v>4</v>
      </c>
      <c r="P34" s="94"/>
      <c r="Q34" s="100"/>
      <c r="R34" s="101">
        <f t="shared" si="0"/>
        <v>53</v>
      </c>
      <c r="S34" s="89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1"/>
    </row>
    <row r="35" spans="1:30" s="54" customFormat="1" ht="10.5" hidden="1">
      <c r="A35" s="92" t="s">
        <v>854</v>
      </c>
      <c r="B35" s="93" t="s">
        <v>855</v>
      </c>
      <c r="C35" s="94">
        <v>10</v>
      </c>
      <c r="D35" s="95">
        <v>20</v>
      </c>
      <c r="E35" s="96">
        <v>0</v>
      </c>
      <c r="F35" s="96">
        <v>0</v>
      </c>
      <c r="G35" s="96"/>
      <c r="H35" s="96">
        <v>27</v>
      </c>
      <c r="I35" s="96"/>
      <c r="J35" s="96"/>
      <c r="K35" s="97"/>
      <c r="L35" s="98">
        <v>57</v>
      </c>
      <c r="M35" s="99">
        <v>1589</v>
      </c>
      <c r="N35" s="94">
        <v>57</v>
      </c>
      <c r="O35" s="100">
        <v>0</v>
      </c>
      <c r="P35" s="94"/>
      <c r="Q35" s="100"/>
      <c r="R35" s="101">
        <f t="shared" si="0"/>
        <v>57</v>
      </c>
      <c r="S35" s="89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1"/>
    </row>
    <row r="36" spans="1:30" s="54" customFormat="1" ht="10.5" hidden="1">
      <c r="A36" s="102">
        <f>A30+A33</f>
        <v>362</v>
      </c>
      <c r="B36" s="105" t="s">
        <v>863</v>
      </c>
      <c r="C36" s="94">
        <v>5</v>
      </c>
      <c r="D36" s="95">
        <v>22</v>
      </c>
      <c r="E36" s="96">
        <v>0</v>
      </c>
      <c r="F36" s="96">
        <v>0</v>
      </c>
      <c r="G36" s="96"/>
      <c r="H36" s="96">
        <v>0</v>
      </c>
      <c r="I36" s="96"/>
      <c r="J36" s="96"/>
      <c r="K36" s="97"/>
      <c r="L36" s="98">
        <v>27</v>
      </c>
      <c r="M36" s="99">
        <v>1616</v>
      </c>
      <c r="N36" s="94">
        <v>27</v>
      </c>
      <c r="O36" s="100">
        <v>0</v>
      </c>
      <c r="P36" s="94"/>
      <c r="Q36" s="100"/>
      <c r="R36" s="101">
        <f t="shared" si="0"/>
        <v>27</v>
      </c>
      <c r="S36" s="89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1"/>
    </row>
    <row r="37" spans="1:30" s="54" customFormat="1" ht="10.5" hidden="1">
      <c r="A37" s="92"/>
      <c r="B37" s="93" t="s">
        <v>857</v>
      </c>
      <c r="C37" s="94">
        <v>0</v>
      </c>
      <c r="D37" s="95">
        <v>0</v>
      </c>
      <c r="E37" s="96">
        <v>0</v>
      </c>
      <c r="F37" s="96">
        <v>0</v>
      </c>
      <c r="G37" s="96"/>
      <c r="H37" s="96">
        <v>0</v>
      </c>
      <c r="I37" s="96"/>
      <c r="J37" s="96"/>
      <c r="K37" s="97"/>
      <c r="L37" s="98">
        <v>0</v>
      </c>
      <c r="M37" s="99">
        <v>1616</v>
      </c>
      <c r="N37" s="94">
        <v>0</v>
      </c>
      <c r="O37" s="100">
        <v>0</v>
      </c>
      <c r="P37" s="94"/>
      <c r="Q37" s="100"/>
      <c r="R37" s="101">
        <f t="shared" si="0"/>
        <v>0</v>
      </c>
      <c r="S37" s="89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1"/>
    </row>
    <row r="38" spans="1:30" s="54" customFormat="1" ht="10.5" hidden="1">
      <c r="A38" s="92"/>
      <c r="B38" s="93" t="s">
        <v>858</v>
      </c>
      <c r="C38" s="94">
        <v>1</v>
      </c>
      <c r="D38" s="95">
        <v>4</v>
      </c>
      <c r="E38" s="96">
        <v>0</v>
      </c>
      <c r="F38" s="96">
        <v>0</v>
      </c>
      <c r="G38" s="96"/>
      <c r="H38" s="96">
        <v>1</v>
      </c>
      <c r="I38" s="96"/>
      <c r="J38" s="96"/>
      <c r="K38" s="97"/>
      <c r="L38" s="98">
        <v>6</v>
      </c>
      <c r="M38" s="99">
        <v>1622</v>
      </c>
      <c r="N38" s="94">
        <v>6</v>
      </c>
      <c r="O38" s="100">
        <v>0</v>
      </c>
      <c r="P38" s="94"/>
      <c r="Q38" s="100"/>
      <c r="R38" s="101">
        <f t="shared" si="0"/>
        <v>6</v>
      </c>
      <c r="S38" s="89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1"/>
    </row>
    <row r="39" spans="1:30" s="54" customFormat="1" ht="11.25" hidden="1" thickBot="1">
      <c r="A39" s="118"/>
      <c r="B39" s="119" t="s">
        <v>859</v>
      </c>
      <c r="C39" s="115">
        <v>0</v>
      </c>
      <c r="D39" s="120">
        <v>0</v>
      </c>
      <c r="E39" s="121">
        <v>0</v>
      </c>
      <c r="F39" s="121">
        <v>0</v>
      </c>
      <c r="G39" s="121"/>
      <c r="H39" s="121">
        <v>0</v>
      </c>
      <c r="I39" s="121">
        <v>0</v>
      </c>
      <c r="J39" s="121"/>
      <c r="K39" s="122"/>
      <c r="L39" s="123">
        <v>0</v>
      </c>
      <c r="M39" s="124">
        <v>1622</v>
      </c>
      <c r="N39" s="94">
        <v>0</v>
      </c>
      <c r="O39" s="100">
        <v>0</v>
      </c>
      <c r="P39" s="94"/>
      <c r="Q39" s="100"/>
      <c r="R39" s="101">
        <f t="shared" si="0"/>
        <v>0</v>
      </c>
      <c r="S39" s="89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1"/>
    </row>
    <row r="40" spans="1:30" s="54" customFormat="1" ht="10.5" hidden="1">
      <c r="A40" s="125" t="s">
        <v>864</v>
      </c>
      <c r="B40" s="126" t="s">
        <v>846</v>
      </c>
      <c r="C40" s="127">
        <v>0</v>
      </c>
      <c r="D40" s="128">
        <v>0</v>
      </c>
      <c r="E40" s="129">
        <v>0</v>
      </c>
      <c r="F40" s="129">
        <v>34</v>
      </c>
      <c r="G40" s="129"/>
      <c r="H40" s="129">
        <v>39</v>
      </c>
      <c r="I40" s="129">
        <v>0</v>
      </c>
      <c r="J40" s="129"/>
      <c r="K40" s="130"/>
      <c r="L40" s="131">
        <v>73</v>
      </c>
      <c r="M40" s="132">
        <v>1695</v>
      </c>
      <c r="N40" s="127">
        <v>73</v>
      </c>
      <c r="O40" s="133">
        <v>0</v>
      </c>
      <c r="P40" s="81"/>
      <c r="Q40" s="87"/>
      <c r="R40" s="88">
        <f t="shared" si="0"/>
        <v>73</v>
      </c>
      <c r="S40" s="89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1"/>
    </row>
    <row r="41" spans="1:30" s="54" customFormat="1" ht="10.5" hidden="1">
      <c r="A41" s="134"/>
      <c r="B41" s="93" t="s">
        <v>847</v>
      </c>
      <c r="C41" s="94">
        <v>0</v>
      </c>
      <c r="D41" s="95">
        <v>0</v>
      </c>
      <c r="E41" s="96">
        <v>0</v>
      </c>
      <c r="F41" s="96">
        <v>10</v>
      </c>
      <c r="G41" s="96"/>
      <c r="H41" s="96">
        <v>35</v>
      </c>
      <c r="I41" s="96">
        <v>0</v>
      </c>
      <c r="J41" s="96"/>
      <c r="K41" s="97"/>
      <c r="L41" s="98">
        <v>45</v>
      </c>
      <c r="M41" s="99">
        <v>1740</v>
      </c>
      <c r="N41" s="94">
        <v>45</v>
      </c>
      <c r="O41" s="100">
        <v>0</v>
      </c>
      <c r="P41" s="94"/>
      <c r="Q41" s="100"/>
      <c r="R41" s="101">
        <f t="shared" si="0"/>
        <v>45</v>
      </c>
      <c r="S41" s="89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1"/>
    </row>
    <row r="42" spans="1:30" s="54" customFormat="1" ht="10.5" hidden="1">
      <c r="A42" s="135"/>
      <c r="B42" s="93" t="s">
        <v>848</v>
      </c>
      <c r="C42" s="94">
        <v>0</v>
      </c>
      <c r="D42" s="95">
        <v>0</v>
      </c>
      <c r="E42" s="96">
        <v>7</v>
      </c>
      <c r="F42" s="96">
        <v>26</v>
      </c>
      <c r="G42" s="96"/>
      <c r="H42" s="96">
        <v>26</v>
      </c>
      <c r="I42" s="96">
        <v>0</v>
      </c>
      <c r="J42" s="96"/>
      <c r="K42" s="97"/>
      <c r="L42" s="98">
        <v>59</v>
      </c>
      <c r="M42" s="99">
        <v>1799</v>
      </c>
      <c r="N42" s="94">
        <v>52</v>
      </c>
      <c r="O42" s="100">
        <v>7</v>
      </c>
      <c r="P42" s="94"/>
      <c r="Q42" s="100"/>
      <c r="R42" s="101">
        <f t="shared" si="0"/>
        <v>59</v>
      </c>
      <c r="S42" s="89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1"/>
    </row>
    <row r="43" spans="1:30" s="54" customFormat="1" ht="10.5" hidden="1">
      <c r="A43" s="134"/>
      <c r="B43" s="93" t="s">
        <v>849</v>
      </c>
      <c r="C43" s="94">
        <v>0</v>
      </c>
      <c r="D43" s="95">
        <v>0</v>
      </c>
      <c r="E43" s="96">
        <v>0</v>
      </c>
      <c r="F43" s="96">
        <v>9</v>
      </c>
      <c r="G43" s="96"/>
      <c r="H43" s="96">
        <v>48</v>
      </c>
      <c r="I43" s="96">
        <v>0</v>
      </c>
      <c r="J43" s="96"/>
      <c r="K43" s="97"/>
      <c r="L43" s="98">
        <v>57</v>
      </c>
      <c r="M43" s="99">
        <v>1856</v>
      </c>
      <c r="N43" s="94">
        <v>57</v>
      </c>
      <c r="O43" s="100">
        <v>0</v>
      </c>
      <c r="P43" s="94"/>
      <c r="Q43" s="100"/>
      <c r="R43" s="101">
        <f t="shared" si="0"/>
        <v>57</v>
      </c>
      <c r="S43" s="89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1"/>
    </row>
    <row r="44" spans="1:30" s="54" customFormat="1" ht="10.5" hidden="1">
      <c r="A44" s="134" t="s">
        <v>850</v>
      </c>
      <c r="B44" s="93" t="s">
        <v>851</v>
      </c>
      <c r="C44" s="94">
        <v>0</v>
      </c>
      <c r="D44" s="95">
        <v>0</v>
      </c>
      <c r="E44" s="96">
        <v>0</v>
      </c>
      <c r="F44" s="96">
        <v>25</v>
      </c>
      <c r="G44" s="96"/>
      <c r="H44" s="96">
        <v>52</v>
      </c>
      <c r="I44" s="96">
        <v>0</v>
      </c>
      <c r="J44" s="96"/>
      <c r="K44" s="97"/>
      <c r="L44" s="98">
        <v>77</v>
      </c>
      <c r="M44" s="99">
        <v>1933</v>
      </c>
      <c r="N44" s="94">
        <v>77</v>
      </c>
      <c r="O44" s="100">
        <v>0</v>
      </c>
      <c r="P44" s="94"/>
      <c r="Q44" s="100"/>
      <c r="R44" s="101">
        <f t="shared" si="0"/>
        <v>77</v>
      </c>
      <c r="S44" s="89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1"/>
    </row>
    <row r="45" spans="1:30" s="54" customFormat="1" ht="10.5" hidden="1">
      <c r="A45" s="136">
        <f>SUM(L40:L51)</f>
        <v>628</v>
      </c>
      <c r="B45" s="93" t="s">
        <v>852</v>
      </c>
      <c r="C45" s="94">
        <v>0</v>
      </c>
      <c r="D45" s="95">
        <v>0</v>
      </c>
      <c r="E45" s="96">
        <v>0</v>
      </c>
      <c r="F45" s="96">
        <v>20</v>
      </c>
      <c r="G45" s="96"/>
      <c r="H45" s="96">
        <v>24</v>
      </c>
      <c r="I45" s="96">
        <v>0</v>
      </c>
      <c r="J45" s="96"/>
      <c r="K45" s="97"/>
      <c r="L45" s="98">
        <v>44</v>
      </c>
      <c r="M45" s="99">
        <v>1977</v>
      </c>
      <c r="N45" s="94">
        <v>44</v>
      </c>
      <c r="O45" s="100">
        <v>0</v>
      </c>
      <c r="P45" s="94"/>
      <c r="Q45" s="100"/>
      <c r="R45" s="101">
        <f t="shared" si="0"/>
        <v>44</v>
      </c>
      <c r="S45" s="89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1"/>
    </row>
    <row r="46" spans="1:30" s="54" customFormat="1" ht="10.5" hidden="1">
      <c r="A46" s="134"/>
      <c r="B46" s="93" t="s">
        <v>853</v>
      </c>
      <c r="C46" s="94">
        <v>0</v>
      </c>
      <c r="D46" s="95">
        <v>0</v>
      </c>
      <c r="E46" s="96">
        <v>0</v>
      </c>
      <c r="F46" s="96">
        <v>0</v>
      </c>
      <c r="G46" s="96"/>
      <c r="H46" s="96">
        <v>50</v>
      </c>
      <c r="I46" s="96">
        <v>2</v>
      </c>
      <c r="J46" s="96"/>
      <c r="K46" s="97"/>
      <c r="L46" s="98">
        <v>52</v>
      </c>
      <c r="M46" s="99">
        <v>2029</v>
      </c>
      <c r="N46" s="94">
        <v>52</v>
      </c>
      <c r="O46" s="100">
        <v>0</v>
      </c>
      <c r="P46" s="94"/>
      <c r="Q46" s="100"/>
      <c r="R46" s="101">
        <f t="shared" si="0"/>
        <v>52</v>
      </c>
      <c r="S46" s="89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1"/>
    </row>
    <row r="47" spans="1:30" s="54" customFormat="1" ht="10.5" hidden="1">
      <c r="A47" s="134" t="s">
        <v>854</v>
      </c>
      <c r="B47" s="93" t="s">
        <v>855</v>
      </c>
      <c r="C47" s="94">
        <v>0</v>
      </c>
      <c r="D47" s="95">
        <v>0</v>
      </c>
      <c r="E47" s="96">
        <v>0</v>
      </c>
      <c r="F47" s="96">
        <v>0</v>
      </c>
      <c r="G47" s="96"/>
      <c r="H47" s="96">
        <v>24</v>
      </c>
      <c r="I47" s="96">
        <v>6</v>
      </c>
      <c r="J47" s="96"/>
      <c r="K47" s="97"/>
      <c r="L47" s="98">
        <v>30</v>
      </c>
      <c r="M47" s="99">
        <v>2059</v>
      </c>
      <c r="N47" s="94">
        <v>30</v>
      </c>
      <c r="O47" s="100">
        <v>0</v>
      </c>
      <c r="P47" s="94"/>
      <c r="Q47" s="100"/>
      <c r="R47" s="101">
        <f t="shared" si="0"/>
        <v>30</v>
      </c>
      <c r="S47" s="89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1"/>
    </row>
    <row r="48" spans="1:30" s="54" customFormat="1" ht="10.5" hidden="1">
      <c r="A48" s="135">
        <f>A42+A45</f>
        <v>628</v>
      </c>
      <c r="B48" s="105" t="s">
        <v>865</v>
      </c>
      <c r="C48" s="94">
        <v>0</v>
      </c>
      <c r="D48" s="95">
        <v>0</v>
      </c>
      <c r="E48" s="96">
        <v>2</v>
      </c>
      <c r="F48" s="96">
        <v>0</v>
      </c>
      <c r="G48" s="96"/>
      <c r="H48" s="96">
        <v>22</v>
      </c>
      <c r="I48" s="96">
        <v>39</v>
      </c>
      <c r="J48" s="96"/>
      <c r="K48" s="97"/>
      <c r="L48" s="98">
        <v>63</v>
      </c>
      <c r="M48" s="99">
        <v>2122</v>
      </c>
      <c r="N48" s="94">
        <v>61</v>
      </c>
      <c r="O48" s="100">
        <v>2</v>
      </c>
      <c r="P48" s="94"/>
      <c r="Q48" s="100"/>
      <c r="R48" s="101">
        <f t="shared" si="0"/>
        <v>63</v>
      </c>
      <c r="S48" s="89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1"/>
    </row>
    <row r="49" spans="1:30" s="54" customFormat="1" ht="10.5" hidden="1">
      <c r="A49" s="137"/>
      <c r="B49" s="93" t="s">
        <v>857</v>
      </c>
      <c r="C49" s="94">
        <v>0</v>
      </c>
      <c r="D49" s="95">
        <v>0</v>
      </c>
      <c r="E49" s="96">
        <v>2</v>
      </c>
      <c r="F49" s="96">
        <v>0</v>
      </c>
      <c r="G49" s="96"/>
      <c r="H49" s="96">
        <v>16</v>
      </c>
      <c r="I49" s="96">
        <v>30</v>
      </c>
      <c r="J49" s="96"/>
      <c r="K49" s="97"/>
      <c r="L49" s="98">
        <v>48</v>
      </c>
      <c r="M49" s="99">
        <v>2170</v>
      </c>
      <c r="N49" s="94">
        <v>46</v>
      </c>
      <c r="O49" s="100">
        <v>2</v>
      </c>
      <c r="P49" s="94"/>
      <c r="Q49" s="100"/>
      <c r="R49" s="101">
        <f t="shared" si="0"/>
        <v>48</v>
      </c>
      <c r="S49" s="89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1"/>
    </row>
    <row r="50" spans="1:30" s="54" customFormat="1" ht="10.5" hidden="1">
      <c r="A50" s="137"/>
      <c r="B50" s="105" t="s">
        <v>858</v>
      </c>
      <c r="C50" s="94">
        <v>0</v>
      </c>
      <c r="D50" s="95">
        <v>0</v>
      </c>
      <c r="E50" s="96">
        <v>0</v>
      </c>
      <c r="F50" s="96">
        <v>10</v>
      </c>
      <c r="G50" s="96"/>
      <c r="H50" s="96">
        <v>18</v>
      </c>
      <c r="I50" s="96">
        <v>0</v>
      </c>
      <c r="J50" s="96"/>
      <c r="K50" s="97"/>
      <c r="L50" s="98">
        <v>28</v>
      </c>
      <c r="M50" s="99">
        <v>2198</v>
      </c>
      <c r="N50" s="94">
        <v>28</v>
      </c>
      <c r="O50" s="100">
        <v>0</v>
      </c>
      <c r="P50" s="94"/>
      <c r="Q50" s="100"/>
      <c r="R50" s="101">
        <f t="shared" si="0"/>
        <v>28</v>
      </c>
      <c r="S50" s="89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1"/>
    </row>
    <row r="51" spans="1:30" s="54" customFormat="1" ht="11.25" hidden="1" thickBot="1">
      <c r="A51" s="138"/>
      <c r="B51" s="139" t="s">
        <v>859</v>
      </c>
      <c r="C51" s="140">
        <v>0</v>
      </c>
      <c r="D51" s="141">
        <v>0</v>
      </c>
      <c r="E51" s="142">
        <v>0</v>
      </c>
      <c r="F51" s="142">
        <v>0</v>
      </c>
      <c r="G51" s="142"/>
      <c r="H51" s="142">
        <v>36</v>
      </c>
      <c r="I51" s="142">
        <v>16</v>
      </c>
      <c r="J51" s="142"/>
      <c r="K51" s="143"/>
      <c r="L51" s="144">
        <v>52</v>
      </c>
      <c r="M51" s="145">
        <v>2250</v>
      </c>
      <c r="N51" s="140">
        <v>52</v>
      </c>
      <c r="O51" s="146">
        <v>0</v>
      </c>
      <c r="P51" s="147"/>
      <c r="Q51" s="148"/>
      <c r="R51" s="149">
        <f t="shared" si="0"/>
        <v>52</v>
      </c>
      <c r="S51" s="89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1"/>
    </row>
    <row r="52" spans="1:30" s="54" customFormat="1" ht="10.5" hidden="1">
      <c r="A52" s="125" t="s">
        <v>866</v>
      </c>
      <c r="B52" s="150" t="s">
        <v>846</v>
      </c>
      <c r="C52" s="127">
        <v>0</v>
      </c>
      <c r="D52" s="128">
        <v>0</v>
      </c>
      <c r="E52" s="129">
        <v>8</v>
      </c>
      <c r="F52" s="129">
        <v>12</v>
      </c>
      <c r="G52" s="129">
        <v>0</v>
      </c>
      <c r="H52" s="129">
        <v>13</v>
      </c>
      <c r="I52" s="129">
        <v>0</v>
      </c>
      <c r="J52" s="129"/>
      <c r="K52" s="130">
        <v>0</v>
      </c>
      <c r="L52" s="131">
        <f t="shared" ref="L52:L74" si="1">SUM(C52:K52)</f>
        <v>33</v>
      </c>
      <c r="M52" s="132">
        <f t="shared" ref="M52:M83" si="2">M51+L52</f>
        <v>2283</v>
      </c>
      <c r="N52" s="127">
        <v>25</v>
      </c>
      <c r="O52" s="151">
        <v>8</v>
      </c>
      <c r="P52" s="152"/>
      <c r="Q52" s="153"/>
      <c r="R52" s="154">
        <f t="shared" si="0"/>
        <v>33</v>
      </c>
      <c r="S52" s="89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1"/>
    </row>
    <row r="53" spans="1:30" s="54" customFormat="1" ht="10.5" hidden="1">
      <c r="A53" s="134"/>
      <c r="B53" s="93" t="s">
        <v>847</v>
      </c>
      <c r="C53" s="94">
        <v>0</v>
      </c>
      <c r="D53" s="95">
        <v>0</v>
      </c>
      <c r="E53" s="96">
        <v>0</v>
      </c>
      <c r="F53" s="96">
        <v>51</v>
      </c>
      <c r="G53" s="96">
        <v>0</v>
      </c>
      <c r="H53" s="96">
        <v>26</v>
      </c>
      <c r="I53" s="96">
        <v>0</v>
      </c>
      <c r="J53" s="96"/>
      <c r="K53" s="97">
        <v>0</v>
      </c>
      <c r="L53" s="98">
        <f t="shared" si="1"/>
        <v>77</v>
      </c>
      <c r="M53" s="99">
        <f t="shared" si="2"/>
        <v>2360</v>
      </c>
      <c r="N53" s="94">
        <v>77</v>
      </c>
      <c r="O53" s="155">
        <v>0</v>
      </c>
      <c r="P53" s="156"/>
      <c r="Q53" s="155"/>
      <c r="R53" s="157">
        <f t="shared" si="0"/>
        <v>77</v>
      </c>
      <c r="S53" s="89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1"/>
    </row>
    <row r="54" spans="1:30" s="54" customFormat="1" ht="10.5" hidden="1">
      <c r="A54" s="135"/>
      <c r="B54" s="105" t="s">
        <v>848</v>
      </c>
      <c r="C54" s="94">
        <v>0</v>
      </c>
      <c r="D54" s="95">
        <v>0</v>
      </c>
      <c r="E54" s="96">
        <v>0</v>
      </c>
      <c r="F54" s="96">
        <v>24</v>
      </c>
      <c r="G54" s="96">
        <v>0</v>
      </c>
      <c r="H54" s="96">
        <v>55</v>
      </c>
      <c r="I54" s="96">
        <v>0</v>
      </c>
      <c r="J54" s="96"/>
      <c r="K54" s="97">
        <v>0</v>
      </c>
      <c r="L54" s="98">
        <f t="shared" si="1"/>
        <v>79</v>
      </c>
      <c r="M54" s="99">
        <f t="shared" si="2"/>
        <v>2439</v>
      </c>
      <c r="N54" s="94">
        <v>79</v>
      </c>
      <c r="O54" s="155">
        <v>0</v>
      </c>
      <c r="P54" s="156"/>
      <c r="Q54" s="155"/>
      <c r="R54" s="157">
        <f t="shared" si="0"/>
        <v>79</v>
      </c>
      <c r="S54" s="89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1"/>
    </row>
    <row r="55" spans="1:30" s="54" customFormat="1" ht="10.5" hidden="1">
      <c r="A55" s="134"/>
      <c r="B55" s="105" t="s">
        <v>849</v>
      </c>
      <c r="C55" s="94">
        <v>0</v>
      </c>
      <c r="D55" s="95">
        <v>0</v>
      </c>
      <c r="E55" s="96">
        <v>0</v>
      </c>
      <c r="F55" s="96">
        <v>39</v>
      </c>
      <c r="G55" s="96">
        <v>0</v>
      </c>
      <c r="H55" s="96">
        <v>43</v>
      </c>
      <c r="I55" s="96">
        <v>31</v>
      </c>
      <c r="J55" s="96"/>
      <c r="K55" s="97">
        <v>0</v>
      </c>
      <c r="L55" s="98">
        <f t="shared" si="1"/>
        <v>113</v>
      </c>
      <c r="M55" s="99">
        <f t="shared" si="2"/>
        <v>2552</v>
      </c>
      <c r="N55" s="94">
        <v>113</v>
      </c>
      <c r="O55" s="155">
        <v>0</v>
      </c>
      <c r="P55" s="156"/>
      <c r="Q55" s="155"/>
      <c r="R55" s="157">
        <f t="shared" si="0"/>
        <v>113</v>
      </c>
      <c r="S55" s="89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1"/>
    </row>
    <row r="56" spans="1:30" s="54" customFormat="1" ht="10.5" hidden="1">
      <c r="A56" s="134" t="s">
        <v>850</v>
      </c>
      <c r="B56" s="105" t="s">
        <v>851</v>
      </c>
      <c r="C56" s="94">
        <v>0</v>
      </c>
      <c r="D56" s="95">
        <v>0</v>
      </c>
      <c r="E56" s="96">
        <v>0</v>
      </c>
      <c r="F56" s="96">
        <v>47</v>
      </c>
      <c r="G56" s="96">
        <v>0</v>
      </c>
      <c r="H56" s="96">
        <v>109</v>
      </c>
      <c r="I56" s="96">
        <v>4</v>
      </c>
      <c r="J56" s="96"/>
      <c r="K56" s="97">
        <v>0</v>
      </c>
      <c r="L56" s="98">
        <f t="shared" si="1"/>
        <v>160</v>
      </c>
      <c r="M56" s="99">
        <f t="shared" si="2"/>
        <v>2712</v>
      </c>
      <c r="N56" s="94">
        <v>160</v>
      </c>
      <c r="O56" s="155">
        <v>0</v>
      </c>
      <c r="P56" s="156"/>
      <c r="Q56" s="155"/>
      <c r="R56" s="157">
        <f t="shared" si="0"/>
        <v>160</v>
      </c>
      <c r="S56" s="89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1"/>
    </row>
    <row r="57" spans="1:30" s="54" customFormat="1" ht="10.5" hidden="1">
      <c r="A57" s="135">
        <f>SUM(L52:L63)</f>
        <v>1454</v>
      </c>
      <c r="B57" s="105" t="s">
        <v>852</v>
      </c>
      <c r="C57" s="94">
        <v>0</v>
      </c>
      <c r="D57" s="95">
        <v>0</v>
      </c>
      <c r="E57" s="96">
        <v>0</v>
      </c>
      <c r="F57" s="96">
        <v>109</v>
      </c>
      <c r="G57" s="96">
        <v>0</v>
      </c>
      <c r="H57" s="96">
        <v>50</v>
      </c>
      <c r="I57" s="96">
        <v>47</v>
      </c>
      <c r="J57" s="96"/>
      <c r="K57" s="97">
        <v>0</v>
      </c>
      <c r="L57" s="98">
        <f t="shared" si="1"/>
        <v>206</v>
      </c>
      <c r="M57" s="99">
        <f t="shared" si="2"/>
        <v>2918</v>
      </c>
      <c r="N57" s="94">
        <v>206</v>
      </c>
      <c r="O57" s="155">
        <v>0</v>
      </c>
      <c r="P57" s="156"/>
      <c r="Q57" s="155"/>
      <c r="R57" s="157">
        <f t="shared" si="0"/>
        <v>206</v>
      </c>
      <c r="S57" s="89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1"/>
    </row>
    <row r="58" spans="1:30" s="54" customFormat="1" ht="10.5" hidden="1">
      <c r="A58" s="134"/>
      <c r="B58" s="105" t="s">
        <v>853</v>
      </c>
      <c r="C58" s="94">
        <v>0</v>
      </c>
      <c r="D58" s="95">
        <v>0</v>
      </c>
      <c r="E58" s="96">
        <v>0</v>
      </c>
      <c r="F58" s="96">
        <v>40</v>
      </c>
      <c r="G58" s="96">
        <v>0</v>
      </c>
      <c r="H58" s="96">
        <v>70</v>
      </c>
      <c r="I58" s="96">
        <v>58</v>
      </c>
      <c r="J58" s="96"/>
      <c r="K58" s="97">
        <v>0</v>
      </c>
      <c r="L58" s="98">
        <f t="shared" si="1"/>
        <v>168</v>
      </c>
      <c r="M58" s="99">
        <f t="shared" si="2"/>
        <v>3086</v>
      </c>
      <c r="N58" s="94">
        <v>168</v>
      </c>
      <c r="O58" s="155">
        <v>0</v>
      </c>
      <c r="P58" s="156"/>
      <c r="Q58" s="155"/>
      <c r="R58" s="157">
        <f t="shared" si="0"/>
        <v>168</v>
      </c>
      <c r="S58" s="89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1"/>
    </row>
    <row r="59" spans="1:30" s="54" customFormat="1" ht="10.5" hidden="1">
      <c r="A59" s="134" t="s">
        <v>854</v>
      </c>
      <c r="B59" s="105" t="s">
        <v>855</v>
      </c>
      <c r="C59" s="94">
        <v>0</v>
      </c>
      <c r="D59" s="95">
        <v>0</v>
      </c>
      <c r="E59" s="96">
        <v>2</v>
      </c>
      <c r="F59" s="96">
        <v>35</v>
      </c>
      <c r="G59" s="96">
        <v>0</v>
      </c>
      <c r="H59" s="96">
        <v>63</v>
      </c>
      <c r="I59" s="96">
        <v>32</v>
      </c>
      <c r="J59" s="96"/>
      <c r="K59" s="97">
        <v>2</v>
      </c>
      <c r="L59" s="98">
        <f t="shared" si="1"/>
        <v>134</v>
      </c>
      <c r="M59" s="99">
        <f t="shared" si="2"/>
        <v>3220</v>
      </c>
      <c r="N59" s="94">
        <v>132</v>
      </c>
      <c r="O59" s="155">
        <v>2</v>
      </c>
      <c r="P59" s="156"/>
      <c r="Q59" s="155"/>
      <c r="R59" s="157">
        <f t="shared" si="0"/>
        <v>134</v>
      </c>
      <c r="S59" s="89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1"/>
    </row>
    <row r="60" spans="1:30" s="54" customFormat="1" ht="10.5" hidden="1">
      <c r="A60" s="135">
        <f>A54+A57</f>
        <v>1454</v>
      </c>
      <c r="B60" s="105" t="s">
        <v>867</v>
      </c>
      <c r="C60" s="94">
        <v>0</v>
      </c>
      <c r="D60" s="95">
        <v>0</v>
      </c>
      <c r="E60" s="96">
        <v>1</v>
      </c>
      <c r="F60" s="96">
        <v>30</v>
      </c>
      <c r="G60" s="96">
        <v>0</v>
      </c>
      <c r="H60" s="96">
        <v>110</v>
      </c>
      <c r="I60" s="96">
        <v>11</v>
      </c>
      <c r="J60" s="96"/>
      <c r="K60" s="97">
        <v>1</v>
      </c>
      <c r="L60" s="98">
        <f t="shared" si="1"/>
        <v>153</v>
      </c>
      <c r="M60" s="99">
        <f t="shared" si="2"/>
        <v>3373</v>
      </c>
      <c r="N60" s="94">
        <v>152</v>
      </c>
      <c r="O60" s="155">
        <v>1</v>
      </c>
      <c r="P60" s="156"/>
      <c r="Q60" s="155"/>
      <c r="R60" s="157">
        <f t="shared" si="0"/>
        <v>153</v>
      </c>
      <c r="S60" s="89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1"/>
    </row>
    <row r="61" spans="1:30" s="54" customFormat="1" ht="10.5" hidden="1">
      <c r="A61" s="137"/>
      <c r="B61" s="105" t="s">
        <v>857</v>
      </c>
      <c r="C61" s="94">
        <v>0</v>
      </c>
      <c r="D61" s="95">
        <v>0</v>
      </c>
      <c r="E61" s="96">
        <v>0</v>
      </c>
      <c r="F61" s="96">
        <v>56</v>
      </c>
      <c r="G61" s="96">
        <v>0</v>
      </c>
      <c r="H61" s="96">
        <v>20</v>
      </c>
      <c r="I61" s="96">
        <v>8</v>
      </c>
      <c r="J61" s="96"/>
      <c r="K61" s="97">
        <v>0</v>
      </c>
      <c r="L61" s="98">
        <f t="shared" si="1"/>
        <v>84</v>
      </c>
      <c r="M61" s="99">
        <f t="shared" si="2"/>
        <v>3457</v>
      </c>
      <c r="N61" s="94">
        <v>84</v>
      </c>
      <c r="O61" s="155">
        <v>0</v>
      </c>
      <c r="P61" s="156"/>
      <c r="Q61" s="155"/>
      <c r="R61" s="157">
        <f t="shared" si="0"/>
        <v>84</v>
      </c>
      <c r="S61" s="89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1"/>
    </row>
    <row r="62" spans="1:30" s="54" customFormat="1" ht="10.5" hidden="1">
      <c r="A62" s="137"/>
      <c r="B62" s="105" t="s">
        <v>858</v>
      </c>
      <c r="C62" s="94">
        <v>0</v>
      </c>
      <c r="D62" s="95">
        <v>0</v>
      </c>
      <c r="E62" s="96">
        <v>1</v>
      </c>
      <c r="F62" s="96">
        <v>64</v>
      </c>
      <c r="G62" s="96">
        <v>0</v>
      </c>
      <c r="H62" s="96">
        <v>43</v>
      </c>
      <c r="I62" s="96">
        <v>18</v>
      </c>
      <c r="J62" s="96"/>
      <c r="K62" s="97">
        <v>0</v>
      </c>
      <c r="L62" s="98">
        <f t="shared" si="1"/>
        <v>126</v>
      </c>
      <c r="M62" s="99">
        <f t="shared" si="2"/>
        <v>3583</v>
      </c>
      <c r="N62" s="94">
        <v>125</v>
      </c>
      <c r="O62" s="155">
        <v>1</v>
      </c>
      <c r="P62" s="156"/>
      <c r="Q62" s="155"/>
      <c r="R62" s="157">
        <f t="shared" si="0"/>
        <v>126</v>
      </c>
      <c r="S62" s="89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1"/>
    </row>
    <row r="63" spans="1:30" s="54" customFormat="1" ht="11.25" hidden="1" thickBot="1">
      <c r="A63" s="138"/>
      <c r="B63" s="158" t="s">
        <v>859</v>
      </c>
      <c r="C63" s="108">
        <v>0</v>
      </c>
      <c r="D63" s="109">
        <v>0</v>
      </c>
      <c r="E63" s="110">
        <v>0</v>
      </c>
      <c r="F63" s="110">
        <v>0</v>
      </c>
      <c r="G63" s="110">
        <v>0</v>
      </c>
      <c r="H63" s="110">
        <v>43</v>
      </c>
      <c r="I63" s="110">
        <v>78</v>
      </c>
      <c r="J63" s="110"/>
      <c r="K63" s="111">
        <v>0</v>
      </c>
      <c r="L63" s="112">
        <f t="shared" si="1"/>
        <v>121</v>
      </c>
      <c r="M63" s="113">
        <f t="shared" si="2"/>
        <v>3704</v>
      </c>
      <c r="N63" s="108">
        <v>121</v>
      </c>
      <c r="O63" s="159">
        <v>0</v>
      </c>
      <c r="P63" s="160"/>
      <c r="Q63" s="161"/>
      <c r="R63" s="162">
        <f t="shared" si="0"/>
        <v>121</v>
      </c>
      <c r="S63" s="89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1"/>
    </row>
    <row r="64" spans="1:30" s="54" customFormat="1" ht="10.5" hidden="1">
      <c r="A64" s="125" t="s">
        <v>868</v>
      </c>
      <c r="B64" s="150" t="s">
        <v>846</v>
      </c>
      <c r="C64" s="127">
        <v>0</v>
      </c>
      <c r="D64" s="128">
        <v>0</v>
      </c>
      <c r="E64" s="129">
        <v>0</v>
      </c>
      <c r="F64" s="129">
        <v>27</v>
      </c>
      <c r="G64" s="129">
        <v>0</v>
      </c>
      <c r="H64" s="129">
        <v>42</v>
      </c>
      <c r="I64" s="129">
        <v>28</v>
      </c>
      <c r="J64" s="129"/>
      <c r="K64" s="130">
        <v>0</v>
      </c>
      <c r="L64" s="131">
        <f t="shared" si="1"/>
        <v>97</v>
      </c>
      <c r="M64" s="132">
        <f t="shared" si="2"/>
        <v>3801</v>
      </c>
      <c r="N64" s="127">
        <v>97</v>
      </c>
      <c r="O64" s="151">
        <v>0</v>
      </c>
      <c r="P64" s="152"/>
      <c r="Q64" s="153"/>
      <c r="R64" s="154">
        <f t="shared" si="0"/>
        <v>97</v>
      </c>
      <c r="S64" s="89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1"/>
    </row>
    <row r="65" spans="1:30" s="54" customFormat="1" ht="10.5" hidden="1">
      <c r="A65" s="134"/>
      <c r="B65" s="93" t="s">
        <v>847</v>
      </c>
      <c r="C65" s="94">
        <v>0</v>
      </c>
      <c r="D65" s="95">
        <v>0</v>
      </c>
      <c r="E65" s="96">
        <v>1</v>
      </c>
      <c r="F65" s="96">
        <v>77</v>
      </c>
      <c r="G65" s="96">
        <v>0</v>
      </c>
      <c r="H65" s="96">
        <v>27</v>
      </c>
      <c r="I65" s="96">
        <v>21</v>
      </c>
      <c r="J65" s="96"/>
      <c r="K65" s="97">
        <v>0</v>
      </c>
      <c r="L65" s="98">
        <f t="shared" si="1"/>
        <v>126</v>
      </c>
      <c r="M65" s="99">
        <f t="shared" si="2"/>
        <v>3927</v>
      </c>
      <c r="N65" s="94">
        <v>125</v>
      </c>
      <c r="O65" s="155">
        <v>1</v>
      </c>
      <c r="P65" s="156"/>
      <c r="Q65" s="155"/>
      <c r="R65" s="157">
        <f t="shared" si="0"/>
        <v>126</v>
      </c>
      <c r="S65" s="89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1"/>
    </row>
    <row r="66" spans="1:30" s="54" customFormat="1" ht="10.5" hidden="1">
      <c r="A66" s="135"/>
      <c r="B66" s="105" t="s">
        <v>848</v>
      </c>
      <c r="C66" s="94">
        <v>0</v>
      </c>
      <c r="D66" s="95">
        <v>0</v>
      </c>
      <c r="E66" s="96">
        <v>0</v>
      </c>
      <c r="F66" s="96">
        <v>65</v>
      </c>
      <c r="G66" s="96">
        <v>1</v>
      </c>
      <c r="H66" s="96">
        <v>44</v>
      </c>
      <c r="I66" s="96">
        <v>39</v>
      </c>
      <c r="J66" s="96"/>
      <c r="K66" s="97">
        <v>0</v>
      </c>
      <c r="L66" s="98">
        <f t="shared" si="1"/>
        <v>149</v>
      </c>
      <c r="M66" s="99">
        <f t="shared" si="2"/>
        <v>4076</v>
      </c>
      <c r="N66" s="94">
        <v>148</v>
      </c>
      <c r="O66" s="155">
        <v>1</v>
      </c>
      <c r="P66" s="156"/>
      <c r="Q66" s="155"/>
      <c r="R66" s="157">
        <f t="shared" si="0"/>
        <v>149</v>
      </c>
      <c r="S66" s="89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1"/>
    </row>
    <row r="67" spans="1:30" s="54" customFormat="1" ht="10.5" hidden="1">
      <c r="A67" s="163"/>
      <c r="B67" s="105" t="s">
        <v>849</v>
      </c>
      <c r="C67" s="94">
        <v>0</v>
      </c>
      <c r="D67" s="95">
        <v>0</v>
      </c>
      <c r="E67" s="96">
        <v>0</v>
      </c>
      <c r="F67" s="96">
        <v>49</v>
      </c>
      <c r="G67" s="96">
        <v>0</v>
      </c>
      <c r="H67" s="96">
        <v>65</v>
      </c>
      <c r="I67" s="96">
        <v>0</v>
      </c>
      <c r="J67" s="96"/>
      <c r="K67" s="97">
        <v>0</v>
      </c>
      <c r="L67" s="98">
        <f t="shared" si="1"/>
        <v>114</v>
      </c>
      <c r="M67" s="99">
        <f t="shared" si="2"/>
        <v>4190</v>
      </c>
      <c r="N67" s="94">
        <v>114</v>
      </c>
      <c r="O67" s="155">
        <v>0</v>
      </c>
      <c r="P67" s="156"/>
      <c r="Q67" s="155"/>
      <c r="R67" s="157">
        <f t="shared" si="0"/>
        <v>114</v>
      </c>
      <c r="S67" s="89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1"/>
    </row>
    <row r="68" spans="1:30" s="54" customFormat="1" ht="10.5" hidden="1">
      <c r="A68" s="164"/>
      <c r="B68" s="105" t="s">
        <v>851</v>
      </c>
      <c r="C68" s="94">
        <v>0</v>
      </c>
      <c r="D68" s="95">
        <v>0</v>
      </c>
      <c r="E68" s="96">
        <v>0</v>
      </c>
      <c r="F68" s="96">
        <v>91</v>
      </c>
      <c r="G68" s="96">
        <v>0</v>
      </c>
      <c r="H68" s="96">
        <v>42</v>
      </c>
      <c r="I68" s="96">
        <v>0</v>
      </c>
      <c r="J68" s="96"/>
      <c r="K68" s="97">
        <v>1</v>
      </c>
      <c r="L68" s="98">
        <f t="shared" si="1"/>
        <v>134</v>
      </c>
      <c r="M68" s="99">
        <f t="shared" si="2"/>
        <v>4324</v>
      </c>
      <c r="N68" s="94">
        <v>134</v>
      </c>
      <c r="O68" s="155">
        <v>0</v>
      </c>
      <c r="P68" s="156"/>
      <c r="Q68" s="155"/>
      <c r="R68" s="157">
        <f t="shared" ref="R68:R131" si="3">L68+P68</f>
        <v>134</v>
      </c>
      <c r="S68" s="89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1"/>
    </row>
    <row r="69" spans="1:30" s="54" customFormat="1" ht="10.5" hidden="1">
      <c r="A69" s="134" t="s">
        <v>850</v>
      </c>
      <c r="B69" s="105" t="s">
        <v>852</v>
      </c>
      <c r="C69" s="94">
        <v>0</v>
      </c>
      <c r="D69" s="95">
        <v>0</v>
      </c>
      <c r="E69" s="96">
        <v>0</v>
      </c>
      <c r="F69" s="96">
        <v>105</v>
      </c>
      <c r="G69" s="96">
        <v>0</v>
      </c>
      <c r="H69" s="96">
        <v>56</v>
      </c>
      <c r="I69" s="96">
        <v>2</v>
      </c>
      <c r="J69" s="96"/>
      <c r="K69" s="97">
        <v>0</v>
      </c>
      <c r="L69" s="98">
        <f t="shared" si="1"/>
        <v>163</v>
      </c>
      <c r="M69" s="99">
        <f t="shared" si="2"/>
        <v>4487</v>
      </c>
      <c r="N69" s="94">
        <v>163</v>
      </c>
      <c r="O69" s="155">
        <v>0</v>
      </c>
      <c r="P69" s="156"/>
      <c r="Q69" s="155"/>
      <c r="R69" s="157">
        <f t="shared" si="3"/>
        <v>163</v>
      </c>
      <c r="S69" s="89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1"/>
    </row>
    <row r="70" spans="1:30" s="54" customFormat="1" ht="10.5" hidden="1">
      <c r="A70" s="135">
        <f>SUM(L64:L75)</f>
        <v>1878</v>
      </c>
      <c r="B70" s="105" t="s">
        <v>853</v>
      </c>
      <c r="C70" s="94">
        <v>0</v>
      </c>
      <c r="D70" s="95">
        <v>0</v>
      </c>
      <c r="E70" s="96">
        <v>11</v>
      </c>
      <c r="F70" s="96">
        <v>33</v>
      </c>
      <c r="G70" s="96">
        <v>0</v>
      </c>
      <c r="H70" s="96">
        <v>140</v>
      </c>
      <c r="I70" s="96">
        <v>6</v>
      </c>
      <c r="J70" s="96"/>
      <c r="K70" s="97">
        <v>0</v>
      </c>
      <c r="L70" s="98">
        <f t="shared" si="1"/>
        <v>190</v>
      </c>
      <c r="M70" s="99">
        <f t="shared" si="2"/>
        <v>4677</v>
      </c>
      <c r="N70" s="94">
        <v>179</v>
      </c>
      <c r="O70" s="155">
        <v>11</v>
      </c>
      <c r="P70" s="156"/>
      <c r="Q70" s="155"/>
      <c r="R70" s="157">
        <f t="shared" si="3"/>
        <v>190</v>
      </c>
      <c r="S70" s="89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1"/>
    </row>
    <row r="71" spans="1:30" s="54" customFormat="1" ht="10.5" hidden="1">
      <c r="A71" s="163"/>
      <c r="B71" s="105" t="s">
        <v>855</v>
      </c>
      <c r="C71" s="94">
        <v>0</v>
      </c>
      <c r="D71" s="95">
        <v>0</v>
      </c>
      <c r="E71" s="96">
        <v>23</v>
      </c>
      <c r="F71" s="96">
        <v>2</v>
      </c>
      <c r="G71" s="96">
        <v>0</v>
      </c>
      <c r="H71" s="96">
        <v>167</v>
      </c>
      <c r="I71" s="96">
        <v>0</v>
      </c>
      <c r="J71" s="96"/>
      <c r="K71" s="97">
        <v>10</v>
      </c>
      <c r="L71" s="98">
        <f t="shared" si="1"/>
        <v>202</v>
      </c>
      <c r="M71" s="99">
        <f t="shared" si="2"/>
        <v>4879</v>
      </c>
      <c r="N71" s="94">
        <v>179</v>
      </c>
      <c r="O71" s="155">
        <v>23</v>
      </c>
      <c r="P71" s="156"/>
      <c r="Q71" s="155"/>
      <c r="R71" s="157">
        <f t="shared" si="3"/>
        <v>202</v>
      </c>
      <c r="S71" s="89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1"/>
    </row>
    <row r="72" spans="1:30" s="54" customFormat="1" ht="10.5" hidden="1">
      <c r="A72" s="164"/>
      <c r="B72" s="105" t="s">
        <v>869</v>
      </c>
      <c r="C72" s="94">
        <v>0</v>
      </c>
      <c r="D72" s="95">
        <v>0</v>
      </c>
      <c r="E72" s="96">
        <v>7</v>
      </c>
      <c r="F72" s="96">
        <v>0</v>
      </c>
      <c r="G72" s="96">
        <v>0</v>
      </c>
      <c r="H72" s="96">
        <v>149</v>
      </c>
      <c r="I72" s="96">
        <v>0</v>
      </c>
      <c r="J72" s="96"/>
      <c r="K72" s="97">
        <v>12</v>
      </c>
      <c r="L72" s="98">
        <f t="shared" si="1"/>
        <v>168</v>
      </c>
      <c r="M72" s="99">
        <f t="shared" si="2"/>
        <v>5047</v>
      </c>
      <c r="N72" s="94">
        <v>161</v>
      </c>
      <c r="O72" s="155">
        <v>7</v>
      </c>
      <c r="P72" s="156"/>
      <c r="Q72" s="155"/>
      <c r="R72" s="157">
        <f t="shared" si="3"/>
        <v>168</v>
      </c>
      <c r="S72" s="89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1"/>
    </row>
    <row r="73" spans="1:30" s="54" customFormat="1" ht="10.5" hidden="1">
      <c r="A73" s="134" t="s">
        <v>854</v>
      </c>
      <c r="B73" s="105" t="s">
        <v>857</v>
      </c>
      <c r="C73" s="94">
        <v>0</v>
      </c>
      <c r="D73" s="95">
        <v>0</v>
      </c>
      <c r="E73" s="96">
        <v>0</v>
      </c>
      <c r="F73" s="96">
        <v>0</v>
      </c>
      <c r="G73" s="96">
        <v>0</v>
      </c>
      <c r="H73" s="96">
        <v>178</v>
      </c>
      <c r="I73" s="96">
        <v>0</v>
      </c>
      <c r="J73" s="96"/>
      <c r="K73" s="97">
        <v>24</v>
      </c>
      <c r="L73" s="98">
        <f t="shared" si="1"/>
        <v>202</v>
      </c>
      <c r="M73" s="99">
        <f t="shared" si="2"/>
        <v>5249</v>
      </c>
      <c r="N73" s="94">
        <v>202</v>
      </c>
      <c r="O73" s="100">
        <v>0</v>
      </c>
      <c r="P73" s="94"/>
      <c r="Q73" s="100"/>
      <c r="R73" s="101">
        <f t="shared" si="3"/>
        <v>202</v>
      </c>
      <c r="S73" s="89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1"/>
    </row>
    <row r="74" spans="1:30" s="54" customFormat="1" ht="10.5" hidden="1">
      <c r="A74" s="135">
        <f>A66+A70</f>
        <v>1878</v>
      </c>
      <c r="B74" s="105" t="s">
        <v>858</v>
      </c>
      <c r="C74" s="94">
        <v>0</v>
      </c>
      <c r="D74" s="95">
        <v>0</v>
      </c>
      <c r="E74" s="96">
        <v>3</v>
      </c>
      <c r="F74" s="96">
        <v>13</v>
      </c>
      <c r="G74" s="96">
        <v>0</v>
      </c>
      <c r="H74" s="96">
        <v>111</v>
      </c>
      <c r="I74" s="96">
        <v>0</v>
      </c>
      <c r="J74" s="96"/>
      <c r="K74" s="97">
        <v>118</v>
      </c>
      <c r="L74" s="98">
        <f t="shared" si="1"/>
        <v>245</v>
      </c>
      <c r="M74" s="99">
        <f t="shared" si="2"/>
        <v>5494</v>
      </c>
      <c r="N74" s="94">
        <v>242</v>
      </c>
      <c r="O74" s="100">
        <v>3</v>
      </c>
      <c r="P74" s="94"/>
      <c r="Q74" s="100"/>
      <c r="R74" s="101">
        <f t="shared" si="3"/>
        <v>245</v>
      </c>
      <c r="S74" s="89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1"/>
    </row>
    <row r="75" spans="1:30" s="54" customFormat="1" ht="11.25" hidden="1" thickBot="1">
      <c r="A75" s="163"/>
      <c r="B75" s="165" t="s">
        <v>859</v>
      </c>
      <c r="C75" s="108">
        <v>0</v>
      </c>
      <c r="D75" s="109">
        <v>0</v>
      </c>
      <c r="E75" s="110">
        <v>0</v>
      </c>
      <c r="F75" s="110">
        <v>70</v>
      </c>
      <c r="G75" s="110">
        <v>0</v>
      </c>
      <c r="H75" s="110">
        <v>17</v>
      </c>
      <c r="I75" s="110">
        <v>0</v>
      </c>
      <c r="J75" s="110"/>
      <c r="K75" s="111">
        <v>1</v>
      </c>
      <c r="L75" s="112">
        <v>88</v>
      </c>
      <c r="M75" s="113">
        <f t="shared" si="2"/>
        <v>5582</v>
      </c>
      <c r="N75" s="108">
        <v>88</v>
      </c>
      <c r="O75" s="114">
        <v>0</v>
      </c>
      <c r="P75" s="115"/>
      <c r="Q75" s="116"/>
      <c r="R75" s="117">
        <f t="shared" si="3"/>
        <v>88</v>
      </c>
      <c r="S75" s="89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1"/>
    </row>
    <row r="76" spans="1:30" s="54" customFormat="1" ht="10.5" hidden="1">
      <c r="A76" s="166"/>
      <c r="B76" s="150" t="s">
        <v>846</v>
      </c>
      <c r="C76" s="127">
        <v>0</v>
      </c>
      <c r="D76" s="128">
        <v>0</v>
      </c>
      <c r="E76" s="129">
        <v>1</v>
      </c>
      <c r="F76" s="129">
        <v>65</v>
      </c>
      <c r="G76" s="129">
        <v>0</v>
      </c>
      <c r="H76" s="129">
        <v>20</v>
      </c>
      <c r="I76" s="129">
        <v>0</v>
      </c>
      <c r="J76" s="129"/>
      <c r="K76" s="130">
        <v>1</v>
      </c>
      <c r="L76" s="131">
        <f t="shared" ref="L76:L83" si="4">SUM(C76:K76)</f>
        <v>87</v>
      </c>
      <c r="M76" s="132">
        <f t="shared" si="2"/>
        <v>5669</v>
      </c>
      <c r="N76" s="127">
        <v>86</v>
      </c>
      <c r="O76" s="133">
        <v>1</v>
      </c>
      <c r="P76" s="81"/>
      <c r="Q76" s="87"/>
      <c r="R76" s="88">
        <f t="shared" si="3"/>
        <v>87</v>
      </c>
      <c r="S76" s="89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1"/>
    </row>
    <row r="77" spans="1:30" s="54" customFormat="1" ht="10.5" hidden="1">
      <c r="A77" s="134" t="s">
        <v>870</v>
      </c>
      <c r="B77" s="105" t="s">
        <v>847</v>
      </c>
      <c r="C77" s="94">
        <v>0</v>
      </c>
      <c r="D77" s="95">
        <v>0</v>
      </c>
      <c r="E77" s="96">
        <v>3</v>
      </c>
      <c r="F77" s="96">
        <v>99</v>
      </c>
      <c r="G77" s="96">
        <v>0</v>
      </c>
      <c r="H77" s="96">
        <v>12</v>
      </c>
      <c r="I77" s="96">
        <v>0</v>
      </c>
      <c r="J77" s="96"/>
      <c r="K77" s="97">
        <v>2</v>
      </c>
      <c r="L77" s="98">
        <f t="shared" si="4"/>
        <v>116</v>
      </c>
      <c r="M77" s="99">
        <f t="shared" si="2"/>
        <v>5785</v>
      </c>
      <c r="N77" s="94">
        <v>113</v>
      </c>
      <c r="O77" s="100">
        <v>3</v>
      </c>
      <c r="P77" s="94"/>
      <c r="Q77" s="100"/>
      <c r="R77" s="101">
        <f t="shared" si="3"/>
        <v>116</v>
      </c>
      <c r="S77" s="89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1"/>
    </row>
    <row r="78" spans="1:30" s="54" customFormat="1" ht="10.5" hidden="1">
      <c r="A78" s="134"/>
      <c r="B78" s="105" t="s">
        <v>848</v>
      </c>
      <c r="C78" s="94">
        <v>0</v>
      </c>
      <c r="D78" s="95">
        <v>0</v>
      </c>
      <c r="E78" s="96">
        <v>20</v>
      </c>
      <c r="F78" s="96">
        <v>50</v>
      </c>
      <c r="G78" s="96">
        <v>0</v>
      </c>
      <c r="H78" s="96">
        <v>47</v>
      </c>
      <c r="I78" s="96">
        <v>0</v>
      </c>
      <c r="J78" s="96"/>
      <c r="K78" s="97">
        <v>1</v>
      </c>
      <c r="L78" s="98">
        <f t="shared" si="4"/>
        <v>118</v>
      </c>
      <c r="M78" s="99">
        <f t="shared" si="2"/>
        <v>5903</v>
      </c>
      <c r="N78" s="94">
        <v>98</v>
      </c>
      <c r="O78" s="100">
        <v>20</v>
      </c>
      <c r="P78" s="94"/>
      <c r="Q78" s="100"/>
      <c r="R78" s="101">
        <f t="shared" si="3"/>
        <v>118</v>
      </c>
      <c r="S78" s="89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1"/>
    </row>
    <row r="79" spans="1:30" s="54" customFormat="1" ht="10.5" hidden="1">
      <c r="A79" s="167"/>
      <c r="B79" s="105" t="s">
        <v>849</v>
      </c>
      <c r="C79" s="94">
        <v>0</v>
      </c>
      <c r="D79" s="95">
        <v>0</v>
      </c>
      <c r="E79" s="96">
        <v>6</v>
      </c>
      <c r="F79" s="96">
        <v>50</v>
      </c>
      <c r="G79" s="96">
        <v>0</v>
      </c>
      <c r="H79" s="96">
        <v>21</v>
      </c>
      <c r="I79" s="96">
        <v>0</v>
      </c>
      <c r="J79" s="96"/>
      <c r="K79" s="97">
        <v>64</v>
      </c>
      <c r="L79" s="98">
        <f t="shared" si="4"/>
        <v>141</v>
      </c>
      <c r="M79" s="99">
        <f t="shared" si="2"/>
        <v>6044</v>
      </c>
      <c r="N79" s="94">
        <v>135</v>
      </c>
      <c r="O79" s="100">
        <v>6</v>
      </c>
      <c r="P79" s="94"/>
      <c r="Q79" s="100"/>
      <c r="R79" s="101">
        <f t="shared" si="3"/>
        <v>141</v>
      </c>
      <c r="S79" s="89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1"/>
    </row>
    <row r="80" spans="1:30" s="54" customFormat="1" ht="10.5" hidden="1">
      <c r="A80" s="163"/>
      <c r="B80" s="105" t="s">
        <v>851</v>
      </c>
      <c r="C80" s="94">
        <v>0</v>
      </c>
      <c r="D80" s="95">
        <v>0</v>
      </c>
      <c r="E80" s="96">
        <v>48</v>
      </c>
      <c r="F80" s="96">
        <v>2</v>
      </c>
      <c r="G80" s="96">
        <v>0</v>
      </c>
      <c r="H80" s="96">
        <v>66</v>
      </c>
      <c r="I80" s="96">
        <v>2</v>
      </c>
      <c r="J80" s="96"/>
      <c r="K80" s="97">
        <v>53</v>
      </c>
      <c r="L80" s="98">
        <f t="shared" si="4"/>
        <v>171</v>
      </c>
      <c r="M80" s="99">
        <f t="shared" si="2"/>
        <v>6215</v>
      </c>
      <c r="N80" s="94">
        <v>123</v>
      </c>
      <c r="O80" s="100">
        <v>48</v>
      </c>
      <c r="P80" s="94"/>
      <c r="Q80" s="100"/>
      <c r="R80" s="101">
        <f t="shared" si="3"/>
        <v>171</v>
      </c>
      <c r="S80" s="89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1"/>
    </row>
    <row r="81" spans="1:30" s="54" customFormat="1" ht="10.5" hidden="1">
      <c r="A81" s="134" t="s">
        <v>850</v>
      </c>
      <c r="B81" s="105" t="s">
        <v>852</v>
      </c>
      <c r="C81" s="94">
        <v>0</v>
      </c>
      <c r="D81" s="95">
        <v>0</v>
      </c>
      <c r="E81" s="96">
        <v>52</v>
      </c>
      <c r="F81" s="96">
        <v>0</v>
      </c>
      <c r="G81" s="96">
        <v>0</v>
      </c>
      <c r="H81" s="96">
        <v>174</v>
      </c>
      <c r="I81" s="96">
        <v>1</v>
      </c>
      <c r="J81" s="96"/>
      <c r="K81" s="97">
        <v>6</v>
      </c>
      <c r="L81" s="98">
        <f t="shared" si="4"/>
        <v>233</v>
      </c>
      <c r="M81" s="99">
        <f t="shared" si="2"/>
        <v>6448</v>
      </c>
      <c r="N81" s="94">
        <v>181</v>
      </c>
      <c r="O81" s="100">
        <v>52</v>
      </c>
      <c r="P81" s="94"/>
      <c r="Q81" s="100"/>
      <c r="R81" s="101">
        <f t="shared" si="3"/>
        <v>233</v>
      </c>
      <c r="S81" s="89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1"/>
    </row>
    <row r="82" spans="1:30" s="54" customFormat="1" ht="10.5" hidden="1">
      <c r="A82" s="167">
        <f>SUM(L76:L87)</f>
        <v>1993</v>
      </c>
      <c r="B82" s="105" t="s">
        <v>853</v>
      </c>
      <c r="C82" s="94">
        <v>0</v>
      </c>
      <c r="D82" s="95">
        <v>0</v>
      </c>
      <c r="E82" s="96">
        <v>27</v>
      </c>
      <c r="F82" s="96">
        <v>0</v>
      </c>
      <c r="G82" s="96">
        <v>0</v>
      </c>
      <c r="H82" s="96">
        <v>171</v>
      </c>
      <c r="I82" s="96">
        <v>8</v>
      </c>
      <c r="J82" s="96"/>
      <c r="K82" s="97">
        <v>0</v>
      </c>
      <c r="L82" s="98">
        <f t="shared" si="4"/>
        <v>206</v>
      </c>
      <c r="M82" s="99">
        <f t="shared" si="2"/>
        <v>6654</v>
      </c>
      <c r="N82" s="94">
        <v>179</v>
      </c>
      <c r="O82" s="100">
        <v>27</v>
      </c>
      <c r="P82" s="94"/>
      <c r="Q82" s="100"/>
      <c r="R82" s="101">
        <f t="shared" si="3"/>
        <v>206</v>
      </c>
      <c r="S82" s="89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1"/>
    </row>
    <row r="83" spans="1:30" s="54" customFormat="1" ht="10.5" hidden="1">
      <c r="A83" s="163"/>
      <c r="B83" s="105" t="s">
        <v>855</v>
      </c>
      <c r="C83" s="94">
        <v>0</v>
      </c>
      <c r="D83" s="95">
        <v>0</v>
      </c>
      <c r="E83" s="96">
        <v>61</v>
      </c>
      <c r="F83" s="96">
        <v>0</v>
      </c>
      <c r="G83" s="96">
        <v>0</v>
      </c>
      <c r="H83" s="96">
        <v>115</v>
      </c>
      <c r="I83" s="96">
        <v>0</v>
      </c>
      <c r="J83" s="96"/>
      <c r="K83" s="97">
        <v>2</v>
      </c>
      <c r="L83" s="98">
        <f t="shared" si="4"/>
        <v>178</v>
      </c>
      <c r="M83" s="99">
        <f t="shared" si="2"/>
        <v>6832</v>
      </c>
      <c r="N83" s="94">
        <f t="shared" ref="N83:N93" si="5">C83+D83+F83+H83+I83+K83</f>
        <v>117</v>
      </c>
      <c r="O83" s="100">
        <f t="shared" ref="O83:O146" si="6">E83+G83</f>
        <v>61</v>
      </c>
      <c r="P83" s="94"/>
      <c r="Q83" s="100"/>
      <c r="R83" s="101">
        <f t="shared" si="3"/>
        <v>178</v>
      </c>
      <c r="S83" s="89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1"/>
    </row>
    <row r="84" spans="1:30" s="54" customFormat="1" ht="10.5" hidden="1">
      <c r="A84" s="134" t="s">
        <v>854</v>
      </c>
      <c r="B84" s="105" t="s">
        <v>871</v>
      </c>
      <c r="C84" s="94">
        <v>0</v>
      </c>
      <c r="D84" s="95">
        <v>0</v>
      </c>
      <c r="E84" s="96">
        <v>72</v>
      </c>
      <c r="F84" s="96">
        <v>0</v>
      </c>
      <c r="G84" s="96">
        <v>0</v>
      </c>
      <c r="H84" s="96">
        <v>137</v>
      </c>
      <c r="I84" s="96">
        <v>0</v>
      </c>
      <c r="J84" s="96"/>
      <c r="K84" s="97">
        <v>0</v>
      </c>
      <c r="L84" s="98">
        <v>209</v>
      </c>
      <c r="M84" s="99">
        <v>7041</v>
      </c>
      <c r="N84" s="94">
        <f t="shared" si="5"/>
        <v>137</v>
      </c>
      <c r="O84" s="100">
        <f t="shared" si="6"/>
        <v>72</v>
      </c>
      <c r="P84" s="94"/>
      <c r="Q84" s="100"/>
      <c r="R84" s="101">
        <f t="shared" si="3"/>
        <v>209</v>
      </c>
      <c r="S84" s="89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1"/>
    </row>
    <row r="85" spans="1:30" s="54" customFormat="1" ht="10.5" hidden="1">
      <c r="A85" s="167">
        <f>A79+A82</f>
        <v>1993</v>
      </c>
      <c r="B85" s="105" t="s">
        <v>857</v>
      </c>
      <c r="C85" s="94">
        <v>0</v>
      </c>
      <c r="D85" s="95">
        <v>0</v>
      </c>
      <c r="E85" s="96">
        <v>92</v>
      </c>
      <c r="F85" s="96">
        <v>0</v>
      </c>
      <c r="G85" s="96">
        <v>0</v>
      </c>
      <c r="H85" s="96">
        <v>125</v>
      </c>
      <c r="I85" s="96">
        <v>0</v>
      </c>
      <c r="J85" s="96"/>
      <c r="K85" s="97">
        <v>24</v>
      </c>
      <c r="L85" s="98">
        <f t="shared" ref="L85:L148" si="7">SUM(C85:K85)</f>
        <v>241</v>
      </c>
      <c r="M85" s="99">
        <f t="shared" ref="M85:M148" si="8">M84+L85</f>
        <v>7282</v>
      </c>
      <c r="N85" s="94">
        <f t="shared" si="5"/>
        <v>149</v>
      </c>
      <c r="O85" s="100">
        <f t="shared" si="6"/>
        <v>92</v>
      </c>
      <c r="P85" s="94"/>
      <c r="Q85" s="100"/>
      <c r="R85" s="101">
        <f t="shared" si="3"/>
        <v>241</v>
      </c>
      <c r="S85" s="89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1"/>
    </row>
    <row r="86" spans="1:30" s="54" customFormat="1" ht="10.5" hidden="1">
      <c r="A86" s="163"/>
      <c r="B86" s="105" t="s">
        <v>858</v>
      </c>
      <c r="C86" s="94">
        <v>0</v>
      </c>
      <c r="D86" s="95">
        <v>0</v>
      </c>
      <c r="E86" s="96">
        <v>46</v>
      </c>
      <c r="F86" s="96">
        <v>0</v>
      </c>
      <c r="G86" s="96">
        <v>0</v>
      </c>
      <c r="H86" s="96">
        <v>31</v>
      </c>
      <c r="I86" s="96">
        <v>0</v>
      </c>
      <c r="J86" s="96"/>
      <c r="K86" s="97">
        <v>101</v>
      </c>
      <c r="L86" s="98">
        <f t="shared" si="7"/>
        <v>178</v>
      </c>
      <c r="M86" s="99">
        <f t="shared" si="8"/>
        <v>7460</v>
      </c>
      <c r="N86" s="94">
        <f t="shared" si="5"/>
        <v>132</v>
      </c>
      <c r="O86" s="100">
        <f t="shared" si="6"/>
        <v>46</v>
      </c>
      <c r="P86" s="94"/>
      <c r="Q86" s="100"/>
      <c r="R86" s="101">
        <f t="shared" si="3"/>
        <v>178</v>
      </c>
      <c r="S86" s="89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1"/>
    </row>
    <row r="87" spans="1:30" s="54" customFormat="1" ht="11.25" hidden="1" thickBot="1">
      <c r="A87" s="168"/>
      <c r="B87" s="165" t="s">
        <v>859</v>
      </c>
      <c r="C87" s="108">
        <v>0</v>
      </c>
      <c r="D87" s="109">
        <v>0</v>
      </c>
      <c r="E87" s="110">
        <v>22</v>
      </c>
      <c r="F87" s="110">
        <v>26</v>
      </c>
      <c r="G87" s="110">
        <v>0</v>
      </c>
      <c r="H87" s="110">
        <v>65</v>
      </c>
      <c r="I87" s="110">
        <v>2</v>
      </c>
      <c r="J87" s="110"/>
      <c r="K87" s="111">
        <v>0</v>
      </c>
      <c r="L87" s="112">
        <f t="shared" si="7"/>
        <v>115</v>
      </c>
      <c r="M87" s="113">
        <f t="shared" si="8"/>
        <v>7575</v>
      </c>
      <c r="N87" s="108">
        <f t="shared" si="5"/>
        <v>93</v>
      </c>
      <c r="O87" s="114">
        <f t="shared" si="6"/>
        <v>22</v>
      </c>
      <c r="P87" s="115"/>
      <c r="Q87" s="116"/>
      <c r="R87" s="117">
        <f t="shared" si="3"/>
        <v>115</v>
      </c>
      <c r="S87" s="89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1"/>
    </row>
    <row r="88" spans="1:30" s="54" customFormat="1" ht="10.5" hidden="1">
      <c r="A88" s="163" t="s">
        <v>872</v>
      </c>
      <c r="B88" s="150" t="s">
        <v>846</v>
      </c>
      <c r="C88" s="127">
        <v>0</v>
      </c>
      <c r="D88" s="128">
        <v>0</v>
      </c>
      <c r="E88" s="129">
        <v>3</v>
      </c>
      <c r="F88" s="129">
        <v>45</v>
      </c>
      <c r="G88" s="129">
        <v>0</v>
      </c>
      <c r="H88" s="129">
        <v>46</v>
      </c>
      <c r="I88" s="129">
        <v>0</v>
      </c>
      <c r="J88" s="129"/>
      <c r="K88" s="130">
        <v>24</v>
      </c>
      <c r="L88" s="131">
        <f t="shared" si="7"/>
        <v>118</v>
      </c>
      <c r="M88" s="132">
        <f t="shared" si="8"/>
        <v>7693</v>
      </c>
      <c r="N88" s="127">
        <f t="shared" si="5"/>
        <v>115</v>
      </c>
      <c r="O88" s="133">
        <f t="shared" si="6"/>
        <v>3</v>
      </c>
      <c r="P88" s="81"/>
      <c r="Q88" s="87"/>
      <c r="R88" s="88">
        <f t="shared" si="3"/>
        <v>118</v>
      </c>
      <c r="S88" s="89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1"/>
    </row>
    <row r="89" spans="1:30" s="54" customFormat="1" ht="10.5" hidden="1">
      <c r="A89" s="134"/>
      <c r="B89" s="105" t="s">
        <v>847</v>
      </c>
      <c r="C89" s="94">
        <v>0</v>
      </c>
      <c r="D89" s="95">
        <v>0</v>
      </c>
      <c r="E89" s="96">
        <v>52</v>
      </c>
      <c r="F89" s="96">
        <v>27</v>
      </c>
      <c r="G89" s="96">
        <v>0</v>
      </c>
      <c r="H89" s="96">
        <v>59</v>
      </c>
      <c r="I89" s="96">
        <v>0</v>
      </c>
      <c r="J89" s="96"/>
      <c r="K89" s="97">
        <v>64</v>
      </c>
      <c r="L89" s="98">
        <f t="shared" si="7"/>
        <v>202</v>
      </c>
      <c r="M89" s="99">
        <f t="shared" si="8"/>
        <v>7895</v>
      </c>
      <c r="N89" s="94">
        <f t="shared" si="5"/>
        <v>150</v>
      </c>
      <c r="O89" s="100">
        <f t="shared" si="6"/>
        <v>52</v>
      </c>
      <c r="P89" s="94"/>
      <c r="Q89" s="100"/>
      <c r="R89" s="101">
        <f t="shared" si="3"/>
        <v>202</v>
      </c>
      <c r="S89" s="89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1"/>
    </row>
    <row r="90" spans="1:30" s="54" customFormat="1" ht="10.5" hidden="1">
      <c r="A90" s="167"/>
      <c r="B90" s="105" t="s">
        <v>848</v>
      </c>
      <c r="C90" s="94">
        <v>0</v>
      </c>
      <c r="D90" s="95">
        <v>0</v>
      </c>
      <c r="E90" s="96">
        <v>69</v>
      </c>
      <c r="F90" s="96">
        <v>50</v>
      </c>
      <c r="G90" s="96">
        <v>0</v>
      </c>
      <c r="H90" s="96">
        <v>23</v>
      </c>
      <c r="I90" s="96">
        <v>0</v>
      </c>
      <c r="J90" s="96"/>
      <c r="K90" s="97">
        <v>42</v>
      </c>
      <c r="L90" s="98">
        <f t="shared" si="7"/>
        <v>184</v>
      </c>
      <c r="M90" s="99">
        <f t="shared" si="8"/>
        <v>8079</v>
      </c>
      <c r="N90" s="94">
        <f t="shared" si="5"/>
        <v>115</v>
      </c>
      <c r="O90" s="100">
        <f t="shared" si="6"/>
        <v>69</v>
      </c>
      <c r="P90" s="94"/>
      <c r="Q90" s="100"/>
      <c r="R90" s="101">
        <f t="shared" si="3"/>
        <v>184</v>
      </c>
      <c r="S90" s="89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1"/>
    </row>
    <row r="91" spans="1:30" s="54" customFormat="1" ht="10.5" hidden="1">
      <c r="A91" s="163"/>
      <c r="B91" s="105" t="s">
        <v>849</v>
      </c>
      <c r="C91" s="94">
        <v>0</v>
      </c>
      <c r="D91" s="95">
        <v>0</v>
      </c>
      <c r="E91" s="96">
        <v>60</v>
      </c>
      <c r="F91" s="96">
        <v>23</v>
      </c>
      <c r="G91" s="96">
        <v>0</v>
      </c>
      <c r="H91" s="96">
        <v>26</v>
      </c>
      <c r="I91" s="96">
        <v>0</v>
      </c>
      <c r="J91" s="96"/>
      <c r="K91" s="97">
        <v>35</v>
      </c>
      <c r="L91" s="98">
        <f t="shared" si="7"/>
        <v>144</v>
      </c>
      <c r="M91" s="99">
        <f t="shared" si="8"/>
        <v>8223</v>
      </c>
      <c r="N91" s="94">
        <f t="shared" si="5"/>
        <v>84</v>
      </c>
      <c r="O91" s="100">
        <f t="shared" si="6"/>
        <v>60</v>
      </c>
      <c r="P91" s="94"/>
      <c r="Q91" s="100"/>
      <c r="R91" s="101">
        <f t="shared" si="3"/>
        <v>144</v>
      </c>
      <c r="S91" s="89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1"/>
    </row>
    <row r="92" spans="1:30" s="54" customFormat="1" ht="10.5" hidden="1">
      <c r="A92" s="134" t="s">
        <v>850</v>
      </c>
      <c r="B92" s="105" t="s">
        <v>851</v>
      </c>
      <c r="C92" s="94">
        <v>0</v>
      </c>
      <c r="D92" s="95">
        <v>0</v>
      </c>
      <c r="E92" s="96">
        <v>33</v>
      </c>
      <c r="F92" s="96">
        <v>35</v>
      </c>
      <c r="G92" s="96">
        <v>0</v>
      </c>
      <c r="H92" s="96">
        <v>90</v>
      </c>
      <c r="I92" s="96">
        <v>0</v>
      </c>
      <c r="J92" s="96"/>
      <c r="K92" s="97">
        <v>15</v>
      </c>
      <c r="L92" s="98">
        <f t="shared" si="7"/>
        <v>173</v>
      </c>
      <c r="M92" s="99">
        <f t="shared" si="8"/>
        <v>8396</v>
      </c>
      <c r="N92" s="94">
        <f t="shared" si="5"/>
        <v>140</v>
      </c>
      <c r="O92" s="100">
        <f t="shared" si="6"/>
        <v>33</v>
      </c>
      <c r="P92" s="94"/>
      <c r="Q92" s="100"/>
      <c r="R92" s="101">
        <f t="shared" si="3"/>
        <v>173</v>
      </c>
      <c r="S92" s="89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1"/>
    </row>
    <row r="93" spans="1:30" s="54" customFormat="1" ht="10.5" hidden="1">
      <c r="A93" s="167">
        <f>SUM(L88:L99)</f>
        <v>2038</v>
      </c>
      <c r="B93" s="105" t="s">
        <v>852</v>
      </c>
      <c r="C93" s="94">
        <v>0</v>
      </c>
      <c r="D93" s="95">
        <v>0</v>
      </c>
      <c r="E93" s="96">
        <v>44</v>
      </c>
      <c r="F93" s="96">
        <v>29</v>
      </c>
      <c r="G93" s="96">
        <v>0</v>
      </c>
      <c r="H93" s="96">
        <v>44</v>
      </c>
      <c r="I93" s="96">
        <v>0</v>
      </c>
      <c r="J93" s="96"/>
      <c r="K93" s="97">
        <v>32</v>
      </c>
      <c r="L93" s="98">
        <f t="shared" si="7"/>
        <v>149</v>
      </c>
      <c r="M93" s="99">
        <f t="shared" si="8"/>
        <v>8545</v>
      </c>
      <c r="N93" s="94">
        <f t="shared" si="5"/>
        <v>105</v>
      </c>
      <c r="O93" s="100">
        <f t="shared" si="6"/>
        <v>44</v>
      </c>
      <c r="P93" s="94"/>
      <c r="Q93" s="100"/>
      <c r="R93" s="101">
        <f t="shared" si="3"/>
        <v>149</v>
      </c>
      <c r="S93" s="89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1"/>
    </row>
    <row r="94" spans="1:30" s="54" customFormat="1" ht="10.5" hidden="1">
      <c r="A94" s="169"/>
      <c r="B94" s="105" t="s">
        <v>853</v>
      </c>
      <c r="C94" s="94">
        <v>0</v>
      </c>
      <c r="D94" s="95">
        <v>0</v>
      </c>
      <c r="E94" s="96">
        <v>0</v>
      </c>
      <c r="F94" s="96">
        <v>33</v>
      </c>
      <c r="G94" s="96">
        <v>0</v>
      </c>
      <c r="H94" s="96">
        <v>99</v>
      </c>
      <c r="I94" s="96">
        <v>2</v>
      </c>
      <c r="J94" s="96"/>
      <c r="K94" s="97">
        <v>4</v>
      </c>
      <c r="L94" s="98">
        <f t="shared" si="7"/>
        <v>138</v>
      </c>
      <c r="M94" s="99">
        <f t="shared" si="8"/>
        <v>8683</v>
      </c>
      <c r="N94" s="94">
        <f t="shared" ref="N94:N157" si="9">C94+D94+F94+H94+I94+K94+J94</f>
        <v>138</v>
      </c>
      <c r="O94" s="100">
        <f t="shared" si="6"/>
        <v>0</v>
      </c>
      <c r="P94" s="94"/>
      <c r="Q94" s="100"/>
      <c r="R94" s="101">
        <f t="shared" si="3"/>
        <v>138</v>
      </c>
      <c r="S94" s="89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1"/>
    </row>
    <row r="95" spans="1:30" s="54" customFormat="1" ht="10.5" hidden="1">
      <c r="A95" s="169"/>
      <c r="B95" s="105" t="s">
        <v>855</v>
      </c>
      <c r="C95" s="94">
        <v>0</v>
      </c>
      <c r="D95" s="95">
        <v>0</v>
      </c>
      <c r="E95" s="96">
        <v>42</v>
      </c>
      <c r="F95" s="96">
        <v>2</v>
      </c>
      <c r="G95" s="96">
        <v>0</v>
      </c>
      <c r="H95" s="96">
        <v>88</v>
      </c>
      <c r="I95" s="96">
        <v>2</v>
      </c>
      <c r="J95" s="96"/>
      <c r="K95" s="97">
        <v>25</v>
      </c>
      <c r="L95" s="98">
        <f t="shared" si="7"/>
        <v>159</v>
      </c>
      <c r="M95" s="99">
        <f t="shared" si="8"/>
        <v>8842</v>
      </c>
      <c r="N95" s="94">
        <f t="shared" si="9"/>
        <v>117</v>
      </c>
      <c r="O95" s="100">
        <f t="shared" si="6"/>
        <v>42</v>
      </c>
      <c r="P95" s="94"/>
      <c r="Q95" s="100"/>
      <c r="R95" s="101">
        <f t="shared" si="3"/>
        <v>159</v>
      </c>
      <c r="S95" s="89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1"/>
    </row>
    <row r="96" spans="1:30" s="54" customFormat="1" ht="10.5" hidden="1">
      <c r="A96" s="134" t="s">
        <v>854</v>
      </c>
      <c r="B96" s="105" t="s">
        <v>873</v>
      </c>
      <c r="C96" s="94">
        <v>0</v>
      </c>
      <c r="D96" s="95">
        <v>0</v>
      </c>
      <c r="E96" s="96">
        <v>11</v>
      </c>
      <c r="F96" s="96">
        <v>0</v>
      </c>
      <c r="G96" s="96">
        <v>0</v>
      </c>
      <c r="H96" s="96">
        <v>103</v>
      </c>
      <c r="I96" s="96">
        <v>1</v>
      </c>
      <c r="J96" s="96">
        <v>0</v>
      </c>
      <c r="K96" s="97">
        <v>67</v>
      </c>
      <c r="L96" s="98">
        <f t="shared" si="7"/>
        <v>182</v>
      </c>
      <c r="M96" s="99">
        <f t="shared" si="8"/>
        <v>9024</v>
      </c>
      <c r="N96" s="94">
        <f t="shared" si="9"/>
        <v>171</v>
      </c>
      <c r="O96" s="100">
        <f t="shared" si="6"/>
        <v>11</v>
      </c>
      <c r="P96" s="94"/>
      <c r="Q96" s="100"/>
      <c r="R96" s="101">
        <f t="shared" si="3"/>
        <v>182</v>
      </c>
      <c r="S96" s="89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1"/>
    </row>
    <row r="97" spans="1:30" s="54" customFormat="1" ht="10.5" hidden="1">
      <c r="A97" s="167">
        <f>A90+A93</f>
        <v>2038</v>
      </c>
      <c r="B97" s="105" t="s">
        <v>857</v>
      </c>
      <c r="C97" s="94">
        <v>0</v>
      </c>
      <c r="D97" s="95">
        <v>0</v>
      </c>
      <c r="E97" s="96">
        <v>2</v>
      </c>
      <c r="F97" s="96">
        <v>5</v>
      </c>
      <c r="G97" s="96">
        <v>0</v>
      </c>
      <c r="H97" s="96">
        <v>195</v>
      </c>
      <c r="I97" s="96">
        <v>3</v>
      </c>
      <c r="J97" s="96">
        <v>0</v>
      </c>
      <c r="K97" s="97">
        <v>35</v>
      </c>
      <c r="L97" s="98">
        <f t="shared" si="7"/>
        <v>240</v>
      </c>
      <c r="M97" s="99">
        <f t="shared" si="8"/>
        <v>9264</v>
      </c>
      <c r="N97" s="94">
        <f t="shared" si="9"/>
        <v>238</v>
      </c>
      <c r="O97" s="100">
        <f t="shared" si="6"/>
        <v>2</v>
      </c>
      <c r="P97" s="94"/>
      <c r="Q97" s="100"/>
      <c r="R97" s="101">
        <f t="shared" si="3"/>
        <v>240</v>
      </c>
      <c r="S97" s="89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1"/>
    </row>
    <row r="98" spans="1:30" s="54" customFormat="1" ht="10.5" hidden="1">
      <c r="A98" s="169"/>
      <c r="B98" s="105" t="s">
        <v>858</v>
      </c>
      <c r="C98" s="94">
        <v>0</v>
      </c>
      <c r="D98" s="95">
        <v>0</v>
      </c>
      <c r="E98" s="96">
        <v>0</v>
      </c>
      <c r="F98" s="96">
        <v>5</v>
      </c>
      <c r="G98" s="96">
        <v>0</v>
      </c>
      <c r="H98" s="96">
        <v>71</v>
      </c>
      <c r="I98" s="96">
        <v>18</v>
      </c>
      <c r="J98" s="96">
        <v>0</v>
      </c>
      <c r="K98" s="97">
        <v>61</v>
      </c>
      <c r="L98" s="98">
        <f t="shared" si="7"/>
        <v>155</v>
      </c>
      <c r="M98" s="99">
        <f t="shared" si="8"/>
        <v>9419</v>
      </c>
      <c r="N98" s="94">
        <f t="shared" si="9"/>
        <v>155</v>
      </c>
      <c r="O98" s="100">
        <f t="shared" si="6"/>
        <v>0</v>
      </c>
      <c r="P98" s="94"/>
      <c r="Q98" s="100"/>
      <c r="R98" s="101">
        <f t="shared" si="3"/>
        <v>155</v>
      </c>
      <c r="S98" s="89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1"/>
    </row>
    <row r="99" spans="1:30" s="54" customFormat="1" ht="11.25" hidden="1" thickBot="1">
      <c r="A99" s="170"/>
      <c r="B99" s="165" t="s">
        <v>859</v>
      </c>
      <c r="C99" s="108">
        <v>0</v>
      </c>
      <c r="D99" s="109">
        <v>0</v>
      </c>
      <c r="E99" s="110">
        <v>0</v>
      </c>
      <c r="F99" s="110">
        <v>87</v>
      </c>
      <c r="G99" s="110">
        <v>0</v>
      </c>
      <c r="H99" s="110">
        <v>65</v>
      </c>
      <c r="I99" s="110">
        <v>7</v>
      </c>
      <c r="J99" s="110">
        <v>35</v>
      </c>
      <c r="K99" s="111">
        <v>0</v>
      </c>
      <c r="L99" s="112">
        <f t="shared" si="7"/>
        <v>194</v>
      </c>
      <c r="M99" s="113">
        <f t="shared" si="8"/>
        <v>9613</v>
      </c>
      <c r="N99" s="108">
        <f t="shared" si="9"/>
        <v>194</v>
      </c>
      <c r="O99" s="114">
        <f t="shared" si="6"/>
        <v>0</v>
      </c>
      <c r="P99" s="115"/>
      <c r="Q99" s="116"/>
      <c r="R99" s="117">
        <f t="shared" si="3"/>
        <v>194</v>
      </c>
      <c r="S99" s="89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1"/>
    </row>
    <row r="100" spans="1:30" s="54" customFormat="1" ht="10.5" hidden="1">
      <c r="A100" s="163" t="s">
        <v>874</v>
      </c>
      <c r="B100" s="150" t="s">
        <v>846</v>
      </c>
      <c r="C100" s="127">
        <v>0</v>
      </c>
      <c r="D100" s="128">
        <v>0</v>
      </c>
      <c r="E100" s="129">
        <v>2</v>
      </c>
      <c r="F100" s="129">
        <v>33</v>
      </c>
      <c r="G100" s="129">
        <v>0</v>
      </c>
      <c r="H100" s="129">
        <v>23</v>
      </c>
      <c r="I100" s="129">
        <v>30</v>
      </c>
      <c r="J100" s="129">
        <v>123</v>
      </c>
      <c r="K100" s="130">
        <v>9</v>
      </c>
      <c r="L100" s="131">
        <f t="shared" si="7"/>
        <v>220</v>
      </c>
      <c r="M100" s="132">
        <f t="shared" si="8"/>
        <v>9833</v>
      </c>
      <c r="N100" s="127">
        <f t="shared" si="9"/>
        <v>218</v>
      </c>
      <c r="O100" s="133">
        <f t="shared" si="6"/>
        <v>2</v>
      </c>
      <c r="P100" s="81"/>
      <c r="Q100" s="87"/>
      <c r="R100" s="88">
        <f t="shared" si="3"/>
        <v>220</v>
      </c>
      <c r="S100" s="89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1"/>
    </row>
    <row r="101" spans="1:30" s="54" customFormat="1" ht="10.5" hidden="1">
      <c r="A101" s="134"/>
      <c r="B101" s="105" t="s">
        <v>847</v>
      </c>
      <c r="C101" s="94">
        <v>0</v>
      </c>
      <c r="D101" s="95">
        <v>0</v>
      </c>
      <c r="E101" s="96">
        <v>0</v>
      </c>
      <c r="F101" s="96">
        <v>20</v>
      </c>
      <c r="G101" s="96">
        <v>0</v>
      </c>
      <c r="H101" s="96">
        <v>91</v>
      </c>
      <c r="I101" s="96">
        <v>21</v>
      </c>
      <c r="J101" s="96">
        <v>22</v>
      </c>
      <c r="K101" s="97">
        <v>96</v>
      </c>
      <c r="L101" s="98">
        <f t="shared" si="7"/>
        <v>250</v>
      </c>
      <c r="M101" s="99">
        <f t="shared" si="8"/>
        <v>10083</v>
      </c>
      <c r="N101" s="94">
        <f t="shared" si="9"/>
        <v>250</v>
      </c>
      <c r="O101" s="100">
        <f t="shared" si="6"/>
        <v>0</v>
      </c>
      <c r="P101" s="94"/>
      <c r="Q101" s="100"/>
      <c r="R101" s="101">
        <f t="shared" si="3"/>
        <v>250</v>
      </c>
      <c r="S101" s="89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1"/>
    </row>
    <row r="102" spans="1:30" s="54" customFormat="1" ht="10.5" hidden="1">
      <c r="A102" s="167"/>
      <c r="B102" s="105" t="s">
        <v>848</v>
      </c>
      <c r="C102" s="94">
        <v>0</v>
      </c>
      <c r="D102" s="95">
        <v>0</v>
      </c>
      <c r="E102" s="96">
        <v>106</v>
      </c>
      <c r="F102" s="96">
        <v>0</v>
      </c>
      <c r="G102" s="96">
        <v>0</v>
      </c>
      <c r="H102" s="96">
        <v>99</v>
      </c>
      <c r="I102" s="96">
        <v>38</v>
      </c>
      <c r="J102" s="96">
        <v>18</v>
      </c>
      <c r="K102" s="97">
        <v>25</v>
      </c>
      <c r="L102" s="98">
        <f t="shared" si="7"/>
        <v>286</v>
      </c>
      <c r="M102" s="99">
        <f t="shared" si="8"/>
        <v>10369</v>
      </c>
      <c r="N102" s="94">
        <f t="shared" si="9"/>
        <v>180</v>
      </c>
      <c r="O102" s="100">
        <f t="shared" si="6"/>
        <v>106</v>
      </c>
      <c r="P102" s="94"/>
      <c r="Q102" s="100"/>
      <c r="R102" s="101">
        <f t="shared" si="3"/>
        <v>286</v>
      </c>
      <c r="S102" s="89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1"/>
    </row>
    <row r="103" spans="1:30" s="54" customFormat="1" ht="10.5" hidden="1">
      <c r="A103" s="163"/>
      <c r="B103" s="105" t="s">
        <v>849</v>
      </c>
      <c r="C103" s="94">
        <v>0</v>
      </c>
      <c r="D103" s="95">
        <v>0</v>
      </c>
      <c r="E103" s="96">
        <v>25</v>
      </c>
      <c r="F103" s="96">
        <v>0</v>
      </c>
      <c r="G103" s="96">
        <v>0</v>
      </c>
      <c r="H103" s="96">
        <v>104</v>
      </c>
      <c r="I103" s="96">
        <v>25</v>
      </c>
      <c r="J103" s="96">
        <v>53</v>
      </c>
      <c r="K103" s="97">
        <v>23</v>
      </c>
      <c r="L103" s="98">
        <f t="shared" si="7"/>
        <v>230</v>
      </c>
      <c r="M103" s="99">
        <f t="shared" si="8"/>
        <v>10599</v>
      </c>
      <c r="N103" s="94">
        <f t="shared" si="9"/>
        <v>205</v>
      </c>
      <c r="O103" s="100">
        <f t="shared" si="6"/>
        <v>25</v>
      </c>
      <c r="P103" s="94"/>
      <c r="Q103" s="100"/>
      <c r="R103" s="101">
        <f t="shared" si="3"/>
        <v>230</v>
      </c>
      <c r="S103" s="89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1"/>
    </row>
    <row r="104" spans="1:30" s="54" customFormat="1" ht="10.5" hidden="1">
      <c r="A104" s="134" t="s">
        <v>850</v>
      </c>
      <c r="B104" s="105" t="s">
        <v>851</v>
      </c>
      <c r="C104" s="94">
        <v>0</v>
      </c>
      <c r="D104" s="95">
        <v>0</v>
      </c>
      <c r="E104" s="96">
        <v>32</v>
      </c>
      <c r="F104" s="96">
        <v>8</v>
      </c>
      <c r="G104" s="96">
        <v>0</v>
      </c>
      <c r="H104" s="96">
        <v>166</v>
      </c>
      <c r="I104" s="96">
        <v>24</v>
      </c>
      <c r="J104" s="96">
        <v>9</v>
      </c>
      <c r="K104" s="97">
        <v>5</v>
      </c>
      <c r="L104" s="98">
        <f t="shared" si="7"/>
        <v>244</v>
      </c>
      <c r="M104" s="99">
        <f t="shared" si="8"/>
        <v>10843</v>
      </c>
      <c r="N104" s="94">
        <f t="shared" si="9"/>
        <v>212</v>
      </c>
      <c r="O104" s="100">
        <f t="shared" si="6"/>
        <v>32</v>
      </c>
      <c r="P104" s="94"/>
      <c r="Q104" s="100"/>
      <c r="R104" s="101">
        <f t="shared" si="3"/>
        <v>244</v>
      </c>
      <c r="S104" s="89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1"/>
    </row>
    <row r="105" spans="1:30" s="54" customFormat="1" ht="10.5" hidden="1">
      <c r="A105" s="167">
        <f>SUM(L100:L111)</f>
        <v>3301</v>
      </c>
      <c r="B105" s="105" t="s">
        <v>852</v>
      </c>
      <c r="C105" s="94">
        <v>0</v>
      </c>
      <c r="D105" s="95">
        <v>0</v>
      </c>
      <c r="E105" s="96">
        <v>63</v>
      </c>
      <c r="F105" s="96">
        <v>34</v>
      </c>
      <c r="G105" s="96">
        <v>0</v>
      </c>
      <c r="H105" s="96">
        <v>200</v>
      </c>
      <c r="I105" s="96">
        <v>9</v>
      </c>
      <c r="J105" s="96">
        <v>0</v>
      </c>
      <c r="K105" s="97">
        <v>21</v>
      </c>
      <c r="L105" s="98">
        <f t="shared" si="7"/>
        <v>327</v>
      </c>
      <c r="M105" s="99">
        <f t="shared" si="8"/>
        <v>11170</v>
      </c>
      <c r="N105" s="94">
        <f t="shared" si="9"/>
        <v>264</v>
      </c>
      <c r="O105" s="100">
        <f t="shared" si="6"/>
        <v>63</v>
      </c>
      <c r="P105" s="94"/>
      <c r="Q105" s="100"/>
      <c r="R105" s="101">
        <f t="shared" si="3"/>
        <v>327</v>
      </c>
      <c r="S105" s="89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1"/>
    </row>
    <row r="106" spans="1:30" s="54" customFormat="1" ht="10.5" hidden="1">
      <c r="A106" s="163"/>
      <c r="B106" s="105" t="s">
        <v>853</v>
      </c>
      <c r="C106" s="94">
        <v>0</v>
      </c>
      <c r="D106" s="95">
        <v>0</v>
      </c>
      <c r="E106" s="96">
        <v>83</v>
      </c>
      <c r="F106" s="96">
        <v>22</v>
      </c>
      <c r="G106" s="96">
        <v>0</v>
      </c>
      <c r="H106" s="96">
        <v>196</v>
      </c>
      <c r="I106" s="96">
        <v>11</v>
      </c>
      <c r="J106" s="96">
        <v>0</v>
      </c>
      <c r="K106" s="97">
        <v>13</v>
      </c>
      <c r="L106" s="98">
        <f t="shared" si="7"/>
        <v>325</v>
      </c>
      <c r="M106" s="99">
        <f t="shared" si="8"/>
        <v>11495</v>
      </c>
      <c r="N106" s="94">
        <f t="shared" si="9"/>
        <v>242</v>
      </c>
      <c r="O106" s="100">
        <f t="shared" si="6"/>
        <v>83</v>
      </c>
      <c r="P106" s="94"/>
      <c r="Q106" s="100"/>
      <c r="R106" s="101">
        <f t="shared" si="3"/>
        <v>325</v>
      </c>
      <c r="S106" s="89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1"/>
    </row>
    <row r="107" spans="1:30" s="54" customFormat="1" ht="10.5" hidden="1">
      <c r="A107" s="169"/>
      <c r="B107" s="105" t="s">
        <v>855</v>
      </c>
      <c r="C107" s="94">
        <v>0</v>
      </c>
      <c r="D107" s="95">
        <v>0</v>
      </c>
      <c r="E107" s="96">
        <v>40</v>
      </c>
      <c r="F107" s="96">
        <v>10</v>
      </c>
      <c r="G107" s="96">
        <v>0</v>
      </c>
      <c r="H107" s="96">
        <v>178</v>
      </c>
      <c r="I107" s="96">
        <v>2</v>
      </c>
      <c r="J107" s="96">
        <v>18</v>
      </c>
      <c r="K107" s="97">
        <v>4</v>
      </c>
      <c r="L107" s="98">
        <f t="shared" si="7"/>
        <v>252</v>
      </c>
      <c r="M107" s="99">
        <f t="shared" si="8"/>
        <v>11747</v>
      </c>
      <c r="N107" s="94">
        <f t="shared" si="9"/>
        <v>212</v>
      </c>
      <c r="O107" s="100">
        <f t="shared" si="6"/>
        <v>40</v>
      </c>
      <c r="P107" s="94"/>
      <c r="Q107" s="100"/>
      <c r="R107" s="101">
        <f t="shared" si="3"/>
        <v>252</v>
      </c>
      <c r="S107" s="89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1"/>
    </row>
    <row r="108" spans="1:30" s="54" customFormat="1" ht="10.5" hidden="1">
      <c r="A108" s="134" t="s">
        <v>875</v>
      </c>
      <c r="B108" s="105" t="s">
        <v>876</v>
      </c>
      <c r="C108" s="94">
        <v>0</v>
      </c>
      <c r="D108" s="95">
        <v>0</v>
      </c>
      <c r="E108" s="96">
        <v>15</v>
      </c>
      <c r="F108" s="96">
        <v>43</v>
      </c>
      <c r="G108" s="96">
        <v>0</v>
      </c>
      <c r="H108" s="96">
        <v>134</v>
      </c>
      <c r="I108" s="96">
        <v>1</v>
      </c>
      <c r="J108" s="96">
        <v>2</v>
      </c>
      <c r="K108" s="97">
        <v>78</v>
      </c>
      <c r="L108" s="98">
        <f t="shared" si="7"/>
        <v>273</v>
      </c>
      <c r="M108" s="99">
        <f t="shared" si="8"/>
        <v>12020</v>
      </c>
      <c r="N108" s="94">
        <f t="shared" si="9"/>
        <v>258</v>
      </c>
      <c r="O108" s="100">
        <f t="shared" si="6"/>
        <v>15</v>
      </c>
      <c r="P108" s="94"/>
      <c r="Q108" s="100"/>
      <c r="R108" s="101">
        <f t="shared" si="3"/>
        <v>273</v>
      </c>
      <c r="S108" s="89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1"/>
    </row>
    <row r="109" spans="1:30" s="54" customFormat="1" ht="10.5" hidden="1">
      <c r="A109" s="167">
        <f>A102+A105</f>
        <v>3301</v>
      </c>
      <c r="B109" s="105" t="s">
        <v>857</v>
      </c>
      <c r="C109" s="94">
        <v>0</v>
      </c>
      <c r="D109" s="95">
        <v>0</v>
      </c>
      <c r="E109" s="96">
        <v>76</v>
      </c>
      <c r="F109" s="96">
        <v>0</v>
      </c>
      <c r="G109" s="96">
        <v>0</v>
      </c>
      <c r="H109" s="96">
        <v>95</v>
      </c>
      <c r="I109" s="96">
        <v>1</v>
      </c>
      <c r="J109" s="96">
        <v>0</v>
      </c>
      <c r="K109" s="97">
        <v>116</v>
      </c>
      <c r="L109" s="98">
        <f t="shared" si="7"/>
        <v>288</v>
      </c>
      <c r="M109" s="99">
        <f t="shared" si="8"/>
        <v>12308</v>
      </c>
      <c r="N109" s="94">
        <f t="shared" si="9"/>
        <v>212</v>
      </c>
      <c r="O109" s="100">
        <f t="shared" si="6"/>
        <v>76</v>
      </c>
      <c r="P109" s="94"/>
      <c r="Q109" s="100"/>
      <c r="R109" s="101">
        <f t="shared" si="3"/>
        <v>288</v>
      </c>
      <c r="S109" s="89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1"/>
    </row>
    <row r="110" spans="1:30" s="54" customFormat="1" ht="10.5" hidden="1">
      <c r="A110" s="163"/>
      <c r="B110" s="105" t="s">
        <v>858</v>
      </c>
      <c r="C110" s="94">
        <v>0</v>
      </c>
      <c r="D110" s="95">
        <v>0</v>
      </c>
      <c r="E110" s="96">
        <v>38</v>
      </c>
      <c r="F110" s="96">
        <v>34</v>
      </c>
      <c r="G110" s="96">
        <v>0</v>
      </c>
      <c r="H110" s="96">
        <v>45</v>
      </c>
      <c r="I110" s="96">
        <v>0</v>
      </c>
      <c r="J110" s="96">
        <v>0</v>
      </c>
      <c r="K110" s="97">
        <v>130</v>
      </c>
      <c r="L110" s="98">
        <f t="shared" si="7"/>
        <v>247</v>
      </c>
      <c r="M110" s="99">
        <f t="shared" si="8"/>
        <v>12555</v>
      </c>
      <c r="N110" s="94">
        <f t="shared" si="9"/>
        <v>209</v>
      </c>
      <c r="O110" s="100">
        <f t="shared" si="6"/>
        <v>38</v>
      </c>
      <c r="P110" s="94"/>
      <c r="Q110" s="100"/>
      <c r="R110" s="101">
        <f t="shared" si="3"/>
        <v>247</v>
      </c>
      <c r="S110" s="89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1"/>
    </row>
    <row r="111" spans="1:30" s="54" customFormat="1" ht="11.25" hidden="1" thickBot="1">
      <c r="A111" s="170"/>
      <c r="B111" s="165" t="s">
        <v>859</v>
      </c>
      <c r="C111" s="108">
        <v>0</v>
      </c>
      <c r="D111" s="109">
        <v>0</v>
      </c>
      <c r="E111" s="110">
        <v>88</v>
      </c>
      <c r="F111" s="110">
        <v>33</v>
      </c>
      <c r="G111" s="110">
        <v>0</v>
      </c>
      <c r="H111" s="110">
        <v>135</v>
      </c>
      <c r="I111" s="110">
        <v>0</v>
      </c>
      <c r="J111" s="110">
        <v>90</v>
      </c>
      <c r="K111" s="111">
        <v>0</v>
      </c>
      <c r="L111" s="112">
        <f>SUM(C111:K111)+13</f>
        <v>359</v>
      </c>
      <c r="M111" s="113">
        <f t="shared" si="8"/>
        <v>12914</v>
      </c>
      <c r="N111" s="108">
        <f t="shared" si="9"/>
        <v>258</v>
      </c>
      <c r="O111" s="114">
        <f t="shared" si="6"/>
        <v>88</v>
      </c>
      <c r="P111" s="115"/>
      <c r="Q111" s="116"/>
      <c r="R111" s="117">
        <f t="shared" si="3"/>
        <v>359</v>
      </c>
      <c r="S111" s="89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1"/>
    </row>
    <row r="112" spans="1:30" s="54" customFormat="1" ht="10.5" hidden="1">
      <c r="A112" s="171" t="s">
        <v>877</v>
      </c>
      <c r="B112" s="150" t="s">
        <v>846</v>
      </c>
      <c r="C112" s="127">
        <v>0</v>
      </c>
      <c r="D112" s="128">
        <v>0</v>
      </c>
      <c r="E112" s="129">
        <v>11</v>
      </c>
      <c r="F112" s="129">
        <v>43</v>
      </c>
      <c r="G112" s="129">
        <v>0</v>
      </c>
      <c r="H112" s="129">
        <v>125</v>
      </c>
      <c r="I112" s="129">
        <v>57</v>
      </c>
      <c r="J112" s="129">
        <v>110</v>
      </c>
      <c r="K112" s="130">
        <v>3</v>
      </c>
      <c r="L112" s="131">
        <f t="shared" si="7"/>
        <v>349</v>
      </c>
      <c r="M112" s="172">
        <f t="shared" si="8"/>
        <v>13263</v>
      </c>
      <c r="N112" s="127">
        <f t="shared" si="9"/>
        <v>338</v>
      </c>
      <c r="O112" s="133">
        <f t="shared" si="6"/>
        <v>11</v>
      </c>
      <c r="P112" s="81"/>
      <c r="Q112" s="87"/>
      <c r="R112" s="88">
        <f t="shared" si="3"/>
        <v>349</v>
      </c>
      <c r="S112" s="89"/>
      <c r="T112" s="173"/>
      <c r="U112" s="90"/>
      <c r="V112" s="90"/>
      <c r="W112" s="90"/>
      <c r="X112" s="90"/>
      <c r="Y112" s="90"/>
      <c r="Z112" s="90"/>
      <c r="AA112" s="90"/>
      <c r="AB112" s="90"/>
      <c r="AC112" s="90"/>
      <c r="AD112" s="91"/>
    </row>
    <row r="113" spans="1:30" s="54" customFormat="1" ht="10.5" hidden="1">
      <c r="A113" s="134"/>
      <c r="B113" s="105" t="s">
        <v>847</v>
      </c>
      <c r="C113" s="94">
        <v>0</v>
      </c>
      <c r="D113" s="95">
        <v>0</v>
      </c>
      <c r="E113" s="96">
        <v>0</v>
      </c>
      <c r="F113" s="96">
        <v>0</v>
      </c>
      <c r="G113" s="96">
        <v>0</v>
      </c>
      <c r="H113" s="96">
        <v>165</v>
      </c>
      <c r="I113" s="96">
        <v>74</v>
      </c>
      <c r="J113" s="96">
        <v>99</v>
      </c>
      <c r="K113" s="97">
        <v>13</v>
      </c>
      <c r="L113" s="98">
        <f t="shared" si="7"/>
        <v>351</v>
      </c>
      <c r="M113" s="174">
        <f t="shared" si="8"/>
        <v>13614</v>
      </c>
      <c r="N113" s="94">
        <f t="shared" si="9"/>
        <v>351</v>
      </c>
      <c r="O113" s="100">
        <f t="shared" si="6"/>
        <v>0</v>
      </c>
      <c r="P113" s="94"/>
      <c r="Q113" s="100"/>
      <c r="R113" s="101">
        <f t="shared" si="3"/>
        <v>351</v>
      </c>
      <c r="S113" s="89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1"/>
    </row>
    <row r="114" spans="1:30" s="54" customFormat="1" ht="10.5" hidden="1">
      <c r="A114" s="135"/>
      <c r="B114" s="105" t="s">
        <v>848</v>
      </c>
      <c r="C114" s="94">
        <v>0</v>
      </c>
      <c r="D114" s="95">
        <v>0</v>
      </c>
      <c r="E114" s="96">
        <v>16</v>
      </c>
      <c r="F114" s="96">
        <v>0</v>
      </c>
      <c r="G114" s="96">
        <v>0</v>
      </c>
      <c r="H114" s="96">
        <v>228</v>
      </c>
      <c r="I114" s="96">
        <v>9</v>
      </c>
      <c r="J114" s="96">
        <v>151</v>
      </c>
      <c r="K114" s="97">
        <v>25</v>
      </c>
      <c r="L114" s="98">
        <f t="shared" si="7"/>
        <v>429</v>
      </c>
      <c r="M114" s="174">
        <f t="shared" si="8"/>
        <v>14043</v>
      </c>
      <c r="N114" s="94">
        <f t="shared" si="9"/>
        <v>413</v>
      </c>
      <c r="O114" s="100">
        <f t="shared" si="6"/>
        <v>16</v>
      </c>
      <c r="P114" s="94"/>
      <c r="Q114" s="100"/>
      <c r="R114" s="101">
        <f t="shared" si="3"/>
        <v>429</v>
      </c>
      <c r="S114" s="89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1"/>
    </row>
    <row r="115" spans="1:30" s="54" customFormat="1" ht="10.5" hidden="1">
      <c r="A115" s="175"/>
      <c r="B115" s="105" t="s">
        <v>849</v>
      </c>
      <c r="C115" s="94">
        <v>0</v>
      </c>
      <c r="D115" s="95">
        <v>0</v>
      </c>
      <c r="E115" s="96">
        <v>59</v>
      </c>
      <c r="F115" s="96">
        <v>0</v>
      </c>
      <c r="G115" s="96">
        <v>0</v>
      </c>
      <c r="H115" s="96">
        <v>142</v>
      </c>
      <c r="I115" s="96">
        <v>14</v>
      </c>
      <c r="J115" s="96">
        <v>159</v>
      </c>
      <c r="K115" s="97">
        <v>35</v>
      </c>
      <c r="L115" s="98">
        <f t="shared" si="7"/>
        <v>409</v>
      </c>
      <c r="M115" s="176">
        <f t="shared" si="8"/>
        <v>14452</v>
      </c>
      <c r="N115" s="177">
        <f t="shared" si="9"/>
        <v>350</v>
      </c>
      <c r="O115" s="178">
        <f t="shared" si="6"/>
        <v>59</v>
      </c>
      <c r="P115" s="177"/>
      <c r="Q115" s="178"/>
      <c r="R115" s="179">
        <f t="shared" si="3"/>
        <v>409</v>
      </c>
      <c r="S115" s="89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1"/>
    </row>
    <row r="116" spans="1:30" s="54" customFormat="1" ht="10.5" hidden="1">
      <c r="A116" s="134" t="s">
        <v>850</v>
      </c>
      <c r="B116" s="105" t="s">
        <v>878</v>
      </c>
      <c r="C116" s="94">
        <v>0</v>
      </c>
      <c r="D116" s="95">
        <v>0</v>
      </c>
      <c r="E116" s="96">
        <v>38</v>
      </c>
      <c r="F116" s="96">
        <v>49</v>
      </c>
      <c r="G116" s="96">
        <v>0</v>
      </c>
      <c r="H116" s="96">
        <v>21</v>
      </c>
      <c r="I116" s="96">
        <v>0</v>
      </c>
      <c r="J116" s="96">
        <v>19</v>
      </c>
      <c r="K116" s="97">
        <v>52</v>
      </c>
      <c r="L116" s="98">
        <f t="shared" si="7"/>
        <v>179</v>
      </c>
      <c r="M116" s="174">
        <f t="shared" si="8"/>
        <v>14631</v>
      </c>
      <c r="N116" s="94">
        <f t="shared" si="9"/>
        <v>141</v>
      </c>
      <c r="O116" s="100">
        <f t="shared" si="6"/>
        <v>38</v>
      </c>
      <c r="P116" s="94"/>
      <c r="Q116" s="100"/>
      <c r="R116" s="101">
        <f t="shared" si="3"/>
        <v>179</v>
      </c>
      <c r="S116" s="89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1"/>
    </row>
    <row r="117" spans="1:30" s="54" customFormat="1" ht="10.5" hidden="1">
      <c r="A117" s="135">
        <f>SUM(L112:L123)</f>
        <v>3266</v>
      </c>
      <c r="B117" s="105" t="s">
        <v>852</v>
      </c>
      <c r="C117" s="94">
        <v>0</v>
      </c>
      <c r="D117" s="95">
        <v>0</v>
      </c>
      <c r="E117" s="96">
        <v>34</v>
      </c>
      <c r="F117" s="96">
        <v>26</v>
      </c>
      <c r="G117" s="96">
        <v>0</v>
      </c>
      <c r="H117" s="96">
        <v>81</v>
      </c>
      <c r="I117" s="96">
        <v>15</v>
      </c>
      <c r="J117" s="96">
        <v>75</v>
      </c>
      <c r="K117" s="97">
        <v>158</v>
      </c>
      <c r="L117" s="98">
        <f t="shared" si="7"/>
        <v>389</v>
      </c>
      <c r="M117" s="174">
        <f t="shared" si="8"/>
        <v>15020</v>
      </c>
      <c r="N117" s="94">
        <f t="shared" si="9"/>
        <v>355</v>
      </c>
      <c r="O117" s="100">
        <f t="shared" si="6"/>
        <v>34</v>
      </c>
      <c r="P117" s="94"/>
      <c r="Q117" s="100"/>
      <c r="R117" s="101">
        <f t="shared" si="3"/>
        <v>389</v>
      </c>
      <c r="S117" s="89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1"/>
    </row>
    <row r="118" spans="1:30" s="54" customFormat="1" ht="10.5" hidden="1">
      <c r="A118" s="180"/>
      <c r="B118" s="105" t="s">
        <v>853</v>
      </c>
      <c r="C118" s="94">
        <v>0</v>
      </c>
      <c r="D118" s="95">
        <v>0</v>
      </c>
      <c r="E118" s="96">
        <v>40</v>
      </c>
      <c r="F118" s="96">
        <v>46</v>
      </c>
      <c r="G118" s="96">
        <v>0</v>
      </c>
      <c r="H118" s="96">
        <v>108</v>
      </c>
      <c r="I118" s="96">
        <v>1</v>
      </c>
      <c r="J118" s="96">
        <v>79</v>
      </c>
      <c r="K118" s="97">
        <v>106</v>
      </c>
      <c r="L118" s="98">
        <f t="shared" si="7"/>
        <v>380</v>
      </c>
      <c r="M118" s="174">
        <f t="shared" si="8"/>
        <v>15400</v>
      </c>
      <c r="N118" s="94">
        <f t="shared" si="9"/>
        <v>340</v>
      </c>
      <c r="O118" s="100">
        <f t="shared" si="6"/>
        <v>40</v>
      </c>
      <c r="P118" s="94"/>
      <c r="Q118" s="100"/>
      <c r="R118" s="101">
        <f t="shared" si="3"/>
        <v>380</v>
      </c>
      <c r="S118" s="89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1"/>
    </row>
    <row r="119" spans="1:30" s="54" customFormat="1" ht="10.5" hidden="1">
      <c r="A119" s="181"/>
      <c r="B119" s="105" t="s">
        <v>855</v>
      </c>
      <c r="C119" s="94">
        <v>0</v>
      </c>
      <c r="D119" s="95">
        <v>0</v>
      </c>
      <c r="E119" s="96">
        <v>48</v>
      </c>
      <c r="F119" s="96">
        <v>9</v>
      </c>
      <c r="G119" s="96">
        <v>0</v>
      </c>
      <c r="H119" s="96">
        <v>148</v>
      </c>
      <c r="I119" s="96">
        <v>13</v>
      </c>
      <c r="J119" s="96">
        <v>11</v>
      </c>
      <c r="K119" s="97">
        <v>67</v>
      </c>
      <c r="L119" s="98">
        <f t="shared" si="7"/>
        <v>296</v>
      </c>
      <c r="M119" s="174">
        <f t="shared" si="8"/>
        <v>15696</v>
      </c>
      <c r="N119" s="94">
        <f t="shared" si="9"/>
        <v>248</v>
      </c>
      <c r="O119" s="100">
        <f t="shared" si="6"/>
        <v>48</v>
      </c>
      <c r="P119" s="94"/>
      <c r="Q119" s="100"/>
      <c r="R119" s="101">
        <f t="shared" si="3"/>
        <v>296</v>
      </c>
      <c r="S119" s="182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91"/>
    </row>
    <row r="120" spans="1:30" s="54" customFormat="1" ht="10.5" hidden="1">
      <c r="A120" s="134" t="s">
        <v>854</v>
      </c>
      <c r="B120" s="105" t="s">
        <v>879</v>
      </c>
      <c r="C120" s="94">
        <v>0</v>
      </c>
      <c r="D120" s="95">
        <v>0</v>
      </c>
      <c r="E120" s="96">
        <v>5</v>
      </c>
      <c r="F120" s="96">
        <v>0</v>
      </c>
      <c r="G120" s="96">
        <v>0</v>
      </c>
      <c r="H120" s="96">
        <v>116</v>
      </c>
      <c r="I120" s="96">
        <v>2</v>
      </c>
      <c r="J120" s="96">
        <v>30</v>
      </c>
      <c r="K120" s="97">
        <v>44</v>
      </c>
      <c r="L120" s="98">
        <f t="shared" si="7"/>
        <v>197</v>
      </c>
      <c r="M120" s="174">
        <f t="shared" si="8"/>
        <v>15893</v>
      </c>
      <c r="N120" s="94">
        <f t="shared" si="9"/>
        <v>192</v>
      </c>
      <c r="O120" s="100">
        <f t="shared" si="6"/>
        <v>5</v>
      </c>
      <c r="P120" s="94"/>
      <c r="Q120" s="100"/>
      <c r="R120" s="101">
        <f t="shared" si="3"/>
        <v>197</v>
      </c>
      <c r="S120" s="182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91"/>
    </row>
    <row r="121" spans="1:30" s="54" customFormat="1" ht="10.5" hidden="1">
      <c r="A121" s="135">
        <f>A114+A117</f>
        <v>3266</v>
      </c>
      <c r="B121" s="105" t="s">
        <v>857</v>
      </c>
      <c r="C121" s="94">
        <v>0</v>
      </c>
      <c r="D121" s="95">
        <v>0</v>
      </c>
      <c r="E121" s="96">
        <v>2</v>
      </c>
      <c r="F121" s="96">
        <v>0</v>
      </c>
      <c r="G121" s="96">
        <v>0</v>
      </c>
      <c r="H121" s="96">
        <v>23</v>
      </c>
      <c r="I121" s="96">
        <v>5</v>
      </c>
      <c r="J121" s="96">
        <v>0</v>
      </c>
      <c r="K121" s="97">
        <v>90</v>
      </c>
      <c r="L121" s="98">
        <f t="shared" si="7"/>
        <v>120</v>
      </c>
      <c r="M121" s="174">
        <f t="shared" si="8"/>
        <v>16013</v>
      </c>
      <c r="N121" s="94">
        <f t="shared" si="9"/>
        <v>118</v>
      </c>
      <c r="O121" s="100">
        <f t="shared" si="6"/>
        <v>2</v>
      </c>
      <c r="P121" s="94"/>
      <c r="Q121" s="100"/>
      <c r="R121" s="101">
        <f t="shared" si="3"/>
        <v>120</v>
      </c>
      <c r="S121" s="182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91"/>
    </row>
    <row r="122" spans="1:30" s="54" customFormat="1" ht="10.5" hidden="1">
      <c r="A122" s="180"/>
      <c r="B122" s="105" t="s">
        <v>858</v>
      </c>
      <c r="C122" s="94">
        <v>0</v>
      </c>
      <c r="D122" s="95">
        <v>0</v>
      </c>
      <c r="E122" s="96">
        <v>0</v>
      </c>
      <c r="F122" s="96">
        <v>0</v>
      </c>
      <c r="G122" s="96">
        <v>0</v>
      </c>
      <c r="H122" s="96">
        <v>3</v>
      </c>
      <c r="I122" s="96">
        <v>0</v>
      </c>
      <c r="J122" s="96">
        <v>0</v>
      </c>
      <c r="K122" s="97">
        <v>124</v>
      </c>
      <c r="L122" s="98">
        <f t="shared" si="7"/>
        <v>127</v>
      </c>
      <c r="M122" s="174">
        <f t="shared" si="8"/>
        <v>16140</v>
      </c>
      <c r="N122" s="94">
        <f t="shared" si="9"/>
        <v>127</v>
      </c>
      <c r="O122" s="100">
        <f t="shared" si="6"/>
        <v>0</v>
      </c>
      <c r="P122" s="94"/>
      <c r="Q122" s="100"/>
      <c r="R122" s="101">
        <f t="shared" si="3"/>
        <v>127</v>
      </c>
      <c r="S122" s="182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91"/>
    </row>
    <row r="123" spans="1:30" s="54" customFormat="1" ht="11.25" hidden="1" thickBot="1">
      <c r="A123" s="184"/>
      <c r="B123" s="165" t="s">
        <v>859</v>
      </c>
      <c r="C123" s="108">
        <v>0</v>
      </c>
      <c r="D123" s="109">
        <v>0</v>
      </c>
      <c r="E123" s="110">
        <v>0</v>
      </c>
      <c r="F123" s="110">
        <v>17</v>
      </c>
      <c r="G123" s="110">
        <v>0</v>
      </c>
      <c r="H123" s="110">
        <v>16</v>
      </c>
      <c r="I123" s="110">
        <v>0</v>
      </c>
      <c r="J123" s="110">
        <v>1</v>
      </c>
      <c r="K123" s="111">
        <v>6</v>
      </c>
      <c r="L123" s="112">
        <f t="shared" si="7"/>
        <v>40</v>
      </c>
      <c r="M123" s="185">
        <f t="shared" si="8"/>
        <v>16180</v>
      </c>
      <c r="N123" s="108">
        <f t="shared" si="9"/>
        <v>40</v>
      </c>
      <c r="O123" s="114">
        <f t="shared" si="6"/>
        <v>0</v>
      </c>
      <c r="P123" s="115"/>
      <c r="Q123" s="116"/>
      <c r="R123" s="117">
        <f t="shared" si="3"/>
        <v>40</v>
      </c>
      <c r="S123" s="18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91"/>
    </row>
    <row r="124" spans="1:30" s="54" customFormat="1" ht="10.5" hidden="1">
      <c r="A124" s="163" t="s">
        <v>880</v>
      </c>
      <c r="B124" s="186" t="s">
        <v>846</v>
      </c>
      <c r="C124" s="81">
        <v>0</v>
      </c>
      <c r="D124" s="82">
        <v>0</v>
      </c>
      <c r="E124" s="83">
        <v>0</v>
      </c>
      <c r="F124" s="83">
        <v>0</v>
      </c>
      <c r="G124" s="83">
        <v>0</v>
      </c>
      <c r="H124" s="83">
        <v>59</v>
      </c>
      <c r="I124" s="83">
        <v>4</v>
      </c>
      <c r="J124" s="83">
        <v>5</v>
      </c>
      <c r="K124" s="84">
        <v>0</v>
      </c>
      <c r="L124" s="85">
        <f t="shared" si="7"/>
        <v>68</v>
      </c>
      <c r="M124" s="86">
        <f t="shared" si="8"/>
        <v>16248</v>
      </c>
      <c r="N124" s="81">
        <f t="shared" si="9"/>
        <v>68</v>
      </c>
      <c r="O124" s="87">
        <f t="shared" si="6"/>
        <v>0</v>
      </c>
      <c r="P124" s="81"/>
      <c r="Q124" s="87"/>
      <c r="R124" s="88">
        <f t="shared" si="3"/>
        <v>68</v>
      </c>
      <c r="S124" s="187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88"/>
    </row>
    <row r="125" spans="1:30" s="54" customFormat="1" ht="10.5" hidden="1">
      <c r="A125" s="134" t="s">
        <v>881</v>
      </c>
      <c r="B125" s="189" t="s">
        <v>847</v>
      </c>
      <c r="C125" s="177">
        <v>0</v>
      </c>
      <c r="D125" s="190">
        <v>0</v>
      </c>
      <c r="E125" s="191">
        <v>35</v>
      </c>
      <c r="F125" s="191">
        <v>0</v>
      </c>
      <c r="G125" s="191">
        <v>0</v>
      </c>
      <c r="H125" s="191">
        <v>29</v>
      </c>
      <c r="I125" s="191">
        <v>58</v>
      </c>
      <c r="J125" s="191">
        <v>0</v>
      </c>
      <c r="K125" s="192">
        <v>54</v>
      </c>
      <c r="L125" s="98">
        <f t="shared" si="7"/>
        <v>176</v>
      </c>
      <c r="M125" s="193">
        <f t="shared" si="8"/>
        <v>16424</v>
      </c>
      <c r="N125" s="177">
        <f t="shared" si="9"/>
        <v>141</v>
      </c>
      <c r="O125" s="178">
        <f t="shared" si="6"/>
        <v>35</v>
      </c>
      <c r="P125" s="177"/>
      <c r="Q125" s="178"/>
      <c r="R125" s="179">
        <f t="shared" si="3"/>
        <v>176</v>
      </c>
      <c r="S125" s="187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88"/>
    </row>
    <row r="126" spans="1:30" s="54" customFormat="1" ht="10.5" hidden="1">
      <c r="A126" s="135">
        <f>SUM(L124:L135)</f>
        <v>1175</v>
      </c>
      <c r="B126" s="105" t="s">
        <v>848</v>
      </c>
      <c r="C126" s="94">
        <v>0</v>
      </c>
      <c r="D126" s="95">
        <v>0</v>
      </c>
      <c r="E126" s="96">
        <v>1</v>
      </c>
      <c r="F126" s="96">
        <v>0</v>
      </c>
      <c r="G126" s="96">
        <v>0</v>
      </c>
      <c r="H126" s="96">
        <v>65</v>
      </c>
      <c r="I126" s="96">
        <v>37</v>
      </c>
      <c r="J126" s="96">
        <v>0</v>
      </c>
      <c r="K126" s="97">
        <v>54</v>
      </c>
      <c r="L126" s="98">
        <f t="shared" si="7"/>
        <v>157</v>
      </c>
      <c r="M126" s="99">
        <f t="shared" si="8"/>
        <v>16581</v>
      </c>
      <c r="N126" s="94">
        <f t="shared" si="9"/>
        <v>156</v>
      </c>
      <c r="O126" s="100">
        <f t="shared" si="6"/>
        <v>1</v>
      </c>
      <c r="P126" s="94"/>
      <c r="Q126" s="100"/>
      <c r="R126" s="101">
        <f t="shared" si="3"/>
        <v>157</v>
      </c>
      <c r="S126" s="187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88"/>
    </row>
    <row r="127" spans="1:30" s="54" customFormat="1" ht="10.5" hidden="1">
      <c r="A127" s="194"/>
      <c r="B127" s="105" t="s">
        <v>849</v>
      </c>
      <c r="C127" s="94">
        <v>0</v>
      </c>
      <c r="D127" s="95">
        <v>0</v>
      </c>
      <c r="E127" s="96">
        <v>15</v>
      </c>
      <c r="F127" s="96">
        <v>0</v>
      </c>
      <c r="G127" s="96">
        <v>0</v>
      </c>
      <c r="H127" s="96">
        <v>33</v>
      </c>
      <c r="I127" s="96">
        <v>37</v>
      </c>
      <c r="J127" s="96">
        <v>0</v>
      </c>
      <c r="K127" s="97">
        <v>29</v>
      </c>
      <c r="L127" s="98">
        <f t="shared" si="7"/>
        <v>114</v>
      </c>
      <c r="M127" s="99">
        <f t="shared" si="8"/>
        <v>16695</v>
      </c>
      <c r="N127" s="94">
        <f t="shared" si="9"/>
        <v>99</v>
      </c>
      <c r="O127" s="100">
        <f t="shared" si="6"/>
        <v>15</v>
      </c>
      <c r="P127" s="94"/>
      <c r="Q127" s="100"/>
      <c r="R127" s="101">
        <f t="shared" si="3"/>
        <v>114</v>
      </c>
      <c r="S127" s="187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88"/>
    </row>
    <row r="128" spans="1:30" s="54" customFormat="1" ht="10.5" hidden="1">
      <c r="A128" s="195"/>
      <c r="B128" s="105" t="s">
        <v>878</v>
      </c>
      <c r="C128" s="94">
        <v>0</v>
      </c>
      <c r="D128" s="95">
        <v>0</v>
      </c>
      <c r="E128" s="96">
        <v>11</v>
      </c>
      <c r="F128" s="96">
        <v>13</v>
      </c>
      <c r="G128" s="96">
        <v>0</v>
      </c>
      <c r="H128" s="96">
        <v>26</v>
      </c>
      <c r="I128" s="96">
        <v>51</v>
      </c>
      <c r="J128" s="96">
        <v>2</v>
      </c>
      <c r="K128" s="97">
        <v>13</v>
      </c>
      <c r="L128" s="98">
        <f t="shared" si="7"/>
        <v>116</v>
      </c>
      <c r="M128" s="99">
        <f t="shared" si="8"/>
        <v>16811</v>
      </c>
      <c r="N128" s="94">
        <f t="shared" si="9"/>
        <v>105</v>
      </c>
      <c r="O128" s="100">
        <f t="shared" si="6"/>
        <v>11</v>
      </c>
      <c r="P128" s="94"/>
      <c r="Q128" s="100"/>
      <c r="R128" s="101">
        <f t="shared" si="3"/>
        <v>116</v>
      </c>
      <c r="S128" s="187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88"/>
    </row>
    <row r="129" spans="1:30" s="54" customFormat="1" ht="10.5" hidden="1">
      <c r="A129" s="196"/>
      <c r="B129" s="105" t="s">
        <v>852</v>
      </c>
      <c r="C129" s="94">
        <v>0</v>
      </c>
      <c r="D129" s="95">
        <v>0</v>
      </c>
      <c r="E129" s="96">
        <v>0</v>
      </c>
      <c r="F129" s="96">
        <v>20</v>
      </c>
      <c r="G129" s="96">
        <v>0</v>
      </c>
      <c r="H129" s="96">
        <v>56</v>
      </c>
      <c r="I129" s="96">
        <v>1</v>
      </c>
      <c r="J129" s="96">
        <v>0</v>
      </c>
      <c r="K129" s="97">
        <v>62</v>
      </c>
      <c r="L129" s="98">
        <f t="shared" si="7"/>
        <v>139</v>
      </c>
      <c r="M129" s="99">
        <f t="shared" si="8"/>
        <v>16950</v>
      </c>
      <c r="N129" s="94">
        <f t="shared" si="9"/>
        <v>139</v>
      </c>
      <c r="O129" s="100">
        <f t="shared" si="6"/>
        <v>0</v>
      </c>
      <c r="P129" s="94"/>
      <c r="Q129" s="100"/>
      <c r="R129" s="101">
        <f t="shared" si="3"/>
        <v>139</v>
      </c>
      <c r="S129" s="187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88"/>
    </row>
    <row r="130" spans="1:30" s="54" customFormat="1" ht="10.5" hidden="1">
      <c r="A130" s="134"/>
      <c r="B130" s="105" t="s">
        <v>853</v>
      </c>
      <c r="C130" s="94">
        <v>0</v>
      </c>
      <c r="D130" s="95">
        <v>0</v>
      </c>
      <c r="E130" s="96">
        <v>1</v>
      </c>
      <c r="F130" s="96">
        <v>9</v>
      </c>
      <c r="G130" s="96">
        <v>0</v>
      </c>
      <c r="H130" s="96">
        <v>26</v>
      </c>
      <c r="I130" s="96">
        <v>3</v>
      </c>
      <c r="J130" s="96">
        <v>0</v>
      </c>
      <c r="K130" s="97">
        <v>69</v>
      </c>
      <c r="L130" s="98">
        <f t="shared" si="7"/>
        <v>108</v>
      </c>
      <c r="M130" s="99">
        <f t="shared" si="8"/>
        <v>17058</v>
      </c>
      <c r="N130" s="94">
        <f t="shared" si="9"/>
        <v>107</v>
      </c>
      <c r="O130" s="100">
        <f t="shared" si="6"/>
        <v>1</v>
      </c>
      <c r="P130" s="94"/>
      <c r="Q130" s="100"/>
      <c r="R130" s="101">
        <f t="shared" si="3"/>
        <v>108</v>
      </c>
      <c r="S130" s="187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88"/>
    </row>
    <row r="131" spans="1:30" s="54" customFormat="1" ht="10.5" hidden="1">
      <c r="A131" s="135"/>
      <c r="B131" s="105" t="s">
        <v>855</v>
      </c>
      <c r="C131" s="94">
        <v>0</v>
      </c>
      <c r="D131" s="95">
        <v>0</v>
      </c>
      <c r="E131" s="96">
        <v>5</v>
      </c>
      <c r="F131" s="96">
        <v>0</v>
      </c>
      <c r="G131" s="96">
        <v>0</v>
      </c>
      <c r="H131" s="96">
        <v>5</v>
      </c>
      <c r="I131" s="96">
        <v>4</v>
      </c>
      <c r="J131" s="96">
        <v>0</v>
      </c>
      <c r="K131" s="97">
        <v>93</v>
      </c>
      <c r="L131" s="98">
        <f t="shared" si="7"/>
        <v>107</v>
      </c>
      <c r="M131" s="99">
        <f t="shared" si="8"/>
        <v>17165</v>
      </c>
      <c r="N131" s="94">
        <f t="shared" si="9"/>
        <v>102</v>
      </c>
      <c r="O131" s="100">
        <f t="shared" si="6"/>
        <v>5</v>
      </c>
      <c r="P131" s="94"/>
      <c r="Q131" s="100"/>
      <c r="R131" s="101">
        <f t="shared" si="3"/>
        <v>107</v>
      </c>
      <c r="S131" s="187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88"/>
    </row>
    <row r="132" spans="1:30" s="54" customFormat="1" ht="10.5" hidden="1">
      <c r="A132" s="194"/>
      <c r="B132" s="105" t="s">
        <v>882</v>
      </c>
      <c r="C132" s="94">
        <v>0</v>
      </c>
      <c r="D132" s="95">
        <v>0</v>
      </c>
      <c r="E132" s="96">
        <v>1</v>
      </c>
      <c r="F132" s="96">
        <v>2</v>
      </c>
      <c r="G132" s="96">
        <v>0</v>
      </c>
      <c r="H132" s="96">
        <v>6</v>
      </c>
      <c r="I132" s="96">
        <v>2</v>
      </c>
      <c r="J132" s="96">
        <v>0</v>
      </c>
      <c r="K132" s="97">
        <v>62</v>
      </c>
      <c r="L132" s="98">
        <f t="shared" si="7"/>
        <v>73</v>
      </c>
      <c r="M132" s="99">
        <f t="shared" si="8"/>
        <v>17238</v>
      </c>
      <c r="N132" s="94">
        <f t="shared" si="9"/>
        <v>72</v>
      </c>
      <c r="O132" s="100">
        <f t="shared" si="6"/>
        <v>1</v>
      </c>
      <c r="P132" s="94"/>
      <c r="Q132" s="100"/>
      <c r="R132" s="101">
        <f t="shared" ref="R132:R195" si="10">L132+P132</f>
        <v>73</v>
      </c>
      <c r="S132" s="187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88"/>
    </row>
    <row r="133" spans="1:30" s="54" customFormat="1" ht="10.5" hidden="1">
      <c r="A133" s="197"/>
      <c r="B133" s="105" t="s">
        <v>857</v>
      </c>
      <c r="C133" s="94">
        <v>0</v>
      </c>
      <c r="D133" s="95">
        <v>0</v>
      </c>
      <c r="E133" s="96">
        <v>3</v>
      </c>
      <c r="F133" s="96">
        <v>2</v>
      </c>
      <c r="G133" s="96">
        <v>0</v>
      </c>
      <c r="H133" s="96">
        <v>11</v>
      </c>
      <c r="I133" s="96">
        <v>3</v>
      </c>
      <c r="J133" s="96">
        <v>0</v>
      </c>
      <c r="K133" s="97">
        <v>28</v>
      </c>
      <c r="L133" s="98">
        <f t="shared" si="7"/>
        <v>47</v>
      </c>
      <c r="M133" s="99">
        <f t="shared" si="8"/>
        <v>17285</v>
      </c>
      <c r="N133" s="94">
        <f t="shared" si="9"/>
        <v>44</v>
      </c>
      <c r="O133" s="100">
        <f t="shared" si="6"/>
        <v>3</v>
      </c>
      <c r="P133" s="94"/>
      <c r="Q133" s="100"/>
      <c r="R133" s="101">
        <f t="shared" si="10"/>
        <v>47</v>
      </c>
      <c r="S133" s="187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88"/>
    </row>
    <row r="134" spans="1:30" s="54" customFormat="1" ht="10.5" hidden="1">
      <c r="A134" s="180"/>
      <c r="B134" s="189" t="s">
        <v>858</v>
      </c>
      <c r="C134" s="177">
        <v>0</v>
      </c>
      <c r="D134" s="190">
        <v>0</v>
      </c>
      <c r="E134" s="191">
        <v>0</v>
      </c>
      <c r="F134" s="191">
        <v>0</v>
      </c>
      <c r="G134" s="191">
        <v>0</v>
      </c>
      <c r="H134" s="191">
        <v>7</v>
      </c>
      <c r="I134" s="191">
        <v>3</v>
      </c>
      <c r="J134" s="191">
        <v>0</v>
      </c>
      <c r="K134" s="192">
        <v>32</v>
      </c>
      <c r="L134" s="98">
        <f t="shared" si="7"/>
        <v>42</v>
      </c>
      <c r="M134" s="193">
        <f t="shared" si="8"/>
        <v>17327</v>
      </c>
      <c r="N134" s="177">
        <f t="shared" si="9"/>
        <v>42</v>
      </c>
      <c r="O134" s="178">
        <f t="shared" si="6"/>
        <v>0</v>
      </c>
      <c r="P134" s="177"/>
      <c r="Q134" s="178"/>
      <c r="R134" s="179">
        <f t="shared" si="10"/>
        <v>42</v>
      </c>
      <c r="S134" s="198"/>
      <c r="T134" s="199"/>
      <c r="U134" s="199"/>
      <c r="V134" s="199"/>
      <c r="W134" s="199"/>
      <c r="X134" s="199"/>
      <c r="Y134" s="199"/>
      <c r="Z134" s="199"/>
      <c r="AA134" s="199"/>
      <c r="AB134" s="199"/>
      <c r="AC134" s="199"/>
      <c r="AD134" s="200"/>
    </row>
    <row r="135" spans="1:30" s="54" customFormat="1" ht="11.25" hidden="1" thickBot="1">
      <c r="A135" s="201"/>
      <c r="B135" s="165" t="s">
        <v>859</v>
      </c>
      <c r="C135" s="108">
        <v>0</v>
      </c>
      <c r="D135" s="109">
        <v>0</v>
      </c>
      <c r="E135" s="110">
        <v>13</v>
      </c>
      <c r="F135" s="110">
        <v>14</v>
      </c>
      <c r="G135" s="110">
        <v>0</v>
      </c>
      <c r="H135" s="110">
        <v>1</v>
      </c>
      <c r="I135" s="110">
        <v>0</v>
      </c>
      <c r="J135" s="110">
        <v>0</v>
      </c>
      <c r="K135" s="111">
        <v>0</v>
      </c>
      <c r="L135" s="112">
        <f t="shared" si="7"/>
        <v>28</v>
      </c>
      <c r="M135" s="113">
        <f t="shared" si="8"/>
        <v>17355</v>
      </c>
      <c r="N135" s="108">
        <f t="shared" si="9"/>
        <v>15</v>
      </c>
      <c r="O135" s="114">
        <f t="shared" si="6"/>
        <v>13</v>
      </c>
      <c r="P135" s="115"/>
      <c r="Q135" s="116"/>
      <c r="R135" s="117">
        <f t="shared" si="10"/>
        <v>28</v>
      </c>
      <c r="S135" s="202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4"/>
    </row>
    <row r="136" spans="1:30" s="54" customFormat="1" ht="10.5" hidden="1">
      <c r="A136" s="171" t="s">
        <v>883</v>
      </c>
      <c r="B136" s="150" t="s">
        <v>846</v>
      </c>
      <c r="C136" s="127">
        <v>0</v>
      </c>
      <c r="D136" s="128">
        <v>0</v>
      </c>
      <c r="E136" s="129">
        <v>12</v>
      </c>
      <c r="F136" s="129">
        <v>8</v>
      </c>
      <c r="G136" s="129">
        <v>0</v>
      </c>
      <c r="H136" s="129">
        <v>0</v>
      </c>
      <c r="I136" s="129">
        <v>2</v>
      </c>
      <c r="J136" s="129">
        <v>0</v>
      </c>
      <c r="K136" s="130">
        <v>0</v>
      </c>
      <c r="L136" s="131">
        <f t="shared" si="7"/>
        <v>22</v>
      </c>
      <c r="M136" s="132">
        <f t="shared" si="8"/>
        <v>17377</v>
      </c>
      <c r="N136" s="127">
        <f t="shared" si="9"/>
        <v>10</v>
      </c>
      <c r="O136" s="133">
        <f t="shared" si="6"/>
        <v>12</v>
      </c>
      <c r="P136" s="205"/>
      <c r="Q136" s="133"/>
      <c r="R136" s="88">
        <f t="shared" si="10"/>
        <v>22</v>
      </c>
      <c r="S136" s="206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8"/>
    </row>
    <row r="137" spans="1:30" s="54" customFormat="1" ht="10.5" hidden="1">
      <c r="A137" s="134" t="s">
        <v>881</v>
      </c>
      <c r="B137" s="105" t="s">
        <v>847</v>
      </c>
      <c r="C137" s="94">
        <v>0</v>
      </c>
      <c r="D137" s="95">
        <v>0</v>
      </c>
      <c r="E137" s="96">
        <v>10</v>
      </c>
      <c r="F137" s="96">
        <v>4</v>
      </c>
      <c r="G137" s="96">
        <v>0</v>
      </c>
      <c r="H137" s="96">
        <v>1</v>
      </c>
      <c r="I137" s="96">
        <v>2</v>
      </c>
      <c r="J137" s="96">
        <v>0</v>
      </c>
      <c r="K137" s="97">
        <v>11</v>
      </c>
      <c r="L137" s="98">
        <f t="shared" si="7"/>
        <v>28</v>
      </c>
      <c r="M137" s="99">
        <f t="shared" si="8"/>
        <v>17405</v>
      </c>
      <c r="N137" s="94">
        <f t="shared" si="9"/>
        <v>18</v>
      </c>
      <c r="O137" s="100">
        <f t="shared" si="6"/>
        <v>10</v>
      </c>
      <c r="P137" s="209"/>
      <c r="Q137" s="100"/>
      <c r="R137" s="101">
        <f t="shared" si="10"/>
        <v>28</v>
      </c>
      <c r="S137" s="187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88"/>
    </row>
    <row r="138" spans="1:30" s="54" customFormat="1" ht="10.5" hidden="1">
      <c r="A138" s="135">
        <f>SUM(L136:L147)</f>
        <v>583</v>
      </c>
      <c r="B138" s="105" t="s">
        <v>848</v>
      </c>
      <c r="C138" s="94">
        <v>0</v>
      </c>
      <c r="D138" s="95">
        <v>0</v>
      </c>
      <c r="E138" s="96">
        <v>2</v>
      </c>
      <c r="F138" s="96">
        <v>8</v>
      </c>
      <c r="G138" s="96">
        <v>0</v>
      </c>
      <c r="H138" s="96">
        <v>0</v>
      </c>
      <c r="I138" s="96">
        <v>0</v>
      </c>
      <c r="J138" s="96">
        <v>0</v>
      </c>
      <c r="K138" s="100">
        <v>5</v>
      </c>
      <c r="L138" s="98">
        <f t="shared" si="7"/>
        <v>15</v>
      </c>
      <c r="M138" s="99">
        <f t="shared" si="8"/>
        <v>17420</v>
      </c>
      <c r="N138" s="94">
        <f t="shared" si="9"/>
        <v>13</v>
      </c>
      <c r="O138" s="100">
        <f t="shared" si="6"/>
        <v>2</v>
      </c>
      <c r="P138" s="209"/>
      <c r="Q138" s="100"/>
      <c r="R138" s="101">
        <f t="shared" si="10"/>
        <v>15</v>
      </c>
      <c r="S138" s="187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88"/>
    </row>
    <row r="139" spans="1:30" s="54" customFormat="1" ht="10.5" hidden="1">
      <c r="A139" s="194"/>
      <c r="B139" s="105" t="s">
        <v>849</v>
      </c>
      <c r="C139" s="94">
        <v>0</v>
      </c>
      <c r="D139" s="95">
        <v>0</v>
      </c>
      <c r="E139" s="96">
        <v>0</v>
      </c>
      <c r="F139" s="96">
        <v>0</v>
      </c>
      <c r="G139" s="96">
        <v>0</v>
      </c>
      <c r="H139" s="96">
        <v>3</v>
      </c>
      <c r="I139" s="96">
        <v>0</v>
      </c>
      <c r="J139" s="96">
        <v>0</v>
      </c>
      <c r="K139" s="100">
        <v>6</v>
      </c>
      <c r="L139" s="98">
        <f t="shared" si="7"/>
        <v>9</v>
      </c>
      <c r="M139" s="99">
        <f t="shared" si="8"/>
        <v>17429</v>
      </c>
      <c r="N139" s="94">
        <f t="shared" si="9"/>
        <v>9</v>
      </c>
      <c r="O139" s="100">
        <f t="shared" si="6"/>
        <v>0</v>
      </c>
      <c r="P139" s="209"/>
      <c r="Q139" s="100"/>
      <c r="R139" s="101">
        <f t="shared" si="10"/>
        <v>9</v>
      </c>
      <c r="S139" s="187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88"/>
    </row>
    <row r="140" spans="1:30" s="54" customFormat="1" ht="10.5" hidden="1">
      <c r="A140" s="197"/>
      <c r="B140" s="105" t="s">
        <v>878</v>
      </c>
      <c r="C140" s="94">
        <v>0</v>
      </c>
      <c r="D140" s="95">
        <v>0</v>
      </c>
      <c r="E140" s="96">
        <v>22</v>
      </c>
      <c r="F140" s="96">
        <v>13</v>
      </c>
      <c r="G140" s="96">
        <v>0</v>
      </c>
      <c r="H140" s="96">
        <v>16</v>
      </c>
      <c r="I140" s="96">
        <v>1</v>
      </c>
      <c r="J140" s="96">
        <v>0</v>
      </c>
      <c r="K140" s="100">
        <v>14</v>
      </c>
      <c r="L140" s="98">
        <f t="shared" si="7"/>
        <v>66</v>
      </c>
      <c r="M140" s="99">
        <f t="shared" si="8"/>
        <v>17495</v>
      </c>
      <c r="N140" s="94">
        <f t="shared" si="9"/>
        <v>44</v>
      </c>
      <c r="O140" s="100">
        <f t="shared" si="6"/>
        <v>22</v>
      </c>
      <c r="P140" s="209"/>
      <c r="Q140" s="100"/>
      <c r="R140" s="101">
        <f t="shared" si="10"/>
        <v>66</v>
      </c>
      <c r="S140" s="187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88"/>
    </row>
    <row r="141" spans="1:30" s="54" customFormat="1" ht="10.5" hidden="1">
      <c r="A141" s="196"/>
      <c r="B141" s="105" t="s">
        <v>852</v>
      </c>
      <c r="C141" s="94">
        <v>0</v>
      </c>
      <c r="D141" s="95">
        <v>0</v>
      </c>
      <c r="E141" s="96">
        <v>21</v>
      </c>
      <c r="F141" s="96">
        <v>11</v>
      </c>
      <c r="G141" s="96">
        <v>0</v>
      </c>
      <c r="H141" s="96">
        <v>39</v>
      </c>
      <c r="I141" s="96">
        <v>1</v>
      </c>
      <c r="J141" s="96">
        <v>0</v>
      </c>
      <c r="K141" s="97">
        <v>0</v>
      </c>
      <c r="L141" s="98">
        <f t="shared" si="7"/>
        <v>72</v>
      </c>
      <c r="M141" s="99">
        <f t="shared" si="8"/>
        <v>17567</v>
      </c>
      <c r="N141" s="94">
        <f t="shared" si="9"/>
        <v>51</v>
      </c>
      <c r="O141" s="100">
        <f t="shared" si="6"/>
        <v>21</v>
      </c>
      <c r="P141" s="209"/>
      <c r="Q141" s="100"/>
      <c r="R141" s="101">
        <f t="shared" si="10"/>
        <v>72</v>
      </c>
      <c r="S141" s="187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88"/>
    </row>
    <row r="142" spans="1:30" s="54" customFormat="1" ht="10.5" hidden="1">
      <c r="A142" s="134"/>
      <c r="B142" s="105" t="s">
        <v>853</v>
      </c>
      <c r="C142" s="94">
        <v>0</v>
      </c>
      <c r="D142" s="95">
        <v>0</v>
      </c>
      <c r="E142" s="96">
        <v>29</v>
      </c>
      <c r="F142" s="96">
        <v>12</v>
      </c>
      <c r="G142" s="96">
        <v>0</v>
      </c>
      <c r="H142" s="96">
        <v>18</v>
      </c>
      <c r="I142" s="96">
        <v>3</v>
      </c>
      <c r="J142" s="96">
        <v>0</v>
      </c>
      <c r="K142" s="100">
        <v>0</v>
      </c>
      <c r="L142" s="98">
        <f t="shared" si="7"/>
        <v>62</v>
      </c>
      <c r="M142" s="99">
        <f t="shared" si="8"/>
        <v>17629</v>
      </c>
      <c r="N142" s="94">
        <f t="shared" si="9"/>
        <v>33</v>
      </c>
      <c r="O142" s="100">
        <f t="shared" si="6"/>
        <v>29</v>
      </c>
      <c r="P142" s="209"/>
      <c r="Q142" s="100"/>
      <c r="R142" s="101">
        <f t="shared" si="10"/>
        <v>62</v>
      </c>
      <c r="S142" s="187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88"/>
    </row>
    <row r="143" spans="1:30" s="54" customFormat="1" ht="10.5" hidden="1">
      <c r="A143" s="135"/>
      <c r="B143" s="105" t="s">
        <v>855</v>
      </c>
      <c r="C143" s="94">
        <v>0</v>
      </c>
      <c r="D143" s="95">
        <v>0</v>
      </c>
      <c r="E143" s="96">
        <v>2</v>
      </c>
      <c r="F143" s="96">
        <v>12</v>
      </c>
      <c r="G143" s="96">
        <v>0</v>
      </c>
      <c r="H143" s="96">
        <v>16</v>
      </c>
      <c r="I143" s="96">
        <v>1</v>
      </c>
      <c r="J143" s="96">
        <v>0</v>
      </c>
      <c r="K143" s="97">
        <v>37</v>
      </c>
      <c r="L143" s="98">
        <f t="shared" si="7"/>
        <v>68</v>
      </c>
      <c r="M143" s="99">
        <f t="shared" si="8"/>
        <v>17697</v>
      </c>
      <c r="N143" s="94">
        <f t="shared" si="9"/>
        <v>66</v>
      </c>
      <c r="O143" s="100">
        <f t="shared" si="6"/>
        <v>2</v>
      </c>
      <c r="P143" s="209"/>
      <c r="Q143" s="100"/>
      <c r="R143" s="101">
        <f t="shared" si="10"/>
        <v>68</v>
      </c>
      <c r="S143" s="187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88"/>
    </row>
    <row r="144" spans="1:30" s="54" customFormat="1" ht="10.5" hidden="1">
      <c r="A144" s="194"/>
      <c r="B144" s="210" t="s">
        <v>884</v>
      </c>
      <c r="C144" s="115">
        <v>0</v>
      </c>
      <c r="D144" s="120">
        <v>0</v>
      </c>
      <c r="E144" s="121">
        <v>8</v>
      </c>
      <c r="F144" s="121">
        <v>9</v>
      </c>
      <c r="G144" s="121">
        <v>0</v>
      </c>
      <c r="H144" s="121">
        <v>5</v>
      </c>
      <c r="I144" s="121">
        <v>0</v>
      </c>
      <c r="J144" s="121">
        <v>0</v>
      </c>
      <c r="K144" s="122">
        <v>55</v>
      </c>
      <c r="L144" s="123">
        <f t="shared" si="7"/>
        <v>77</v>
      </c>
      <c r="M144" s="124">
        <f t="shared" si="8"/>
        <v>17774</v>
      </c>
      <c r="N144" s="115">
        <f t="shared" si="9"/>
        <v>69</v>
      </c>
      <c r="O144" s="116">
        <f t="shared" si="6"/>
        <v>8</v>
      </c>
      <c r="P144" s="211"/>
      <c r="Q144" s="116"/>
      <c r="R144" s="117">
        <f t="shared" si="10"/>
        <v>77</v>
      </c>
      <c r="S144" s="187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88"/>
    </row>
    <row r="145" spans="1:31" s="54" customFormat="1" ht="10.5" hidden="1">
      <c r="A145" s="197"/>
      <c r="B145" s="105" t="s">
        <v>857</v>
      </c>
      <c r="C145" s="94">
        <v>0</v>
      </c>
      <c r="D145" s="95">
        <v>0</v>
      </c>
      <c r="E145" s="96">
        <v>7</v>
      </c>
      <c r="F145" s="96">
        <v>8</v>
      </c>
      <c r="G145" s="96">
        <v>0</v>
      </c>
      <c r="H145" s="96">
        <v>42</v>
      </c>
      <c r="I145" s="96">
        <v>3</v>
      </c>
      <c r="J145" s="96">
        <v>0</v>
      </c>
      <c r="K145" s="97">
        <v>18</v>
      </c>
      <c r="L145" s="98">
        <f t="shared" si="7"/>
        <v>78</v>
      </c>
      <c r="M145" s="99">
        <f t="shared" si="8"/>
        <v>17852</v>
      </c>
      <c r="N145" s="94">
        <f t="shared" si="9"/>
        <v>71</v>
      </c>
      <c r="O145" s="100">
        <f t="shared" si="6"/>
        <v>7</v>
      </c>
      <c r="P145" s="209"/>
      <c r="Q145" s="100"/>
      <c r="R145" s="101">
        <f t="shared" si="10"/>
        <v>78</v>
      </c>
      <c r="S145" s="187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88"/>
    </row>
    <row r="146" spans="1:31" s="54" customFormat="1" ht="10.5" hidden="1">
      <c r="A146" s="212"/>
      <c r="B146" s="105" t="s">
        <v>858</v>
      </c>
      <c r="C146" s="94">
        <v>0</v>
      </c>
      <c r="D146" s="95">
        <v>0</v>
      </c>
      <c r="E146" s="96">
        <v>13</v>
      </c>
      <c r="F146" s="96">
        <v>0</v>
      </c>
      <c r="G146" s="96">
        <v>0</v>
      </c>
      <c r="H146" s="96">
        <v>25</v>
      </c>
      <c r="I146" s="96">
        <v>4</v>
      </c>
      <c r="J146" s="96">
        <v>0</v>
      </c>
      <c r="K146" s="97">
        <v>17</v>
      </c>
      <c r="L146" s="98">
        <f t="shared" si="7"/>
        <v>59</v>
      </c>
      <c r="M146" s="99">
        <f t="shared" si="8"/>
        <v>17911</v>
      </c>
      <c r="N146" s="94">
        <f t="shared" si="9"/>
        <v>46</v>
      </c>
      <c r="O146" s="100">
        <f t="shared" si="6"/>
        <v>13</v>
      </c>
      <c r="P146" s="209"/>
      <c r="Q146" s="100"/>
      <c r="R146" s="101">
        <f t="shared" si="10"/>
        <v>59</v>
      </c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13"/>
    </row>
    <row r="147" spans="1:31" s="54" customFormat="1" ht="10.5" hidden="1" customHeight="1" thickBot="1">
      <c r="A147" s="214"/>
      <c r="B147" s="105" t="s">
        <v>885</v>
      </c>
      <c r="C147" s="94">
        <v>0</v>
      </c>
      <c r="D147" s="95">
        <v>0</v>
      </c>
      <c r="E147" s="96">
        <v>0</v>
      </c>
      <c r="F147" s="96">
        <v>24</v>
      </c>
      <c r="G147" s="96">
        <v>0</v>
      </c>
      <c r="H147" s="96">
        <v>0</v>
      </c>
      <c r="I147" s="96">
        <v>0</v>
      </c>
      <c r="J147" s="96">
        <v>0</v>
      </c>
      <c r="K147" s="97">
        <v>3</v>
      </c>
      <c r="L147" s="98">
        <f t="shared" si="7"/>
        <v>27</v>
      </c>
      <c r="M147" s="99">
        <f t="shared" si="8"/>
        <v>17938</v>
      </c>
      <c r="N147" s="94">
        <f t="shared" si="9"/>
        <v>27</v>
      </c>
      <c r="O147" s="100">
        <f t="shared" ref="O147:O157" si="11">E147+G147</f>
        <v>0</v>
      </c>
      <c r="P147" s="209">
        <v>0</v>
      </c>
      <c r="Q147" s="100">
        <v>0</v>
      </c>
      <c r="R147" s="101">
        <f t="shared" si="10"/>
        <v>27</v>
      </c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13"/>
    </row>
    <row r="148" spans="1:31" s="54" customFormat="1" ht="10.5" hidden="1" customHeight="1">
      <c r="A148" s="215" t="s">
        <v>886</v>
      </c>
      <c r="B148" s="216" t="s">
        <v>846</v>
      </c>
      <c r="C148" s="127">
        <v>0</v>
      </c>
      <c r="D148" s="129">
        <v>0</v>
      </c>
      <c r="E148" s="128">
        <v>2</v>
      </c>
      <c r="F148" s="129">
        <v>0</v>
      </c>
      <c r="G148" s="129">
        <v>0</v>
      </c>
      <c r="H148" s="129">
        <v>7</v>
      </c>
      <c r="I148" s="129">
        <v>0</v>
      </c>
      <c r="J148" s="129">
        <v>0</v>
      </c>
      <c r="K148" s="130">
        <v>24</v>
      </c>
      <c r="L148" s="217">
        <f t="shared" si="7"/>
        <v>33</v>
      </c>
      <c r="M148" s="218">
        <f t="shared" si="8"/>
        <v>17971</v>
      </c>
      <c r="N148" s="127">
        <f t="shared" si="9"/>
        <v>31</v>
      </c>
      <c r="O148" s="133">
        <f t="shared" si="11"/>
        <v>2</v>
      </c>
      <c r="P148" s="219">
        <v>2</v>
      </c>
      <c r="Q148" s="133">
        <f t="shared" ref="Q148:Q169" si="12">Q147+P148</f>
        <v>2</v>
      </c>
      <c r="R148" s="220">
        <f t="shared" si="10"/>
        <v>35</v>
      </c>
      <c r="S148" s="221"/>
      <c r="T148" s="222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3"/>
    </row>
    <row r="149" spans="1:31" s="54" customFormat="1" ht="10.5" hidden="1" customHeight="1">
      <c r="A149" s="224" t="s">
        <v>887</v>
      </c>
      <c r="B149" s="225" t="s">
        <v>847</v>
      </c>
      <c r="C149" s="94">
        <v>0</v>
      </c>
      <c r="D149" s="96">
        <v>0</v>
      </c>
      <c r="E149" s="95">
        <v>31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7">
        <v>26</v>
      </c>
      <c r="L149" s="226">
        <f t="shared" ref="L149:L166" si="13">SUM(C149:K149)</f>
        <v>57</v>
      </c>
      <c r="M149" s="103">
        <f t="shared" ref="M149:M173" si="14">M148+L149</f>
        <v>18028</v>
      </c>
      <c r="N149" s="94">
        <f t="shared" si="9"/>
        <v>26</v>
      </c>
      <c r="O149" s="100">
        <f t="shared" si="11"/>
        <v>31</v>
      </c>
      <c r="P149" s="227">
        <v>16</v>
      </c>
      <c r="Q149" s="100">
        <f t="shared" si="12"/>
        <v>18</v>
      </c>
      <c r="R149" s="228">
        <f t="shared" si="10"/>
        <v>73</v>
      </c>
      <c r="S149" s="221"/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3"/>
    </row>
    <row r="150" spans="1:31" s="54" customFormat="1" ht="10.5" hidden="1" customHeight="1">
      <c r="A150" s="229">
        <f>SUM(L148:L159)</f>
        <v>942</v>
      </c>
      <c r="B150" s="225" t="s">
        <v>848</v>
      </c>
      <c r="C150" s="94">
        <v>0</v>
      </c>
      <c r="D150" s="96">
        <v>0</v>
      </c>
      <c r="E150" s="95">
        <v>5</v>
      </c>
      <c r="F150" s="96">
        <v>1</v>
      </c>
      <c r="G150" s="96">
        <v>0</v>
      </c>
      <c r="H150" s="96">
        <v>27</v>
      </c>
      <c r="I150" s="96">
        <v>9</v>
      </c>
      <c r="J150" s="96">
        <v>0</v>
      </c>
      <c r="K150" s="97">
        <v>25</v>
      </c>
      <c r="L150" s="226">
        <f t="shared" si="13"/>
        <v>67</v>
      </c>
      <c r="M150" s="103">
        <f t="shared" si="14"/>
        <v>18095</v>
      </c>
      <c r="N150" s="94">
        <f t="shared" si="9"/>
        <v>62</v>
      </c>
      <c r="O150" s="100">
        <f t="shared" si="11"/>
        <v>5</v>
      </c>
      <c r="P150" s="227">
        <v>15</v>
      </c>
      <c r="Q150" s="100">
        <f t="shared" si="12"/>
        <v>33</v>
      </c>
      <c r="R150" s="228">
        <f t="shared" si="10"/>
        <v>82</v>
      </c>
      <c r="S150" s="230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2"/>
    </row>
    <row r="151" spans="1:31" s="54" customFormat="1" ht="10.5" hidden="1" customHeight="1">
      <c r="A151" s="233">
        <v>942</v>
      </c>
      <c r="B151" s="225" t="s">
        <v>849</v>
      </c>
      <c r="C151" s="94">
        <v>0</v>
      </c>
      <c r="D151" s="96">
        <v>0</v>
      </c>
      <c r="E151" s="95">
        <v>0</v>
      </c>
      <c r="F151" s="96">
        <v>0</v>
      </c>
      <c r="G151" s="96">
        <v>0</v>
      </c>
      <c r="H151" s="96">
        <v>25</v>
      </c>
      <c r="I151" s="96">
        <v>0</v>
      </c>
      <c r="J151" s="96">
        <v>0</v>
      </c>
      <c r="K151" s="97">
        <v>63</v>
      </c>
      <c r="L151" s="226">
        <f t="shared" si="13"/>
        <v>88</v>
      </c>
      <c r="M151" s="103">
        <f t="shared" si="14"/>
        <v>18183</v>
      </c>
      <c r="N151" s="94">
        <f t="shared" si="9"/>
        <v>88</v>
      </c>
      <c r="O151" s="100">
        <f t="shared" si="11"/>
        <v>0</v>
      </c>
      <c r="P151" s="227">
        <v>33</v>
      </c>
      <c r="Q151" s="100">
        <f t="shared" si="12"/>
        <v>66</v>
      </c>
      <c r="R151" s="228">
        <f t="shared" si="10"/>
        <v>121</v>
      </c>
      <c r="S151" s="230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2"/>
    </row>
    <row r="152" spans="1:31" s="54" customFormat="1" ht="10.5" hidden="1" customHeight="1">
      <c r="A152" s="234">
        <f>A150-A151</f>
        <v>0</v>
      </c>
      <c r="B152" s="225" t="s">
        <v>888</v>
      </c>
      <c r="C152" s="94">
        <v>0</v>
      </c>
      <c r="D152" s="96">
        <v>0</v>
      </c>
      <c r="E152" s="95">
        <v>18</v>
      </c>
      <c r="F152" s="96">
        <v>2</v>
      </c>
      <c r="G152" s="96">
        <v>0</v>
      </c>
      <c r="H152" s="96">
        <v>30</v>
      </c>
      <c r="I152" s="96">
        <v>1</v>
      </c>
      <c r="J152" s="96">
        <v>0</v>
      </c>
      <c r="K152" s="97">
        <v>36</v>
      </c>
      <c r="L152" s="226">
        <f t="shared" si="13"/>
        <v>87</v>
      </c>
      <c r="M152" s="103">
        <f t="shared" si="14"/>
        <v>18270</v>
      </c>
      <c r="N152" s="94">
        <f t="shared" si="9"/>
        <v>69</v>
      </c>
      <c r="O152" s="100">
        <f t="shared" si="11"/>
        <v>18</v>
      </c>
      <c r="P152" s="227">
        <v>45</v>
      </c>
      <c r="Q152" s="100">
        <f t="shared" si="12"/>
        <v>111</v>
      </c>
      <c r="R152" s="228">
        <f t="shared" si="10"/>
        <v>132</v>
      </c>
      <c r="S152" s="230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2"/>
    </row>
    <row r="153" spans="1:31" s="54" customFormat="1" ht="10.5" hidden="1" customHeight="1">
      <c r="A153" s="196"/>
      <c r="B153" s="225" t="s">
        <v>852</v>
      </c>
      <c r="C153" s="94">
        <v>0</v>
      </c>
      <c r="D153" s="96">
        <v>0</v>
      </c>
      <c r="E153" s="95">
        <v>37</v>
      </c>
      <c r="F153" s="96">
        <v>0</v>
      </c>
      <c r="G153" s="96">
        <v>0</v>
      </c>
      <c r="H153" s="96">
        <v>42</v>
      </c>
      <c r="I153" s="96">
        <v>0</v>
      </c>
      <c r="J153" s="96">
        <v>0</v>
      </c>
      <c r="K153" s="97">
        <v>17</v>
      </c>
      <c r="L153" s="226">
        <f t="shared" si="13"/>
        <v>96</v>
      </c>
      <c r="M153" s="235">
        <f t="shared" si="14"/>
        <v>18366</v>
      </c>
      <c r="N153" s="94">
        <f t="shared" si="9"/>
        <v>59</v>
      </c>
      <c r="O153" s="100">
        <f t="shared" si="11"/>
        <v>37</v>
      </c>
      <c r="P153" s="227">
        <v>36</v>
      </c>
      <c r="Q153" s="100">
        <f t="shared" si="12"/>
        <v>147</v>
      </c>
      <c r="R153" s="228">
        <f t="shared" si="10"/>
        <v>132</v>
      </c>
      <c r="S153" s="230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2"/>
    </row>
    <row r="154" spans="1:31" s="54" customFormat="1" ht="10.5" hidden="1" customHeight="1">
      <c r="A154" s="224" t="s">
        <v>889</v>
      </c>
      <c r="B154" s="225" t="s">
        <v>853</v>
      </c>
      <c r="C154" s="94">
        <v>0</v>
      </c>
      <c r="D154" s="96">
        <v>0</v>
      </c>
      <c r="E154" s="95">
        <v>37</v>
      </c>
      <c r="F154" s="96">
        <v>0</v>
      </c>
      <c r="G154" s="96">
        <v>0</v>
      </c>
      <c r="H154" s="96">
        <v>14</v>
      </c>
      <c r="I154" s="96">
        <v>2</v>
      </c>
      <c r="J154" s="96">
        <v>0</v>
      </c>
      <c r="K154" s="97">
        <v>62</v>
      </c>
      <c r="L154" s="226">
        <f t="shared" si="13"/>
        <v>115</v>
      </c>
      <c r="M154" s="235">
        <f t="shared" si="14"/>
        <v>18481</v>
      </c>
      <c r="N154" s="94">
        <f t="shared" si="9"/>
        <v>78</v>
      </c>
      <c r="O154" s="100">
        <f t="shared" si="11"/>
        <v>37</v>
      </c>
      <c r="P154" s="227">
        <v>43</v>
      </c>
      <c r="Q154" s="100">
        <f t="shared" si="12"/>
        <v>190</v>
      </c>
      <c r="R154" s="228">
        <f t="shared" si="10"/>
        <v>158</v>
      </c>
      <c r="S154" s="230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2"/>
    </row>
    <row r="155" spans="1:31" s="54" customFormat="1" ht="10.5" hidden="1" customHeight="1">
      <c r="A155" s="229">
        <f>SUM(P148:P159)</f>
        <v>264</v>
      </c>
      <c r="B155" s="236" t="s">
        <v>855</v>
      </c>
      <c r="C155" s="115">
        <v>0</v>
      </c>
      <c r="D155" s="121">
        <v>0</v>
      </c>
      <c r="E155" s="120">
        <v>22</v>
      </c>
      <c r="F155" s="121">
        <v>5</v>
      </c>
      <c r="G155" s="121">
        <v>0</v>
      </c>
      <c r="H155" s="121">
        <v>0</v>
      </c>
      <c r="I155" s="121">
        <v>0</v>
      </c>
      <c r="J155" s="121">
        <v>2</v>
      </c>
      <c r="K155" s="122">
        <v>69</v>
      </c>
      <c r="L155" s="237">
        <f t="shared" si="13"/>
        <v>98</v>
      </c>
      <c r="M155" s="235">
        <f t="shared" si="14"/>
        <v>18579</v>
      </c>
      <c r="N155" s="94">
        <f t="shared" si="9"/>
        <v>76</v>
      </c>
      <c r="O155" s="97">
        <f t="shared" si="11"/>
        <v>22</v>
      </c>
      <c r="P155" s="227">
        <v>44</v>
      </c>
      <c r="Q155" s="97">
        <f t="shared" si="12"/>
        <v>234</v>
      </c>
      <c r="R155" s="228">
        <f t="shared" si="10"/>
        <v>142</v>
      </c>
      <c r="S155" s="230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2"/>
    </row>
    <row r="156" spans="1:31" s="54" customFormat="1" ht="10.5" hidden="1" customHeight="1">
      <c r="A156" s="233">
        <v>264</v>
      </c>
      <c r="B156" s="238" t="s">
        <v>890</v>
      </c>
      <c r="C156" s="94">
        <v>0</v>
      </c>
      <c r="D156" s="96">
        <v>0</v>
      </c>
      <c r="E156" s="95">
        <v>41</v>
      </c>
      <c r="F156" s="96">
        <v>8</v>
      </c>
      <c r="G156" s="96">
        <v>0</v>
      </c>
      <c r="H156" s="96">
        <v>5</v>
      </c>
      <c r="I156" s="96">
        <v>0</v>
      </c>
      <c r="J156" s="96">
        <v>0</v>
      </c>
      <c r="K156" s="97">
        <v>48</v>
      </c>
      <c r="L156" s="239">
        <f>SUM(C156:K156)</f>
        <v>102</v>
      </c>
      <c r="M156" s="240">
        <f t="shared" si="14"/>
        <v>18681</v>
      </c>
      <c r="N156" s="115">
        <f t="shared" si="9"/>
        <v>61</v>
      </c>
      <c r="O156" s="122">
        <f t="shared" si="11"/>
        <v>41</v>
      </c>
      <c r="P156" s="227">
        <v>23</v>
      </c>
      <c r="Q156" s="122">
        <f t="shared" si="12"/>
        <v>257</v>
      </c>
      <c r="R156" s="228">
        <f t="shared" si="10"/>
        <v>125</v>
      </c>
      <c r="S156" s="230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2"/>
    </row>
    <row r="157" spans="1:31" s="54" customFormat="1" ht="10.5" hidden="1" customHeight="1">
      <c r="A157" s="234">
        <f>A155-A156</f>
        <v>0</v>
      </c>
      <c r="B157" s="236" t="s">
        <v>857</v>
      </c>
      <c r="C157" s="94">
        <v>0</v>
      </c>
      <c r="D157" s="96">
        <v>0</v>
      </c>
      <c r="E157" s="95">
        <v>17</v>
      </c>
      <c r="F157" s="96">
        <v>0</v>
      </c>
      <c r="G157" s="96">
        <v>0</v>
      </c>
      <c r="H157" s="96">
        <v>35</v>
      </c>
      <c r="I157" s="96">
        <v>1</v>
      </c>
      <c r="J157" s="96">
        <v>0</v>
      </c>
      <c r="K157" s="97">
        <v>43</v>
      </c>
      <c r="L157" s="239">
        <f>SUM(C157:K157)</f>
        <v>96</v>
      </c>
      <c r="M157" s="235">
        <f t="shared" si="14"/>
        <v>18777</v>
      </c>
      <c r="N157" s="94">
        <f t="shared" si="9"/>
        <v>79</v>
      </c>
      <c r="O157" s="97">
        <f t="shared" si="11"/>
        <v>17</v>
      </c>
      <c r="P157" s="227">
        <v>7</v>
      </c>
      <c r="Q157" s="97">
        <f t="shared" si="12"/>
        <v>264</v>
      </c>
      <c r="R157" s="228">
        <f t="shared" si="10"/>
        <v>103</v>
      </c>
      <c r="S157" s="24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2"/>
    </row>
    <row r="158" spans="1:31" s="54" customFormat="1" ht="10.5" hidden="1" customHeight="1">
      <c r="A158" s="234"/>
      <c r="B158" s="236" t="s">
        <v>858</v>
      </c>
      <c r="C158" s="94">
        <v>0</v>
      </c>
      <c r="D158" s="96">
        <v>0</v>
      </c>
      <c r="E158" s="95">
        <v>15</v>
      </c>
      <c r="F158" s="96">
        <v>0</v>
      </c>
      <c r="G158" s="96">
        <v>0</v>
      </c>
      <c r="H158" s="96">
        <v>42</v>
      </c>
      <c r="I158" s="96">
        <v>0</v>
      </c>
      <c r="J158" s="96">
        <v>0</v>
      </c>
      <c r="K158" s="97">
        <v>10</v>
      </c>
      <c r="L158" s="239">
        <f t="shared" si="13"/>
        <v>67</v>
      </c>
      <c r="M158" s="235">
        <f t="shared" si="14"/>
        <v>18844</v>
      </c>
      <c r="N158" s="94">
        <v>52</v>
      </c>
      <c r="O158" s="97">
        <v>15</v>
      </c>
      <c r="P158" s="227">
        <v>0</v>
      </c>
      <c r="Q158" s="97">
        <f t="shared" si="12"/>
        <v>264</v>
      </c>
      <c r="R158" s="228">
        <f t="shared" si="10"/>
        <v>67</v>
      </c>
      <c r="S158" s="241"/>
      <c r="T158" s="242"/>
      <c r="U158" s="242"/>
      <c r="V158" s="242"/>
      <c r="W158" s="242"/>
      <c r="X158" s="242"/>
      <c r="Y158" s="242"/>
      <c r="Z158" s="242"/>
      <c r="AA158" s="242"/>
      <c r="AB158" s="242"/>
      <c r="AC158" s="242"/>
      <c r="AD158" s="242"/>
      <c r="AE158" s="242"/>
    </row>
    <row r="159" spans="1:31" s="54" customFormat="1" ht="10.5" hidden="1" customHeight="1" thickBot="1">
      <c r="A159" s="243"/>
      <c r="B159" s="244" t="s">
        <v>891</v>
      </c>
      <c r="C159" s="108">
        <v>0</v>
      </c>
      <c r="D159" s="110">
        <v>0</v>
      </c>
      <c r="E159" s="109">
        <v>14</v>
      </c>
      <c r="F159" s="110">
        <v>1</v>
      </c>
      <c r="G159" s="110">
        <v>0</v>
      </c>
      <c r="H159" s="110">
        <v>2</v>
      </c>
      <c r="I159" s="110">
        <v>0</v>
      </c>
      <c r="J159" s="110">
        <v>0</v>
      </c>
      <c r="K159" s="111">
        <v>19</v>
      </c>
      <c r="L159" s="245">
        <f t="shared" si="13"/>
        <v>36</v>
      </c>
      <c r="M159" s="246">
        <f t="shared" si="14"/>
        <v>18880</v>
      </c>
      <c r="N159" s="108">
        <v>22</v>
      </c>
      <c r="O159" s="111">
        <v>14</v>
      </c>
      <c r="P159" s="247">
        <v>0</v>
      </c>
      <c r="Q159" s="111">
        <f t="shared" si="12"/>
        <v>264</v>
      </c>
      <c r="R159" s="248">
        <f t="shared" si="10"/>
        <v>36</v>
      </c>
      <c r="S159" s="249"/>
      <c r="T159" s="250"/>
      <c r="U159" s="250"/>
      <c r="V159" s="250"/>
      <c r="W159" s="250"/>
      <c r="X159" s="250"/>
      <c r="Y159" s="250"/>
      <c r="Z159" s="250"/>
      <c r="AA159" s="250"/>
      <c r="AB159" s="250"/>
      <c r="AC159" s="250"/>
      <c r="AD159" s="250"/>
      <c r="AE159" s="250"/>
    </row>
    <row r="160" spans="1:31" s="54" customFormat="1" ht="18" hidden="1" customHeight="1">
      <c r="A160" s="251" t="s">
        <v>892</v>
      </c>
      <c r="B160" s="252" t="s">
        <v>846</v>
      </c>
      <c r="C160" s="253">
        <v>0</v>
      </c>
      <c r="D160" s="254">
        <v>0</v>
      </c>
      <c r="E160" s="255">
        <v>16</v>
      </c>
      <c r="F160" s="254">
        <v>1</v>
      </c>
      <c r="G160" s="254">
        <v>0</v>
      </c>
      <c r="H160" s="254">
        <v>4</v>
      </c>
      <c r="I160" s="254">
        <v>0</v>
      </c>
      <c r="J160" s="254">
        <v>0</v>
      </c>
      <c r="K160" s="256">
        <v>18</v>
      </c>
      <c r="L160" s="257">
        <f>SUM(C160:K160)</f>
        <v>39</v>
      </c>
      <c r="M160" s="258">
        <f t="shared" si="14"/>
        <v>18919</v>
      </c>
      <c r="N160" s="253">
        <v>23</v>
      </c>
      <c r="O160" s="256">
        <v>16</v>
      </c>
      <c r="P160" s="259">
        <v>0</v>
      </c>
      <c r="Q160" s="260">
        <f t="shared" si="12"/>
        <v>264</v>
      </c>
      <c r="R160" s="261">
        <f t="shared" si="10"/>
        <v>39</v>
      </c>
      <c r="S160" s="262"/>
      <c r="T160" s="263"/>
      <c r="U160" s="263"/>
      <c r="V160" s="263"/>
      <c r="W160" s="263"/>
      <c r="X160" s="263"/>
      <c r="Y160" s="263"/>
      <c r="Z160" s="263"/>
      <c r="AA160" s="263"/>
      <c r="AB160" s="263"/>
      <c r="AC160" s="263"/>
      <c r="AD160" s="263"/>
      <c r="AE160" s="263"/>
    </row>
    <row r="161" spans="1:32" s="54" customFormat="1" ht="18" hidden="1" customHeight="1">
      <c r="A161" s="264" t="s">
        <v>881</v>
      </c>
      <c r="B161" s="265" t="s">
        <v>847</v>
      </c>
      <c r="C161" s="266">
        <v>0</v>
      </c>
      <c r="D161" s="267">
        <v>0</v>
      </c>
      <c r="E161" s="268">
        <v>14</v>
      </c>
      <c r="F161" s="267">
        <v>0</v>
      </c>
      <c r="G161" s="267">
        <v>0</v>
      </c>
      <c r="H161" s="267">
        <v>2</v>
      </c>
      <c r="I161" s="267">
        <v>0</v>
      </c>
      <c r="J161" s="267">
        <v>0</v>
      </c>
      <c r="K161" s="269">
        <v>12</v>
      </c>
      <c r="L161" s="270">
        <f t="shared" si="13"/>
        <v>28</v>
      </c>
      <c r="M161" s="271">
        <f t="shared" si="14"/>
        <v>18947</v>
      </c>
      <c r="N161" s="266">
        <v>14</v>
      </c>
      <c r="O161" s="269">
        <v>14</v>
      </c>
      <c r="P161" s="272">
        <v>10</v>
      </c>
      <c r="Q161" s="269">
        <f t="shared" si="12"/>
        <v>274</v>
      </c>
      <c r="R161" s="273">
        <f t="shared" si="10"/>
        <v>38</v>
      </c>
      <c r="S161" s="274"/>
      <c r="T161" s="275"/>
      <c r="U161" s="275"/>
      <c r="V161" s="275"/>
      <c r="W161" s="275"/>
      <c r="X161" s="275"/>
      <c r="Y161" s="275"/>
      <c r="Z161" s="275"/>
      <c r="AA161" s="275"/>
      <c r="AB161" s="275"/>
      <c r="AC161" s="275"/>
      <c r="AD161" s="275"/>
      <c r="AE161" s="275"/>
    </row>
    <row r="162" spans="1:32" s="54" customFormat="1" ht="18" hidden="1" customHeight="1">
      <c r="A162" s="276">
        <f>SUM(L160:L171)</f>
        <v>1366</v>
      </c>
      <c r="B162" s="265" t="s">
        <v>848</v>
      </c>
      <c r="C162" s="266">
        <v>0</v>
      </c>
      <c r="D162" s="267">
        <v>0</v>
      </c>
      <c r="E162" s="268">
        <v>9</v>
      </c>
      <c r="F162" s="267">
        <v>20</v>
      </c>
      <c r="G162" s="267">
        <v>0</v>
      </c>
      <c r="H162" s="267">
        <v>51</v>
      </c>
      <c r="I162" s="267">
        <v>0</v>
      </c>
      <c r="J162" s="267">
        <v>0</v>
      </c>
      <c r="K162" s="269">
        <v>35</v>
      </c>
      <c r="L162" s="270">
        <f t="shared" si="13"/>
        <v>115</v>
      </c>
      <c r="M162" s="271">
        <f>M161+L162</f>
        <v>19062</v>
      </c>
      <c r="N162" s="266">
        <v>106</v>
      </c>
      <c r="O162" s="269">
        <v>9</v>
      </c>
      <c r="P162" s="272">
        <v>36</v>
      </c>
      <c r="Q162" s="269">
        <f t="shared" si="12"/>
        <v>310</v>
      </c>
      <c r="R162" s="273">
        <f t="shared" si="10"/>
        <v>151</v>
      </c>
      <c r="S162" s="274"/>
      <c r="T162" s="275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</row>
    <row r="163" spans="1:32" s="54" customFormat="1" ht="18" hidden="1" customHeight="1">
      <c r="A163" s="277">
        <v>1366</v>
      </c>
      <c r="B163" s="265" t="s">
        <v>849</v>
      </c>
      <c r="C163" s="266">
        <v>0</v>
      </c>
      <c r="D163" s="267">
        <v>0</v>
      </c>
      <c r="E163" s="267">
        <v>72</v>
      </c>
      <c r="F163" s="267">
        <v>23</v>
      </c>
      <c r="G163" s="267">
        <v>0</v>
      </c>
      <c r="H163" s="267">
        <v>3</v>
      </c>
      <c r="I163" s="267">
        <v>1</v>
      </c>
      <c r="J163" s="267">
        <v>0</v>
      </c>
      <c r="K163" s="268">
        <v>75</v>
      </c>
      <c r="L163" s="270">
        <f t="shared" si="13"/>
        <v>174</v>
      </c>
      <c r="M163" s="271">
        <f>M162+L163</f>
        <v>19236</v>
      </c>
      <c r="N163" s="266">
        <v>102</v>
      </c>
      <c r="O163" s="268">
        <v>72</v>
      </c>
      <c r="P163" s="272">
        <v>32</v>
      </c>
      <c r="Q163" s="269">
        <f t="shared" si="12"/>
        <v>342</v>
      </c>
      <c r="R163" s="273">
        <f t="shared" si="10"/>
        <v>206</v>
      </c>
      <c r="S163" s="274"/>
      <c r="T163" s="275"/>
      <c r="U163" s="275"/>
      <c r="V163" s="275"/>
      <c r="W163" s="275"/>
      <c r="X163" s="275"/>
      <c r="Y163" s="275"/>
      <c r="Z163" s="275"/>
      <c r="AA163" s="275"/>
      <c r="AB163" s="275"/>
      <c r="AC163" s="275"/>
      <c r="AD163" s="275"/>
      <c r="AE163" s="275"/>
    </row>
    <row r="164" spans="1:32" s="54" customFormat="1" ht="18" hidden="1" customHeight="1">
      <c r="A164" s="278">
        <f>A162-A163</f>
        <v>0</v>
      </c>
      <c r="B164" s="265" t="s">
        <v>851</v>
      </c>
      <c r="C164" s="266">
        <v>0</v>
      </c>
      <c r="D164" s="267">
        <v>0</v>
      </c>
      <c r="E164" s="267">
        <v>26</v>
      </c>
      <c r="F164" s="267">
        <v>10</v>
      </c>
      <c r="G164" s="267">
        <v>0</v>
      </c>
      <c r="H164" s="267">
        <v>74</v>
      </c>
      <c r="I164" s="267">
        <v>1</v>
      </c>
      <c r="J164" s="267">
        <v>4</v>
      </c>
      <c r="K164" s="268">
        <v>30</v>
      </c>
      <c r="L164" s="270">
        <f t="shared" si="13"/>
        <v>145</v>
      </c>
      <c r="M164" s="271">
        <f t="shared" si="14"/>
        <v>19381</v>
      </c>
      <c r="N164" s="266">
        <v>119</v>
      </c>
      <c r="O164" s="268">
        <v>26</v>
      </c>
      <c r="P164" s="272">
        <v>33</v>
      </c>
      <c r="Q164" s="269">
        <f t="shared" si="12"/>
        <v>375</v>
      </c>
      <c r="R164" s="273">
        <f t="shared" si="10"/>
        <v>178</v>
      </c>
      <c r="S164" s="274"/>
      <c r="T164" s="275"/>
      <c r="U164" s="275"/>
      <c r="V164" s="275"/>
      <c r="W164" s="275"/>
      <c r="X164" s="275"/>
      <c r="Y164" s="275"/>
      <c r="Z164" s="275"/>
      <c r="AA164" s="275"/>
      <c r="AB164" s="275"/>
      <c r="AC164" s="275"/>
      <c r="AD164" s="275"/>
      <c r="AE164" s="275"/>
    </row>
    <row r="165" spans="1:32" s="54" customFormat="1" ht="18" hidden="1" customHeight="1">
      <c r="A165" s="279"/>
      <c r="B165" s="265" t="s">
        <v>852</v>
      </c>
      <c r="C165" s="266">
        <v>0</v>
      </c>
      <c r="D165" s="267">
        <v>0</v>
      </c>
      <c r="E165" s="267">
        <v>60</v>
      </c>
      <c r="F165" s="267">
        <v>0</v>
      </c>
      <c r="G165" s="267">
        <v>0</v>
      </c>
      <c r="H165" s="267">
        <v>50</v>
      </c>
      <c r="I165" s="267">
        <v>16</v>
      </c>
      <c r="J165" s="267">
        <v>0</v>
      </c>
      <c r="K165" s="268">
        <v>46</v>
      </c>
      <c r="L165" s="270">
        <f>SUM(C165:K165)</f>
        <v>172</v>
      </c>
      <c r="M165" s="271">
        <f t="shared" si="14"/>
        <v>19553</v>
      </c>
      <c r="N165" s="266">
        <v>112</v>
      </c>
      <c r="O165" s="268">
        <v>60</v>
      </c>
      <c r="P165" s="272">
        <v>4</v>
      </c>
      <c r="Q165" s="269">
        <f>Q164+P165</f>
        <v>379</v>
      </c>
      <c r="R165" s="273">
        <f>L165+P165</f>
        <v>176</v>
      </c>
      <c r="S165" s="274"/>
      <c r="T165" s="275"/>
      <c r="U165" s="275"/>
      <c r="V165" s="275"/>
      <c r="W165" s="275"/>
      <c r="X165" s="275"/>
      <c r="Y165" s="275"/>
      <c r="Z165" s="275"/>
      <c r="AA165" s="275"/>
      <c r="AB165" s="275"/>
      <c r="AC165" s="275"/>
      <c r="AD165" s="275"/>
      <c r="AE165" s="275"/>
    </row>
    <row r="166" spans="1:32" s="54" customFormat="1" ht="18" hidden="1" customHeight="1">
      <c r="A166" s="264" t="s">
        <v>893</v>
      </c>
      <c r="B166" s="265" t="s">
        <v>853</v>
      </c>
      <c r="C166" s="266">
        <v>0</v>
      </c>
      <c r="D166" s="267">
        <v>0</v>
      </c>
      <c r="E166" s="267">
        <v>73</v>
      </c>
      <c r="F166" s="267">
        <v>15</v>
      </c>
      <c r="G166" s="267">
        <v>0</v>
      </c>
      <c r="H166" s="267">
        <v>37</v>
      </c>
      <c r="I166" s="267">
        <v>0</v>
      </c>
      <c r="J166" s="267">
        <v>0</v>
      </c>
      <c r="K166" s="268">
        <v>32</v>
      </c>
      <c r="L166" s="270">
        <f t="shared" si="13"/>
        <v>157</v>
      </c>
      <c r="M166" s="271">
        <f t="shared" si="14"/>
        <v>19710</v>
      </c>
      <c r="N166" s="266">
        <v>84</v>
      </c>
      <c r="O166" s="268">
        <v>73</v>
      </c>
      <c r="P166" s="272">
        <v>16</v>
      </c>
      <c r="Q166" s="269">
        <f t="shared" si="12"/>
        <v>395</v>
      </c>
      <c r="R166" s="273">
        <f t="shared" si="10"/>
        <v>173</v>
      </c>
      <c r="S166" s="280"/>
      <c r="T166" s="275"/>
      <c r="U166" s="275"/>
      <c r="V166" s="275"/>
      <c r="W166" s="275"/>
      <c r="X166" s="275"/>
      <c r="Y166" s="275"/>
      <c r="Z166" s="275"/>
      <c r="AA166" s="275"/>
      <c r="AB166" s="275"/>
      <c r="AC166" s="275"/>
      <c r="AD166" s="275"/>
      <c r="AE166" s="275"/>
    </row>
    <row r="167" spans="1:32" s="54" customFormat="1" ht="18" hidden="1" customHeight="1">
      <c r="A167" s="276">
        <f>SUM(P160:P171)</f>
        <v>344</v>
      </c>
      <c r="B167" s="265" t="s">
        <v>855</v>
      </c>
      <c r="C167" s="266">
        <v>0</v>
      </c>
      <c r="D167" s="267">
        <v>0</v>
      </c>
      <c r="E167" s="267">
        <v>80</v>
      </c>
      <c r="F167" s="267">
        <v>0</v>
      </c>
      <c r="G167" s="267">
        <v>0</v>
      </c>
      <c r="H167" s="267">
        <v>10</v>
      </c>
      <c r="I167" s="267">
        <v>0</v>
      </c>
      <c r="J167" s="267">
        <v>0</v>
      </c>
      <c r="K167" s="268">
        <v>23</v>
      </c>
      <c r="L167" s="270">
        <f>SUM(C167:K167)</f>
        <v>113</v>
      </c>
      <c r="M167" s="271">
        <f t="shared" si="14"/>
        <v>19823</v>
      </c>
      <c r="N167" s="266">
        <v>33</v>
      </c>
      <c r="O167" s="268">
        <v>80</v>
      </c>
      <c r="P167" s="272">
        <v>27</v>
      </c>
      <c r="Q167" s="269">
        <f t="shared" si="12"/>
        <v>422</v>
      </c>
      <c r="R167" s="273">
        <f t="shared" si="10"/>
        <v>140</v>
      </c>
      <c r="S167" s="280"/>
      <c r="T167" s="275"/>
      <c r="U167" s="275"/>
      <c r="V167" s="275"/>
      <c r="W167" s="275"/>
      <c r="X167" s="275"/>
      <c r="Y167" s="275"/>
      <c r="Z167" s="275"/>
      <c r="AA167" s="275"/>
      <c r="AB167" s="275"/>
      <c r="AC167" s="275"/>
      <c r="AD167" s="275"/>
      <c r="AE167" s="275"/>
    </row>
    <row r="168" spans="1:32" s="54" customFormat="1" ht="18" hidden="1" customHeight="1">
      <c r="A168" s="277">
        <v>344</v>
      </c>
      <c r="B168" s="265" t="s">
        <v>894</v>
      </c>
      <c r="C168" s="266">
        <v>0</v>
      </c>
      <c r="D168" s="267">
        <v>0</v>
      </c>
      <c r="E168" s="267">
        <v>69</v>
      </c>
      <c r="F168" s="267">
        <v>14</v>
      </c>
      <c r="G168" s="267">
        <v>0</v>
      </c>
      <c r="H168" s="267">
        <v>21</v>
      </c>
      <c r="I168" s="267">
        <v>0</v>
      </c>
      <c r="J168" s="267">
        <v>0</v>
      </c>
      <c r="K168" s="268">
        <v>15</v>
      </c>
      <c r="L168" s="270">
        <f>SUM(C168:K168)</f>
        <v>119</v>
      </c>
      <c r="M168" s="271">
        <f t="shared" si="14"/>
        <v>19942</v>
      </c>
      <c r="N168" s="266">
        <v>50</v>
      </c>
      <c r="O168" s="268">
        <v>69</v>
      </c>
      <c r="P168" s="272">
        <v>39</v>
      </c>
      <c r="Q168" s="269">
        <f t="shared" si="12"/>
        <v>461</v>
      </c>
      <c r="R168" s="273">
        <f t="shared" si="10"/>
        <v>158</v>
      </c>
      <c r="S168" s="280"/>
      <c r="T168" s="275"/>
      <c r="U168" s="275"/>
      <c r="V168" s="275"/>
      <c r="W168" s="275"/>
      <c r="X168" s="275"/>
      <c r="Y168" s="275"/>
      <c r="Z168" s="275"/>
      <c r="AA168" s="275"/>
      <c r="AB168" s="275"/>
      <c r="AC168" s="275"/>
      <c r="AD168" s="275"/>
      <c r="AE168" s="275"/>
    </row>
    <row r="169" spans="1:32" s="54" customFormat="1" ht="18" hidden="1" customHeight="1">
      <c r="A169" s="278">
        <f>A167-A168</f>
        <v>0</v>
      </c>
      <c r="B169" s="265" t="s">
        <v>857</v>
      </c>
      <c r="C169" s="266">
        <v>0</v>
      </c>
      <c r="D169" s="267">
        <v>0</v>
      </c>
      <c r="E169" s="267">
        <v>78</v>
      </c>
      <c r="F169" s="267">
        <v>4</v>
      </c>
      <c r="G169" s="267">
        <v>0</v>
      </c>
      <c r="H169" s="267">
        <v>26</v>
      </c>
      <c r="I169" s="267">
        <v>0</v>
      </c>
      <c r="J169" s="267">
        <v>0</v>
      </c>
      <c r="K169" s="268">
        <v>15</v>
      </c>
      <c r="L169" s="270">
        <f>SUM(C169:K169)</f>
        <v>123</v>
      </c>
      <c r="M169" s="271">
        <f t="shared" si="14"/>
        <v>20065</v>
      </c>
      <c r="N169" s="266">
        <v>45</v>
      </c>
      <c r="O169" s="268">
        <v>78</v>
      </c>
      <c r="P169" s="272">
        <v>30</v>
      </c>
      <c r="Q169" s="269">
        <f t="shared" si="12"/>
        <v>491</v>
      </c>
      <c r="R169" s="273">
        <f t="shared" si="10"/>
        <v>153</v>
      </c>
      <c r="S169" s="280"/>
      <c r="T169" s="275"/>
      <c r="U169" s="275"/>
      <c r="V169" s="275"/>
      <c r="W169" s="275"/>
      <c r="X169" s="275"/>
      <c r="Y169" s="275"/>
      <c r="Z169" s="275"/>
      <c r="AA169" s="275"/>
      <c r="AB169" s="275"/>
      <c r="AC169" s="275"/>
      <c r="AD169" s="275"/>
      <c r="AE169" s="275"/>
    </row>
    <row r="170" spans="1:32" s="54" customFormat="1" ht="18" hidden="1" customHeight="1">
      <c r="A170" s="278"/>
      <c r="B170" s="265" t="s">
        <v>858</v>
      </c>
      <c r="C170" s="266">
        <v>0</v>
      </c>
      <c r="D170" s="267">
        <v>0</v>
      </c>
      <c r="E170" s="267">
        <v>6</v>
      </c>
      <c r="F170" s="267">
        <v>0</v>
      </c>
      <c r="G170" s="267">
        <v>0</v>
      </c>
      <c r="H170" s="267">
        <v>62</v>
      </c>
      <c r="I170" s="267">
        <v>0</v>
      </c>
      <c r="J170" s="267">
        <v>0</v>
      </c>
      <c r="K170" s="268">
        <v>0</v>
      </c>
      <c r="L170" s="270">
        <f t="shared" ref="L170:L186" si="15">SUM(C170:K170)</f>
        <v>68</v>
      </c>
      <c r="M170" s="271">
        <f t="shared" si="14"/>
        <v>20133</v>
      </c>
      <c r="N170" s="266">
        <v>62</v>
      </c>
      <c r="O170" s="268">
        <v>6</v>
      </c>
      <c r="P170" s="272">
        <v>68</v>
      </c>
      <c r="Q170" s="269">
        <f>Q169+P170</f>
        <v>559</v>
      </c>
      <c r="R170" s="273">
        <f t="shared" si="10"/>
        <v>136</v>
      </c>
      <c r="S170" s="281"/>
      <c r="T170" s="282"/>
      <c r="U170" s="282"/>
      <c r="V170" s="282"/>
      <c r="W170" s="282"/>
      <c r="X170" s="282"/>
      <c r="Y170" s="282"/>
      <c r="Z170" s="282"/>
      <c r="AA170" s="282"/>
      <c r="AB170" s="282"/>
      <c r="AC170" s="282"/>
      <c r="AD170" s="282"/>
      <c r="AE170" s="282"/>
    </row>
    <row r="171" spans="1:32" s="54" customFormat="1" ht="18" hidden="1" customHeight="1" thickBot="1">
      <c r="A171" s="283"/>
      <c r="B171" s="284" t="s">
        <v>895</v>
      </c>
      <c r="C171" s="285">
        <v>0</v>
      </c>
      <c r="D171" s="285">
        <v>0</v>
      </c>
      <c r="E171" s="285">
        <v>69</v>
      </c>
      <c r="F171" s="285">
        <v>0</v>
      </c>
      <c r="G171" s="285">
        <v>0</v>
      </c>
      <c r="H171" s="285">
        <v>44</v>
      </c>
      <c r="I171" s="285">
        <v>0</v>
      </c>
      <c r="J171" s="285">
        <v>0</v>
      </c>
      <c r="K171" s="285">
        <v>0</v>
      </c>
      <c r="L171" s="286">
        <f t="shared" si="15"/>
        <v>113</v>
      </c>
      <c r="M171" s="287">
        <f t="shared" si="14"/>
        <v>20246</v>
      </c>
      <c r="N171" s="288">
        <v>44</v>
      </c>
      <c r="O171" s="285">
        <v>69</v>
      </c>
      <c r="P171" s="289">
        <v>49</v>
      </c>
      <c r="Q171" s="290">
        <f t="shared" ref="Q171:Q198" si="16">Q170+P171</f>
        <v>608</v>
      </c>
      <c r="R171" s="291">
        <f t="shared" si="10"/>
        <v>162</v>
      </c>
      <c r="S171" s="292"/>
      <c r="T171" s="293"/>
      <c r="U171" s="293"/>
      <c r="V171" s="293"/>
      <c r="W171" s="293"/>
      <c r="X171" s="293"/>
      <c r="Y171" s="293"/>
      <c r="Z171" s="293"/>
      <c r="AA171" s="293"/>
      <c r="AB171" s="293"/>
      <c r="AC171" s="293"/>
      <c r="AD171" s="293"/>
      <c r="AE171" s="293"/>
    </row>
    <row r="172" spans="1:32" s="54" customFormat="1" ht="18" hidden="1" customHeight="1">
      <c r="A172" s="251" t="s">
        <v>896</v>
      </c>
      <c r="B172" s="252" t="s">
        <v>846</v>
      </c>
      <c r="C172" s="253">
        <v>0</v>
      </c>
      <c r="D172" s="254">
        <v>0</v>
      </c>
      <c r="E172" s="255">
        <v>59</v>
      </c>
      <c r="F172" s="254">
        <v>0</v>
      </c>
      <c r="G172" s="254">
        <v>0</v>
      </c>
      <c r="H172" s="254">
        <v>50</v>
      </c>
      <c r="I172" s="254">
        <v>0</v>
      </c>
      <c r="J172" s="254">
        <v>0</v>
      </c>
      <c r="K172" s="256">
        <v>1</v>
      </c>
      <c r="L172" s="257">
        <f>SUM(C172:K172)</f>
        <v>110</v>
      </c>
      <c r="M172" s="258">
        <f t="shared" si="14"/>
        <v>20356</v>
      </c>
      <c r="N172" s="253">
        <v>51</v>
      </c>
      <c r="O172" s="256">
        <v>59</v>
      </c>
      <c r="P172" s="259">
        <v>59</v>
      </c>
      <c r="Q172" s="260">
        <f t="shared" si="16"/>
        <v>667</v>
      </c>
      <c r="R172" s="261">
        <f t="shared" si="10"/>
        <v>169</v>
      </c>
      <c r="S172" s="294"/>
      <c r="T172" s="295"/>
      <c r="U172" s="295"/>
      <c r="V172" s="295"/>
      <c r="W172" s="295"/>
      <c r="X172" s="295"/>
      <c r="Y172" s="295"/>
      <c r="Z172" s="295"/>
      <c r="AA172" s="295"/>
      <c r="AB172" s="295"/>
      <c r="AC172" s="295"/>
      <c r="AD172" s="295"/>
      <c r="AE172" s="295"/>
    </row>
    <row r="173" spans="1:32" s="54" customFormat="1" ht="18" hidden="1" customHeight="1">
      <c r="A173" s="264" t="s">
        <v>881</v>
      </c>
      <c r="B173" s="265" t="s">
        <v>847</v>
      </c>
      <c r="C173" s="266">
        <v>0</v>
      </c>
      <c r="D173" s="267">
        <v>0</v>
      </c>
      <c r="E173" s="268">
        <v>91</v>
      </c>
      <c r="F173" s="267">
        <v>0</v>
      </c>
      <c r="G173" s="267">
        <v>0</v>
      </c>
      <c r="H173" s="267">
        <v>21</v>
      </c>
      <c r="I173" s="267">
        <v>4</v>
      </c>
      <c r="J173" s="267">
        <v>0</v>
      </c>
      <c r="K173" s="269">
        <v>1</v>
      </c>
      <c r="L173" s="270">
        <f>SUM(C173:K173)</f>
        <v>117</v>
      </c>
      <c r="M173" s="271">
        <f t="shared" si="14"/>
        <v>20473</v>
      </c>
      <c r="N173" s="266">
        <v>26</v>
      </c>
      <c r="O173" s="269">
        <v>91</v>
      </c>
      <c r="P173" s="272">
        <v>41</v>
      </c>
      <c r="Q173" s="269">
        <f>Q172+P173</f>
        <v>708</v>
      </c>
      <c r="R173" s="273">
        <f>L173+P173</f>
        <v>158</v>
      </c>
      <c r="S173" s="274"/>
      <c r="T173" s="275"/>
      <c r="U173" s="275"/>
      <c r="V173" s="275"/>
      <c r="W173" s="275"/>
      <c r="X173" s="275"/>
      <c r="Y173" s="275"/>
      <c r="Z173" s="275"/>
      <c r="AA173" s="275"/>
      <c r="AB173" s="275"/>
      <c r="AC173" s="275"/>
      <c r="AD173" s="275"/>
      <c r="AE173" s="275"/>
    </row>
    <row r="174" spans="1:32" s="54" customFormat="1" ht="18" hidden="1" customHeight="1">
      <c r="A174" s="276">
        <f>SUM(L172:L183)</f>
        <v>868</v>
      </c>
      <c r="B174" s="265" t="s">
        <v>848</v>
      </c>
      <c r="C174" s="266">
        <v>0</v>
      </c>
      <c r="D174" s="267">
        <v>0</v>
      </c>
      <c r="E174" s="268">
        <v>50</v>
      </c>
      <c r="F174" s="267">
        <v>0</v>
      </c>
      <c r="G174" s="267">
        <v>0</v>
      </c>
      <c r="H174" s="267">
        <v>40</v>
      </c>
      <c r="I174" s="267">
        <v>0</v>
      </c>
      <c r="J174" s="267">
        <v>0</v>
      </c>
      <c r="K174" s="269">
        <v>2</v>
      </c>
      <c r="L174" s="270">
        <f>SUM(C174:K174)</f>
        <v>92</v>
      </c>
      <c r="M174" s="271">
        <f>M173+L174</f>
        <v>20565</v>
      </c>
      <c r="N174" s="266">
        <v>42</v>
      </c>
      <c r="O174" s="269">
        <v>50</v>
      </c>
      <c r="P174" s="272">
        <v>35</v>
      </c>
      <c r="Q174" s="269">
        <f t="shared" si="16"/>
        <v>743</v>
      </c>
      <c r="R174" s="273">
        <f t="shared" si="10"/>
        <v>127</v>
      </c>
      <c r="S174" s="274"/>
      <c r="T174" s="275"/>
      <c r="U174" s="275"/>
      <c r="V174" s="275"/>
      <c r="W174" s="275"/>
      <c r="X174" s="275"/>
      <c r="Y174" s="275"/>
      <c r="Z174" s="275"/>
      <c r="AA174" s="275"/>
      <c r="AB174" s="275"/>
      <c r="AC174" s="275"/>
      <c r="AD174" s="275"/>
      <c r="AE174" s="275"/>
      <c r="AF174" s="296"/>
    </row>
    <row r="175" spans="1:32" s="54" customFormat="1" ht="18" hidden="1" customHeight="1">
      <c r="A175" s="277">
        <v>868</v>
      </c>
      <c r="B175" s="265" t="s">
        <v>849</v>
      </c>
      <c r="C175" s="266">
        <v>0</v>
      </c>
      <c r="D175" s="267">
        <v>0</v>
      </c>
      <c r="E175" s="267">
        <v>34</v>
      </c>
      <c r="F175" s="267">
        <v>0</v>
      </c>
      <c r="G175" s="267">
        <v>0</v>
      </c>
      <c r="H175" s="267">
        <v>45</v>
      </c>
      <c r="I175" s="267">
        <v>5</v>
      </c>
      <c r="J175" s="267">
        <v>0</v>
      </c>
      <c r="K175" s="268">
        <v>0</v>
      </c>
      <c r="L175" s="270">
        <f>SUM(C175:K175)</f>
        <v>84</v>
      </c>
      <c r="M175" s="271">
        <f>M174+L175</f>
        <v>20649</v>
      </c>
      <c r="N175" s="266">
        <v>50</v>
      </c>
      <c r="O175" s="268">
        <v>34</v>
      </c>
      <c r="P175" s="272">
        <v>43</v>
      </c>
      <c r="Q175" s="269">
        <f>Q174+P175</f>
        <v>786</v>
      </c>
      <c r="R175" s="273">
        <f>L175+P175</f>
        <v>127</v>
      </c>
      <c r="S175" s="274"/>
      <c r="T175" s="275"/>
      <c r="U175" s="275"/>
      <c r="V175" s="275"/>
      <c r="W175" s="275"/>
      <c r="X175" s="275"/>
      <c r="Y175" s="275"/>
      <c r="Z175" s="275"/>
      <c r="AA175" s="275"/>
      <c r="AB175" s="275"/>
      <c r="AC175" s="275"/>
      <c r="AD175" s="275"/>
      <c r="AE175" s="275"/>
      <c r="AF175" s="296"/>
    </row>
    <row r="176" spans="1:32" s="54" customFormat="1" ht="18" hidden="1" customHeight="1">
      <c r="A176" s="278">
        <f>A174-A175</f>
        <v>0</v>
      </c>
      <c r="B176" s="265" t="s">
        <v>851</v>
      </c>
      <c r="C176" s="266">
        <v>0</v>
      </c>
      <c r="D176" s="267">
        <v>0</v>
      </c>
      <c r="E176" s="267">
        <v>47</v>
      </c>
      <c r="F176" s="267">
        <v>0</v>
      </c>
      <c r="G176" s="267">
        <v>0</v>
      </c>
      <c r="H176" s="267">
        <v>45</v>
      </c>
      <c r="I176" s="267">
        <v>0</v>
      </c>
      <c r="J176" s="267">
        <v>0</v>
      </c>
      <c r="K176" s="268">
        <v>0</v>
      </c>
      <c r="L176" s="270">
        <f t="shared" si="15"/>
        <v>92</v>
      </c>
      <c r="M176" s="271">
        <f t="shared" ref="M176:M207" si="17">M175+L176</f>
        <v>20741</v>
      </c>
      <c r="N176" s="266">
        <v>45</v>
      </c>
      <c r="O176" s="268">
        <v>47</v>
      </c>
      <c r="P176" s="272">
        <v>47</v>
      </c>
      <c r="Q176" s="269">
        <f t="shared" si="16"/>
        <v>833</v>
      </c>
      <c r="R176" s="273">
        <f t="shared" si="10"/>
        <v>139</v>
      </c>
      <c r="S176" s="274"/>
      <c r="T176" s="275"/>
      <c r="U176" s="275"/>
      <c r="V176" s="275"/>
      <c r="W176" s="275"/>
      <c r="X176" s="275"/>
      <c r="Y176" s="275"/>
      <c r="Z176" s="275"/>
      <c r="AA176" s="275"/>
      <c r="AB176" s="275"/>
      <c r="AC176" s="275"/>
      <c r="AD176" s="275"/>
      <c r="AE176" s="275"/>
      <c r="AF176" s="296"/>
    </row>
    <row r="177" spans="1:32" s="54" customFormat="1" ht="18" hidden="1" customHeight="1">
      <c r="A177" s="279"/>
      <c r="B177" s="265" t="s">
        <v>852</v>
      </c>
      <c r="C177" s="266">
        <v>0</v>
      </c>
      <c r="D177" s="267">
        <v>0</v>
      </c>
      <c r="E177" s="267">
        <v>47</v>
      </c>
      <c r="F177" s="267">
        <v>0</v>
      </c>
      <c r="G177" s="267">
        <v>0</v>
      </c>
      <c r="H177" s="267">
        <v>34</v>
      </c>
      <c r="I177" s="267">
        <v>4</v>
      </c>
      <c r="J177" s="267">
        <v>0</v>
      </c>
      <c r="K177" s="268">
        <v>0</v>
      </c>
      <c r="L177" s="270">
        <f>SUM(C177:K177)</f>
        <v>85</v>
      </c>
      <c r="M177" s="271">
        <f>M176+L177</f>
        <v>20826</v>
      </c>
      <c r="N177" s="266">
        <v>38</v>
      </c>
      <c r="O177" s="268">
        <v>47</v>
      </c>
      <c r="P177" s="272">
        <v>54</v>
      </c>
      <c r="Q177" s="269">
        <f t="shared" si="16"/>
        <v>887</v>
      </c>
      <c r="R177" s="273">
        <f t="shared" si="10"/>
        <v>139</v>
      </c>
      <c r="S177" s="280"/>
      <c r="T177" s="275"/>
      <c r="U177" s="275"/>
      <c r="V177" s="275"/>
      <c r="W177" s="275"/>
      <c r="X177" s="275"/>
      <c r="Y177" s="275"/>
      <c r="Z177" s="275"/>
      <c r="AA177" s="275"/>
      <c r="AB177" s="275"/>
      <c r="AC177" s="275"/>
      <c r="AD177" s="275"/>
      <c r="AE177" s="275"/>
      <c r="AF177" s="296"/>
    </row>
    <row r="178" spans="1:32" s="54" customFormat="1" ht="18" hidden="1" customHeight="1">
      <c r="A178" s="264" t="s">
        <v>897</v>
      </c>
      <c r="B178" s="265" t="s">
        <v>853</v>
      </c>
      <c r="C178" s="266">
        <v>0</v>
      </c>
      <c r="D178" s="267">
        <v>0</v>
      </c>
      <c r="E178" s="267">
        <v>19</v>
      </c>
      <c r="F178" s="267">
        <v>2</v>
      </c>
      <c r="G178" s="267">
        <v>0</v>
      </c>
      <c r="H178" s="267">
        <v>22</v>
      </c>
      <c r="I178" s="267">
        <v>14</v>
      </c>
      <c r="J178" s="267">
        <v>0</v>
      </c>
      <c r="K178" s="268">
        <v>0</v>
      </c>
      <c r="L178" s="270">
        <f t="shared" si="15"/>
        <v>57</v>
      </c>
      <c r="M178" s="271">
        <f t="shared" si="17"/>
        <v>20883</v>
      </c>
      <c r="N178" s="266">
        <v>38</v>
      </c>
      <c r="O178" s="268">
        <v>19</v>
      </c>
      <c r="P178" s="272">
        <v>35</v>
      </c>
      <c r="Q178" s="269">
        <f t="shared" si="16"/>
        <v>922</v>
      </c>
      <c r="R178" s="273">
        <f t="shared" si="10"/>
        <v>92</v>
      </c>
      <c r="S178" s="280"/>
      <c r="T178" s="275"/>
      <c r="U178" s="275"/>
      <c r="V178" s="275"/>
      <c r="W178" s="275"/>
      <c r="X178" s="275"/>
      <c r="Y178" s="275"/>
      <c r="Z178" s="275"/>
      <c r="AA178" s="275"/>
      <c r="AB178" s="275"/>
      <c r="AC178" s="275"/>
      <c r="AD178" s="275"/>
      <c r="AE178" s="275"/>
      <c r="AF178" s="296"/>
    </row>
    <row r="179" spans="1:32" s="54" customFormat="1" ht="18" hidden="1" customHeight="1">
      <c r="A179" s="276">
        <f>SUM(P172:P183)</f>
        <v>448</v>
      </c>
      <c r="B179" s="265" t="s">
        <v>855</v>
      </c>
      <c r="C179" s="266">
        <v>0</v>
      </c>
      <c r="D179" s="267">
        <v>0</v>
      </c>
      <c r="E179" s="267">
        <v>0</v>
      </c>
      <c r="F179" s="267">
        <v>0</v>
      </c>
      <c r="G179" s="267">
        <v>0</v>
      </c>
      <c r="H179" s="267">
        <v>20</v>
      </c>
      <c r="I179" s="267">
        <v>9</v>
      </c>
      <c r="J179" s="267">
        <v>0</v>
      </c>
      <c r="K179" s="268">
        <v>4</v>
      </c>
      <c r="L179" s="270">
        <v>33</v>
      </c>
      <c r="M179" s="271">
        <f t="shared" si="17"/>
        <v>20916</v>
      </c>
      <c r="N179" s="266">
        <v>33</v>
      </c>
      <c r="O179" s="268">
        <v>0</v>
      </c>
      <c r="P179" s="272">
        <v>52</v>
      </c>
      <c r="Q179" s="269">
        <f t="shared" si="16"/>
        <v>974</v>
      </c>
      <c r="R179" s="273">
        <f t="shared" si="10"/>
        <v>85</v>
      </c>
      <c r="S179" s="280"/>
      <c r="T179" s="275"/>
      <c r="U179" s="275"/>
      <c r="V179" s="275"/>
      <c r="W179" s="275"/>
      <c r="X179" s="275"/>
      <c r="Y179" s="275"/>
      <c r="Z179" s="275"/>
      <c r="AA179" s="275"/>
      <c r="AB179" s="275"/>
      <c r="AC179" s="275"/>
      <c r="AD179" s="275"/>
      <c r="AE179" s="275"/>
      <c r="AF179" s="296"/>
    </row>
    <row r="180" spans="1:32" s="54" customFormat="1" ht="18" hidden="1" customHeight="1">
      <c r="A180" s="277">
        <v>448</v>
      </c>
      <c r="B180" s="265" t="s">
        <v>898</v>
      </c>
      <c r="C180" s="266">
        <v>0</v>
      </c>
      <c r="D180" s="267">
        <v>0</v>
      </c>
      <c r="E180" s="267">
        <v>1</v>
      </c>
      <c r="F180" s="267">
        <v>0</v>
      </c>
      <c r="G180" s="267">
        <v>0</v>
      </c>
      <c r="H180" s="267">
        <v>26</v>
      </c>
      <c r="I180" s="267">
        <v>10</v>
      </c>
      <c r="J180" s="267">
        <v>0</v>
      </c>
      <c r="K180" s="268">
        <v>4</v>
      </c>
      <c r="L180" s="270">
        <f t="shared" si="15"/>
        <v>41</v>
      </c>
      <c r="M180" s="271">
        <f t="shared" si="17"/>
        <v>20957</v>
      </c>
      <c r="N180" s="266">
        <v>40</v>
      </c>
      <c r="O180" s="268">
        <v>1</v>
      </c>
      <c r="P180" s="272">
        <v>19</v>
      </c>
      <c r="Q180" s="269">
        <f t="shared" si="16"/>
        <v>993</v>
      </c>
      <c r="R180" s="273">
        <f t="shared" si="10"/>
        <v>60</v>
      </c>
      <c r="S180" s="280"/>
      <c r="T180" s="275"/>
      <c r="U180" s="275"/>
      <c r="V180" s="275"/>
      <c r="W180" s="275"/>
      <c r="X180" s="275"/>
      <c r="Y180" s="275"/>
      <c r="Z180" s="275"/>
      <c r="AA180" s="275"/>
      <c r="AB180" s="275"/>
      <c r="AC180" s="275"/>
      <c r="AD180" s="275"/>
      <c r="AE180" s="275"/>
      <c r="AF180" s="296"/>
    </row>
    <row r="181" spans="1:32" s="54" customFormat="1" ht="18" hidden="1" customHeight="1">
      <c r="A181" s="278">
        <f>A179-A180</f>
        <v>0</v>
      </c>
      <c r="B181" s="265" t="s">
        <v>857</v>
      </c>
      <c r="C181" s="266">
        <v>0</v>
      </c>
      <c r="D181" s="267">
        <v>0</v>
      </c>
      <c r="E181" s="267">
        <v>5</v>
      </c>
      <c r="F181" s="267">
        <v>0</v>
      </c>
      <c r="G181" s="267">
        <v>0</v>
      </c>
      <c r="H181" s="267">
        <v>88</v>
      </c>
      <c r="I181" s="267">
        <v>7</v>
      </c>
      <c r="J181" s="267">
        <v>0</v>
      </c>
      <c r="K181" s="268">
        <v>0</v>
      </c>
      <c r="L181" s="270">
        <f t="shared" si="15"/>
        <v>100</v>
      </c>
      <c r="M181" s="271">
        <f t="shared" si="17"/>
        <v>21057</v>
      </c>
      <c r="N181" s="266">
        <v>95</v>
      </c>
      <c r="O181" s="268">
        <v>5</v>
      </c>
      <c r="P181" s="272">
        <v>36</v>
      </c>
      <c r="Q181" s="269">
        <f t="shared" si="16"/>
        <v>1029</v>
      </c>
      <c r="R181" s="273">
        <f t="shared" si="10"/>
        <v>136</v>
      </c>
      <c r="S181" s="280"/>
      <c r="T181" s="275"/>
      <c r="U181" s="275"/>
      <c r="V181" s="275"/>
      <c r="W181" s="275"/>
      <c r="X181" s="275"/>
      <c r="Y181" s="275"/>
      <c r="Z181" s="275"/>
      <c r="AA181" s="275"/>
      <c r="AB181" s="275"/>
      <c r="AC181" s="275"/>
      <c r="AD181" s="275"/>
      <c r="AE181" s="275"/>
      <c r="AF181" s="296"/>
    </row>
    <row r="182" spans="1:32" s="54" customFormat="1" ht="18" hidden="1" customHeight="1">
      <c r="A182" s="278"/>
      <c r="B182" s="265" t="s">
        <v>858</v>
      </c>
      <c r="C182" s="266">
        <v>0</v>
      </c>
      <c r="D182" s="267">
        <v>0</v>
      </c>
      <c r="E182" s="267">
        <v>2</v>
      </c>
      <c r="F182" s="267">
        <v>0</v>
      </c>
      <c r="G182" s="267">
        <v>0</v>
      </c>
      <c r="H182" s="267">
        <v>15</v>
      </c>
      <c r="I182" s="267">
        <v>23</v>
      </c>
      <c r="J182" s="267">
        <v>0</v>
      </c>
      <c r="K182" s="268">
        <v>5</v>
      </c>
      <c r="L182" s="270">
        <f t="shared" si="15"/>
        <v>45</v>
      </c>
      <c r="M182" s="271">
        <f t="shared" si="17"/>
        <v>21102</v>
      </c>
      <c r="N182" s="266">
        <v>43</v>
      </c>
      <c r="O182" s="268">
        <v>2</v>
      </c>
      <c r="P182" s="272">
        <v>11</v>
      </c>
      <c r="Q182" s="269">
        <f t="shared" si="16"/>
        <v>1040</v>
      </c>
      <c r="R182" s="273">
        <f t="shared" si="10"/>
        <v>56</v>
      </c>
      <c r="S182" s="281"/>
      <c r="T182" s="282"/>
      <c r="U182" s="282"/>
      <c r="V182" s="282"/>
      <c r="W182" s="282"/>
      <c r="X182" s="282"/>
      <c r="Y182" s="282"/>
      <c r="Z182" s="282"/>
      <c r="AA182" s="282"/>
      <c r="AB182" s="282"/>
      <c r="AC182" s="282"/>
      <c r="AD182" s="282"/>
      <c r="AE182" s="282"/>
      <c r="AF182" s="296"/>
    </row>
    <row r="183" spans="1:32" s="54" customFormat="1" ht="18" hidden="1" customHeight="1" thickBot="1">
      <c r="A183" s="283"/>
      <c r="B183" s="284" t="s">
        <v>899</v>
      </c>
      <c r="C183" s="285">
        <v>0</v>
      </c>
      <c r="D183" s="285">
        <v>0</v>
      </c>
      <c r="E183" s="285">
        <v>1</v>
      </c>
      <c r="F183" s="285">
        <v>0</v>
      </c>
      <c r="G183" s="285">
        <v>0</v>
      </c>
      <c r="H183" s="285">
        <v>1</v>
      </c>
      <c r="I183" s="285">
        <v>4</v>
      </c>
      <c r="J183" s="285">
        <v>0</v>
      </c>
      <c r="K183" s="285">
        <v>6</v>
      </c>
      <c r="L183" s="286">
        <v>12</v>
      </c>
      <c r="M183" s="287">
        <f t="shared" si="17"/>
        <v>21114</v>
      </c>
      <c r="N183" s="288">
        <v>11</v>
      </c>
      <c r="O183" s="285">
        <v>1</v>
      </c>
      <c r="P183" s="289">
        <v>16</v>
      </c>
      <c r="Q183" s="290">
        <f t="shared" si="16"/>
        <v>1056</v>
      </c>
      <c r="R183" s="291">
        <f t="shared" si="10"/>
        <v>28</v>
      </c>
      <c r="S183" s="292"/>
      <c r="T183" s="293"/>
      <c r="U183" s="293"/>
      <c r="V183" s="293"/>
      <c r="W183" s="293"/>
      <c r="X183" s="293"/>
      <c r="Y183" s="293"/>
      <c r="Z183" s="293"/>
      <c r="AA183" s="293"/>
      <c r="AB183" s="293"/>
      <c r="AC183" s="293"/>
      <c r="AD183" s="293"/>
      <c r="AE183" s="293"/>
      <c r="AF183" s="296"/>
    </row>
    <row r="184" spans="1:32" s="54" customFormat="1" ht="18" customHeight="1">
      <c r="A184" s="251" t="s">
        <v>900</v>
      </c>
      <c r="B184" s="297" t="s">
        <v>901</v>
      </c>
      <c r="C184" s="298">
        <v>0</v>
      </c>
      <c r="D184" s="298">
        <v>0</v>
      </c>
      <c r="E184" s="298">
        <v>16</v>
      </c>
      <c r="F184" s="298">
        <v>0</v>
      </c>
      <c r="G184" s="298">
        <v>0</v>
      </c>
      <c r="H184" s="298">
        <v>0</v>
      </c>
      <c r="I184" s="298">
        <v>0</v>
      </c>
      <c r="J184" s="298">
        <v>0</v>
      </c>
      <c r="K184" s="298">
        <v>0</v>
      </c>
      <c r="L184" s="299">
        <f t="shared" si="15"/>
        <v>16</v>
      </c>
      <c r="M184" s="300">
        <f t="shared" si="17"/>
        <v>21130</v>
      </c>
      <c r="N184" s="301">
        <v>0</v>
      </c>
      <c r="O184" s="298">
        <v>16</v>
      </c>
      <c r="P184" s="302">
        <v>18</v>
      </c>
      <c r="Q184" s="303">
        <f t="shared" si="16"/>
        <v>1074</v>
      </c>
      <c r="R184" s="304">
        <f>L184+P184</f>
        <v>34</v>
      </c>
      <c r="S184" s="305"/>
      <c r="T184" s="306"/>
      <c r="U184" s="306"/>
      <c r="V184" s="306"/>
      <c r="W184" s="306"/>
      <c r="X184" s="306"/>
      <c r="Y184" s="306"/>
      <c r="Z184" s="306"/>
      <c r="AA184" s="306"/>
      <c r="AB184" s="306"/>
      <c r="AC184" s="306"/>
      <c r="AD184" s="306"/>
      <c r="AE184" s="306"/>
      <c r="AF184" s="296" t="s">
        <v>902</v>
      </c>
    </row>
    <row r="185" spans="1:32" s="54" customFormat="1" ht="18" customHeight="1">
      <c r="A185" s="264" t="s">
        <v>903</v>
      </c>
      <c r="B185" s="307" t="s">
        <v>904</v>
      </c>
      <c r="C185" s="268">
        <v>0</v>
      </c>
      <c r="D185" s="268">
        <v>0</v>
      </c>
      <c r="E185" s="268">
        <v>6</v>
      </c>
      <c r="F185" s="268">
        <v>0</v>
      </c>
      <c r="G185" s="268">
        <v>0</v>
      </c>
      <c r="H185" s="268">
        <v>1</v>
      </c>
      <c r="I185" s="268">
        <v>6</v>
      </c>
      <c r="J185" s="268">
        <v>0</v>
      </c>
      <c r="K185" s="268">
        <v>0</v>
      </c>
      <c r="L185" s="270">
        <f t="shared" si="15"/>
        <v>13</v>
      </c>
      <c r="M185" s="308">
        <f t="shared" si="17"/>
        <v>21143</v>
      </c>
      <c r="N185" s="266">
        <v>7</v>
      </c>
      <c r="O185" s="268">
        <v>6</v>
      </c>
      <c r="P185" s="272">
        <v>19</v>
      </c>
      <c r="Q185" s="267">
        <f t="shared" si="16"/>
        <v>1093</v>
      </c>
      <c r="R185" s="273">
        <f t="shared" si="10"/>
        <v>32</v>
      </c>
      <c r="S185" s="281"/>
      <c r="T185" s="282"/>
      <c r="U185" s="282"/>
      <c r="V185" s="282"/>
      <c r="W185" s="282"/>
      <c r="X185" s="282"/>
      <c r="Y185" s="282"/>
      <c r="Z185" s="282"/>
      <c r="AA185" s="282"/>
      <c r="AB185" s="282"/>
      <c r="AC185" s="282"/>
      <c r="AD185" s="282"/>
      <c r="AE185" s="282"/>
      <c r="AF185" s="296" t="s">
        <v>905</v>
      </c>
    </row>
    <row r="186" spans="1:32" s="54" customFormat="1" ht="18" customHeight="1">
      <c r="A186" s="276">
        <f>SUM(L184:L195)</f>
        <v>290</v>
      </c>
      <c r="B186" s="307" t="s">
        <v>906</v>
      </c>
      <c r="C186" s="268">
        <v>0</v>
      </c>
      <c r="D186" s="268">
        <v>0</v>
      </c>
      <c r="E186" s="268">
        <v>0</v>
      </c>
      <c r="F186" s="268">
        <v>0</v>
      </c>
      <c r="G186" s="268">
        <v>0</v>
      </c>
      <c r="H186" s="268">
        <v>2</v>
      </c>
      <c r="I186" s="268">
        <v>10</v>
      </c>
      <c r="J186" s="268">
        <v>0</v>
      </c>
      <c r="K186" s="268">
        <v>0</v>
      </c>
      <c r="L186" s="270">
        <f t="shared" si="15"/>
        <v>12</v>
      </c>
      <c r="M186" s="308">
        <f t="shared" si="17"/>
        <v>21155</v>
      </c>
      <c r="N186" s="266">
        <v>12</v>
      </c>
      <c r="O186" s="268">
        <v>0</v>
      </c>
      <c r="P186" s="272">
        <v>37</v>
      </c>
      <c r="Q186" s="267">
        <f t="shared" si="16"/>
        <v>1130</v>
      </c>
      <c r="R186" s="273">
        <f t="shared" si="10"/>
        <v>49</v>
      </c>
      <c r="S186" s="281"/>
      <c r="T186" s="282"/>
      <c r="U186" s="282"/>
      <c r="V186" s="282"/>
      <c r="W186" s="282"/>
      <c r="X186" s="282"/>
      <c r="Y186" s="282"/>
      <c r="Z186" s="282"/>
      <c r="AA186" s="282"/>
      <c r="AB186" s="282"/>
      <c r="AC186" s="282"/>
      <c r="AD186" s="282"/>
      <c r="AE186" s="282"/>
      <c r="AF186" s="296" t="s">
        <v>907</v>
      </c>
    </row>
    <row r="187" spans="1:32" s="54" customFormat="1" ht="18" customHeight="1">
      <c r="A187" s="277">
        <v>290</v>
      </c>
      <c r="B187" s="307" t="s">
        <v>849</v>
      </c>
      <c r="C187" s="268">
        <v>0</v>
      </c>
      <c r="D187" s="268">
        <v>0</v>
      </c>
      <c r="E187" s="268">
        <v>2</v>
      </c>
      <c r="F187" s="268">
        <v>0</v>
      </c>
      <c r="G187" s="268">
        <v>0</v>
      </c>
      <c r="H187" s="268">
        <v>0</v>
      </c>
      <c r="I187" s="268">
        <v>22</v>
      </c>
      <c r="J187" s="268">
        <v>0</v>
      </c>
      <c r="K187" s="268">
        <v>1</v>
      </c>
      <c r="L187" s="270">
        <f>SUM(C187:K187)</f>
        <v>25</v>
      </c>
      <c r="M187" s="308">
        <f t="shared" si="17"/>
        <v>21180</v>
      </c>
      <c r="N187" s="266">
        <v>23</v>
      </c>
      <c r="O187" s="268">
        <v>2</v>
      </c>
      <c r="P187" s="272">
        <v>50</v>
      </c>
      <c r="Q187" s="267">
        <f>Q186+P187</f>
        <v>1180</v>
      </c>
      <c r="R187" s="273">
        <f t="shared" si="10"/>
        <v>75</v>
      </c>
      <c r="S187" s="281"/>
      <c r="T187" s="282"/>
      <c r="U187" s="282"/>
      <c r="V187" s="282"/>
      <c r="W187" s="282"/>
      <c r="X187" s="282"/>
      <c r="Y187" s="282"/>
      <c r="Z187" s="282"/>
      <c r="AA187" s="282"/>
      <c r="AB187" s="282"/>
      <c r="AC187" s="282"/>
      <c r="AD187" s="282"/>
      <c r="AE187" s="282"/>
      <c r="AF187" s="296" t="s">
        <v>908</v>
      </c>
    </row>
    <row r="188" spans="1:32" s="54" customFormat="1" ht="18" customHeight="1">
      <c r="A188" s="278">
        <f>A186-A187</f>
        <v>0</v>
      </c>
      <c r="B188" s="307" t="s">
        <v>851</v>
      </c>
      <c r="C188" s="268">
        <v>0</v>
      </c>
      <c r="D188" s="268">
        <v>0</v>
      </c>
      <c r="E188" s="268">
        <v>3</v>
      </c>
      <c r="F188" s="268">
        <v>1</v>
      </c>
      <c r="G188" s="268">
        <v>0</v>
      </c>
      <c r="H188" s="268">
        <v>1</v>
      </c>
      <c r="I188" s="268">
        <v>1</v>
      </c>
      <c r="J188" s="268">
        <v>0</v>
      </c>
      <c r="K188" s="268">
        <v>18</v>
      </c>
      <c r="L188" s="270">
        <f>SUM(C188:K188)</f>
        <v>24</v>
      </c>
      <c r="M188" s="308">
        <f t="shared" si="17"/>
        <v>21204</v>
      </c>
      <c r="N188" s="266">
        <v>21</v>
      </c>
      <c r="O188" s="268">
        <v>3</v>
      </c>
      <c r="P188" s="272">
        <v>54</v>
      </c>
      <c r="Q188" s="267">
        <f>Q187+P188</f>
        <v>1234</v>
      </c>
      <c r="R188" s="273">
        <f t="shared" si="10"/>
        <v>78</v>
      </c>
      <c r="S188" s="281"/>
      <c r="T188" s="282"/>
      <c r="U188" s="282"/>
      <c r="V188" s="282"/>
      <c r="W188" s="282"/>
      <c r="X188" s="282"/>
      <c r="Y188" s="282"/>
      <c r="Z188" s="282"/>
      <c r="AA188" s="282"/>
      <c r="AB188" s="282"/>
      <c r="AC188" s="282"/>
      <c r="AD188" s="282"/>
      <c r="AE188" s="282"/>
      <c r="AF188" s="296" t="s">
        <v>909</v>
      </c>
    </row>
    <row r="189" spans="1:32" s="54" customFormat="1" ht="18" customHeight="1">
      <c r="A189" s="279"/>
      <c r="B189" s="307" t="s">
        <v>852</v>
      </c>
      <c r="C189" s="268">
        <v>0</v>
      </c>
      <c r="D189" s="268">
        <v>0</v>
      </c>
      <c r="E189" s="268">
        <v>19</v>
      </c>
      <c r="F189" s="268">
        <v>0</v>
      </c>
      <c r="G189" s="268">
        <v>0</v>
      </c>
      <c r="H189" s="268">
        <v>25</v>
      </c>
      <c r="I189" s="268">
        <v>1</v>
      </c>
      <c r="J189" s="268">
        <v>0</v>
      </c>
      <c r="K189" s="268">
        <v>0</v>
      </c>
      <c r="L189" s="270">
        <f>SUM(C189:K189)</f>
        <v>45</v>
      </c>
      <c r="M189" s="308">
        <f t="shared" si="17"/>
        <v>21249</v>
      </c>
      <c r="N189" s="266">
        <v>26</v>
      </c>
      <c r="O189" s="268">
        <v>19</v>
      </c>
      <c r="P189" s="272">
        <v>72</v>
      </c>
      <c r="Q189" s="267">
        <f>Q188+P189</f>
        <v>1306</v>
      </c>
      <c r="R189" s="273">
        <f t="shared" si="10"/>
        <v>117</v>
      </c>
      <c r="S189" s="281"/>
      <c r="T189" s="282"/>
      <c r="U189" s="282"/>
      <c r="V189" s="282"/>
      <c r="W189" s="282"/>
      <c r="X189" s="282"/>
      <c r="Y189" s="282"/>
      <c r="Z189" s="282"/>
      <c r="AA189" s="282"/>
      <c r="AB189" s="282"/>
      <c r="AC189" s="282"/>
      <c r="AD189" s="282"/>
      <c r="AE189" s="282"/>
      <c r="AF189" s="296" t="s">
        <v>910</v>
      </c>
    </row>
    <row r="190" spans="1:32" s="54" customFormat="1" ht="18" customHeight="1">
      <c r="A190" s="264" t="s">
        <v>911</v>
      </c>
      <c r="B190" s="307" t="s">
        <v>853</v>
      </c>
      <c r="C190" s="268">
        <v>0</v>
      </c>
      <c r="D190" s="268">
        <v>0</v>
      </c>
      <c r="E190" s="268">
        <v>25</v>
      </c>
      <c r="F190" s="268">
        <v>0</v>
      </c>
      <c r="G190" s="268">
        <v>0</v>
      </c>
      <c r="H190" s="268">
        <v>25</v>
      </c>
      <c r="I190" s="268">
        <v>0</v>
      </c>
      <c r="J190" s="268">
        <v>0</v>
      </c>
      <c r="K190" s="268">
        <v>3</v>
      </c>
      <c r="L190" s="270">
        <f t="shared" ref="L190:L207" si="18">SUM(C190:K190)</f>
        <v>53</v>
      </c>
      <c r="M190" s="308">
        <f t="shared" si="17"/>
        <v>21302</v>
      </c>
      <c r="N190" s="266">
        <v>28</v>
      </c>
      <c r="O190" s="268">
        <v>25</v>
      </c>
      <c r="P190" s="272">
        <v>71</v>
      </c>
      <c r="Q190" s="267">
        <f t="shared" si="16"/>
        <v>1377</v>
      </c>
      <c r="R190" s="273">
        <f t="shared" si="10"/>
        <v>124</v>
      </c>
      <c r="S190" s="281"/>
      <c r="T190" s="282"/>
      <c r="U190" s="282"/>
      <c r="V190" s="282"/>
      <c r="W190" s="282"/>
      <c r="X190" s="282"/>
      <c r="Y190" s="282"/>
      <c r="Z190" s="282"/>
      <c r="AA190" s="282"/>
      <c r="AB190" s="282"/>
      <c r="AC190" s="282"/>
      <c r="AD190" s="282"/>
      <c r="AE190" s="282"/>
      <c r="AF190" s="296" t="s">
        <v>912</v>
      </c>
    </row>
    <row r="191" spans="1:32" s="54" customFormat="1" ht="18" customHeight="1">
      <c r="A191" s="276">
        <f>SUM(P184:P195)</f>
        <v>553</v>
      </c>
      <c r="B191" s="358" t="s">
        <v>855</v>
      </c>
      <c r="C191" s="359">
        <v>0</v>
      </c>
      <c r="D191" s="359">
        <v>0</v>
      </c>
      <c r="E191" s="359">
        <v>17</v>
      </c>
      <c r="F191" s="359">
        <v>0</v>
      </c>
      <c r="G191" s="359">
        <v>0</v>
      </c>
      <c r="H191" s="359">
        <v>11</v>
      </c>
      <c r="I191" s="359">
        <v>0</v>
      </c>
      <c r="J191" s="359">
        <v>0</v>
      </c>
      <c r="K191" s="359">
        <v>3</v>
      </c>
      <c r="L191" s="270">
        <f t="shared" si="18"/>
        <v>31</v>
      </c>
      <c r="M191" s="361">
        <f>M190+L191</f>
        <v>21333</v>
      </c>
      <c r="N191" s="360">
        <v>14</v>
      </c>
      <c r="O191" s="359">
        <v>17</v>
      </c>
      <c r="P191" s="272">
        <v>64</v>
      </c>
      <c r="Q191" s="362">
        <f t="shared" si="16"/>
        <v>1441</v>
      </c>
      <c r="R191" s="273">
        <f>L191+P191</f>
        <v>95</v>
      </c>
      <c r="S191" s="363"/>
      <c r="T191" s="364"/>
      <c r="U191" s="364"/>
      <c r="V191" s="364"/>
      <c r="W191" s="364"/>
      <c r="X191" s="364"/>
      <c r="Y191" s="364"/>
      <c r="Z191" s="364"/>
      <c r="AA191" s="364"/>
      <c r="AB191" s="364"/>
      <c r="AC191" s="364"/>
      <c r="AD191" s="364"/>
      <c r="AE191" s="364"/>
      <c r="AF191" s="296" t="s">
        <v>913</v>
      </c>
    </row>
    <row r="192" spans="1:32" s="54" customFormat="1" ht="24.75" customHeight="1">
      <c r="A192" s="277">
        <v>585</v>
      </c>
      <c r="B192" s="309" t="s">
        <v>914</v>
      </c>
      <c r="C192" s="310">
        <f>SUMIFS(C$211:C$325,$A$211:$A$325,$AF192)</f>
        <v>0</v>
      </c>
      <c r="D192" s="310">
        <f t="shared" ref="D192:K192" si="19">SUMIFS(D$211:D$325,$A$211:$A$325,$AF192)</f>
        <v>0</v>
      </c>
      <c r="E192" s="310">
        <f t="shared" si="19"/>
        <v>1</v>
      </c>
      <c r="F192" s="310">
        <f t="shared" si="19"/>
        <v>0</v>
      </c>
      <c r="G192" s="310">
        <f t="shared" si="19"/>
        <v>0</v>
      </c>
      <c r="H192" s="310">
        <f t="shared" si="19"/>
        <v>25</v>
      </c>
      <c r="I192" s="310">
        <f t="shared" si="19"/>
        <v>2</v>
      </c>
      <c r="J192" s="310">
        <f t="shared" si="19"/>
        <v>0</v>
      </c>
      <c r="K192" s="310">
        <f t="shared" si="19"/>
        <v>8</v>
      </c>
      <c r="L192" s="270">
        <f>SUM(C192:K192)</f>
        <v>36</v>
      </c>
      <c r="M192" s="311">
        <f t="shared" si="17"/>
        <v>21369</v>
      </c>
      <c r="N192" s="312">
        <f>SUMIFS(N$211:N$325,$A$211:$A$325,$AF192)</f>
        <v>35</v>
      </c>
      <c r="O192" s="310">
        <f t="shared" ref="O192:P192" si="20">SUMIFS(O$211:O$325,$A$211:$A$325,$AF192)</f>
        <v>1</v>
      </c>
      <c r="P192" s="272">
        <f t="shared" si="20"/>
        <v>61</v>
      </c>
      <c r="Q192" s="313">
        <f t="shared" si="16"/>
        <v>1502</v>
      </c>
      <c r="R192" s="273">
        <f>L192+P192</f>
        <v>97</v>
      </c>
      <c r="S192" s="314">
        <f>SUMIFS(S$211:S$325,$A$211:$A$325,$AF192)</f>
        <v>16</v>
      </c>
      <c r="T192" s="315">
        <f t="shared" ref="T192:AE192" si="21">SUMIFS(T$211:T$325,$A$211:$A$325,$AF192)</f>
        <v>1</v>
      </c>
      <c r="U192" s="315">
        <f t="shared" si="21"/>
        <v>0</v>
      </c>
      <c r="V192" s="315">
        <f t="shared" si="21"/>
        <v>0</v>
      </c>
      <c r="W192" s="315">
        <f t="shared" si="21"/>
        <v>0</v>
      </c>
      <c r="X192" s="315">
        <f t="shared" si="21"/>
        <v>0</v>
      </c>
      <c r="Y192" s="315">
        <f t="shared" si="21"/>
        <v>0</v>
      </c>
      <c r="Z192" s="315">
        <f t="shared" si="21"/>
        <v>9</v>
      </c>
      <c r="AA192" s="315">
        <f t="shared" si="21"/>
        <v>2</v>
      </c>
      <c r="AB192" s="315">
        <f t="shared" si="21"/>
        <v>0</v>
      </c>
      <c r="AC192" s="315">
        <f t="shared" si="21"/>
        <v>8</v>
      </c>
      <c r="AD192" s="315">
        <f t="shared" si="21"/>
        <v>11</v>
      </c>
      <c r="AE192" s="315">
        <f t="shared" si="21"/>
        <v>50</v>
      </c>
      <c r="AF192" s="296" t="s">
        <v>915</v>
      </c>
    </row>
    <row r="193" spans="1:32" s="54" customFormat="1" ht="24.75" customHeight="1">
      <c r="A193" s="278">
        <f>A191-A192</f>
        <v>-32</v>
      </c>
      <c r="B193" s="309" t="s">
        <v>857</v>
      </c>
      <c r="C193" s="310">
        <f t="shared" ref="C193:K207" si="22">SUMIFS(C$211:C$325,$A$211:$A$325,$AF193)</f>
        <v>0</v>
      </c>
      <c r="D193" s="310">
        <f t="shared" si="22"/>
        <v>0</v>
      </c>
      <c r="E193" s="310">
        <f t="shared" si="22"/>
        <v>0</v>
      </c>
      <c r="F193" s="310">
        <f t="shared" si="22"/>
        <v>0</v>
      </c>
      <c r="G193" s="310">
        <f t="shared" si="22"/>
        <v>0</v>
      </c>
      <c r="H193" s="310">
        <f t="shared" si="22"/>
        <v>3</v>
      </c>
      <c r="I193" s="310">
        <f t="shared" si="22"/>
        <v>2</v>
      </c>
      <c r="J193" s="310">
        <f t="shared" si="22"/>
        <v>0</v>
      </c>
      <c r="K193" s="310">
        <f t="shared" si="22"/>
        <v>1</v>
      </c>
      <c r="L193" s="270">
        <f t="shared" si="18"/>
        <v>6</v>
      </c>
      <c r="M193" s="311">
        <f t="shared" si="17"/>
        <v>21375</v>
      </c>
      <c r="N193" s="312">
        <f t="shared" ref="N193:P207" si="23">SUMIFS(N$211:N$325,$A$211:$A$325,$AF193)</f>
        <v>6</v>
      </c>
      <c r="O193" s="310">
        <f t="shared" si="23"/>
        <v>0</v>
      </c>
      <c r="P193" s="272">
        <f t="shared" si="23"/>
        <v>25</v>
      </c>
      <c r="Q193" s="313">
        <f t="shared" si="16"/>
        <v>1527</v>
      </c>
      <c r="R193" s="273">
        <f t="shared" si="10"/>
        <v>31</v>
      </c>
      <c r="S193" s="314">
        <f t="shared" ref="S193:AE207" si="24">SUMIFS(S$211:S$325,$A$211:$A$325,$AF193)</f>
        <v>2</v>
      </c>
      <c r="T193" s="315">
        <f t="shared" si="24"/>
        <v>0</v>
      </c>
      <c r="U193" s="315">
        <f t="shared" si="24"/>
        <v>0</v>
      </c>
      <c r="V193" s="315">
        <f t="shared" si="24"/>
        <v>0</v>
      </c>
      <c r="W193" s="315">
        <f t="shared" si="24"/>
        <v>0</v>
      </c>
      <c r="X193" s="315">
        <f t="shared" si="24"/>
        <v>0</v>
      </c>
      <c r="Y193" s="315">
        <f t="shared" si="24"/>
        <v>2</v>
      </c>
      <c r="Z193" s="315">
        <f t="shared" si="24"/>
        <v>1</v>
      </c>
      <c r="AA193" s="315">
        <f t="shared" si="24"/>
        <v>0</v>
      </c>
      <c r="AB193" s="315">
        <f t="shared" si="24"/>
        <v>0</v>
      </c>
      <c r="AC193" s="315">
        <f t="shared" si="24"/>
        <v>1</v>
      </c>
      <c r="AD193" s="315">
        <f t="shared" si="24"/>
        <v>8</v>
      </c>
      <c r="AE193" s="315">
        <f t="shared" si="24"/>
        <v>17</v>
      </c>
      <c r="AF193" s="296" t="s">
        <v>916</v>
      </c>
    </row>
    <row r="194" spans="1:32" s="54" customFormat="1" ht="24.75" customHeight="1">
      <c r="A194" s="278"/>
      <c r="B194" s="309" t="s">
        <v>858</v>
      </c>
      <c r="C194" s="310">
        <f t="shared" si="22"/>
        <v>0</v>
      </c>
      <c r="D194" s="310">
        <f t="shared" si="22"/>
        <v>0</v>
      </c>
      <c r="E194" s="310">
        <f t="shared" si="22"/>
        <v>7</v>
      </c>
      <c r="F194" s="310">
        <f t="shared" si="22"/>
        <v>0</v>
      </c>
      <c r="G194" s="310">
        <f t="shared" si="22"/>
        <v>0</v>
      </c>
      <c r="H194" s="310">
        <f t="shared" si="22"/>
        <v>0</v>
      </c>
      <c r="I194" s="310">
        <f t="shared" si="22"/>
        <v>5</v>
      </c>
      <c r="J194" s="310">
        <f t="shared" si="22"/>
        <v>0</v>
      </c>
      <c r="K194" s="310">
        <f t="shared" si="22"/>
        <v>4</v>
      </c>
      <c r="L194" s="270">
        <f t="shared" si="18"/>
        <v>16</v>
      </c>
      <c r="M194" s="311">
        <f t="shared" si="17"/>
        <v>21391</v>
      </c>
      <c r="N194" s="312">
        <f t="shared" si="23"/>
        <v>9</v>
      </c>
      <c r="O194" s="310">
        <f t="shared" si="23"/>
        <v>7</v>
      </c>
      <c r="P194" s="272">
        <f t="shared" si="23"/>
        <v>14</v>
      </c>
      <c r="Q194" s="313">
        <f t="shared" si="16"/>
        <v>1541</v>
      </c>
      <c r="R194" s="273">
        <f t="shared" si="10"/>
        <v>30</v>
      </c>
      <c r="S194" s="314">
        <f t="shared" si="24"/>
        <v>0</v>
      </c>
      <c r="T194" s="315">
        <f t="shared" si="24"/>
        <v>7</v>
      </c>
      <c r="U194" s="315">
        <f t="shared" si="24"/>
        <v>0</v>
      </c>
      <c r="V194" s="315">
        <f t="shared" si="24"/>
        <v>0</v>
      </c>
      <c r="W194" s="315">
        <f t="shared" si="24"/>
        <v>0</v>
      </c>
      <c r="X194" s="315">
        <f t="shared" si="24"/>
        <v>0</v>
      </c>
      <c r="Y194" s="315">
        <f t="shared" si="24"/>
        <v>0</v>
      </c>
      <c r="Z194" s="315">
        <f t="shared" si="24"/>
        <v>0</v>
      </c>
      <c r="AA194" s="315">
        <f t="shared" si="24"/>
        <v>5</v>
      </c>
      <c r="AB194" s="315">
        <f t="shared" si="24"/>
        <v>0</v>
      </c>
      <c r="AC194" s="315">
        <f t="shared" si="24"/>
        <v>4</v>
      </c>
      <c r="AD194" s="315">
        <f t="shared" si="24"/>
        <v>14</v>
      </c>
      <c r="AE194" s="315">
        <f t="shared" si="24"/>
        <v>0</v>
      </c>
      <c r="AF194" s="296" t="s">
        <v>917</v>
      </c>
    </row>
    <row r="195" spans="1:32" s="54" customFormat="1" ht="24.75" customHeight="1" thickBot="1">
      <c r="A195" s="283"/>
      <c r="B195" s="365" t="s">
        <v>859</v>
      </c>
      <c r="C195" s="366">
        <f t="shared" si="22"/>
        <v>0</v>
      </c>
      <c r="D195" s="366">
        <f t="shared" si="22"/>
        <v>0</v>
      </c>
      <c r="E195" s="366">
        <f t="shared" si="22"/>
        <v>0</v>
      </c>
      <c r="F195" s="366">
        <f t="shared" si="22"/>
        <v>0</v>
      </c>
      <c r="G195" s="366">
        <f t="shared" si="22"/>
        <v>0</v>
      </c>
      <c r="H195" s="366">
        <f t="shared" si="22"/>
        <v>1</v>
      </c>
      <c r="I195" s="366">
        <f t="shared" si="22"/>
        <v>7</v>
      </c>
      <c r="J195" s="366">
        <f t="shared" si="22"/>
        <v>0</v>
      </c>
      <c r="K195" s="366">
        <f t="shared" si="22"/>
        <v>5</v>
      </c>
      <c r="L195" s="286">
        <f t="shared" si="18"/>
        <v>13</v>
      </c>
      <c r="M195" s="367">
        <f t="shared" si="17"/>
        <v>21404</v>
      </c>
      <c r="N195" s="368">
        <f t="shared" si="23"/>
        <v>13</v>
      </c>
      <c r="O195" s="366">
        <f t="shared" si="23"/>
        <v>0</v>
      </c>
      <c r="P195" s="289">
        <f t="shared" si="23"/>
        <v>68</v>
      </c>
      <c r="Q195" s="369">
        <f t="shared" si="16"/>
        <v>1609</v>
      </c>
      <c r="R195" s="291">
        <f t="shared" si="10"/>
        <v>81</v>
      </c>
      <c r="S195" s="370">
        <f t="shared" si="24"/>
        <v>0</v>
      </c>
      <c r="T195" s="371">
        <f t="shared" si="24"/>
        <v>0</v>
      </c>
      <c r="U195" s="371">
        <f t="shared" si="24"/>
        <v>0</v>
      </c>
      <c r="V195" s="371">
        <f t="shared" si="24"/>
        <v>0</v>
      </c>
      <c r="W195" s="371">
        <f t="shared" si="24"/>
        <v>0</v>
      </c>
      <c r="X195" s="371">
        <f t="shared" si="24"/>
        <v>0</v>
      </c>
      <c r="Y195" s="371">
        <f t="shared" si="24"/>
        <v>0</v>
      </c>
      <c r="Z195" s="371">
        <f t="shared" si="24"/>
        <v>1</v>
      </c>
      <c r="AA195" s="371">
        <f t="shared" si="24"/>
        <v>7</v>
      </c>
      <c r="AB195" s="371">
        <f t="shared" si="24"/>
        <v>0</v>
      </c>
      <c r="AC195" s="371">
        <f t="shared" si="24"/>
        <v>5</v>
      </c>
      <c r="AD195" s="371">
        <f t="shared" si="24"/>
        <v>68</v>
      </c>
      <c r="AE195" s="371">
        <f t="shared" si="24"/>
        <v>0</v>
      </c>
      <c r="AF195" s="296" t="s">
        <v>918</v>
      </c>
    </row>
    <row r="196" spans="1:32" s="54" customFormat="1" ht="18" customHeight="1">
      <c r="A196" s="251" t="s">
        <v>919</v>
      </c>
      <c r="B196" s="297" t="s">
        <v>920</v>
      </c>
      <c r="C196" s="298">
        <f t="shared" si="22"/>
        <v>0</v>
      </c>
      <c r="D196" s="298">
        <f t="shared" si="22"/>
        <v>0</v>
      </c>
      <c r="E196" s="298">
        <f t="shared" si="22"/>
        <v>23</v>
      </c>
      <c r="F196" s="298">
        <f t="shared" si="22"/>
        <v>0</v>
      </c>
      <c r="G196" s="298">
        <f t="shared" si="22"/>
        <v>0</v>
      </c>
      <c r="H196" s="298">
        <f t="shared" si="22"/>
        <v>7</v>
      </c>
      <c r="I196" s="298">
        <f t="shared" si="22"/>
        <v>3</v>
      </c>
      <c r="J196" s="298">
        <f t="shared" si="22"/>
        <v>0</v>
      </c>
      <c r="K196" s="298">
        <f t="shared" si="22"/>
        <v>0</v>
      </c>
      <c r="L196" s="299">
        <f t="shared" si="18"/>
        <v>33</v>
      </c>
      <c r="M196" s="300">
        <f t="shared" si="17"/>
        <v>21437</v>
      </c>
      <c r="N196" s="301">
        <f t="shared" si="23"/>
        <v>10</v>
      </c>
      <c r="O196" s="298">
        <f t="shared" si="23"/>
        <v>23</v>
      </c>
      <c r="P196" s="302">
        <f t="shared" si="23"/>
        <v>104</v>
      </c>
      <c r="Q196" s="303">
        <f t="shared" si="16"/>
        <v>1713</v>
      </c>
      <c r="R196" s="304">
        <f t="shared" ref="R196:R207" si="25">L196+P196</f>
        <v>137</v>
      </c>
      <c r="S196" s="318">
        <f t="shared" si="24"/>
        <v>7</v>
      </c>
      <c r="T196" s="319">
        <f t="shared" si="24"/>
        <v>9</v>
      </c>
      <c r="U196" s="319">
        <f t="shared" si="24"/>
        <v>0</v>
      </c>
      <c r="V196" s="319">
        <f t="shared" si="24"/>
        <v>0</v>
      </c>
      <c r="W196" s="319">
        <f t="shared" si="24"/>
        <v>9</v>
      </c>
      <c r="X196" s="319">
        <f t="shared" si="24"/>
        <v>0</v>
      </c>
      <c r="Y196" s="319">
        <f t="shared" si="24"/>
        <v>0</v>
      </c>
      <c r="Z196" s="319">
        <f t="shared" si="24"/>
        <v>0</v>
      </c>
      <c r="AA196" s="319">
        <f t="shared" si="24"/>
        <v>3</v>
      </c>
      <c r="AB196" s="319">
        <f t="shared" si="24"/>
        <v>5</v>
      </c>
      <c r="AC196" s="319">
        <f t="shared" si="24"/>
        <v>0</v>
      </c>
      <c r="AD196" s="319">
        <f t="shared" si="24"/>
        <v>104</v>
      </c>
      <c r="AE196" s="319">
        <f t="shared" si="24"/>
        <v>0</v>
      </c>
      <c r="AF196" s="296" t="s">
        <v>921</v>
      </c>
    </row>
    <row r="197" spans="1:32" s="54" customFormat="1" ht="18" customHeight="1">
      <c r="A197" s="264" t="s">
        <v>922</v>
      </c>
      <c r="B197" s="307" t="s">
        <v>923</v>
      </c>
      <c r="C197" s="268">
        <f t="shared" si="22"/>
        <v>0</v>
      </c>
      <c r="D197" s="268">
        <f t="shared" si="22"/>
        <v>0</v>
      </c>
      <c r="E197" s="268">
        <f t="shared" si="22"/>
        <v>32</v>
      </c>
      <c r="F197" s="268">
        <f t="shared" si="22"/>
        <v>0</v>
      </c>
      <c r="G197" s="268">
        <f t="shared" si="22"/>
        <v>0</v>
      </c>
      <c r="H197" s="268">
        <f t="shared" si="22"/>
        <v>0</v>
      </c>
      <c r="I197" s="268">
        <f t="shared" si="22"/>
        <v>3</v>
      </c>
      <c r="J197" s="268">
        <f t="shared" si="22"/>
        <v>0</v>
      </c>
      <c r="K197" s="268">
        <f t="shared" si="22"/>
        <v>0</v>
      </c>
      <c r="L197" s="270">
        <f t="shared" si="18"/>
        <v>35</v>
      </c>
      <c r="M197" s="308">
        <f t="shared" si="17"/>
        <v>21472</v>
      </c>
      <c r="N197" s="266">
        <f t="shared" si="23"/>
        <v>3</v>
      </c>
      <c r="O197" s="268">
        <f t="shared" si="23"/>
        <v>32</v>
      </c>
      <c r="P197" s="272">
        <f t="shared" si="23"/>
        <v>138</v>
      </c>
      <c r="Q197" s="267">
        <f t="shared" si="16"/>
        <v>1851</v>
      </c>
      <c r="R197" s="273">
        <f t="shared" si="25"/>
        <v>173</v>
      </c>
      <c r="S197" s="320">
        <f t="shared" si="24"/>
        <v>0</v>
      </c>
      <c r="T197" s="321">
        <f t="shared" si="24"/>
        <v>16</v>
      </c>
      <c r="U197" s="321">
        <f t="shared" si="24"/>
        <v>0</v>
      </c>
      <c r="V197" s="321">
        <f t="shared" si="24"/>
        <v>0</v>
      </c>
      <c r="W197" s="321">
        <f t="shared" si="24"/>
        <v>16</v>
      </c>
      <c r="X197" s="321">
        <f t="shared" si="24"/>
        <v>0</v>
      </c>
      <c r="Y197" s="321">
        <f t="shared" si="24"/>
        <v>0</v>
      </c>
      <c r="Z197" s="321">
        <f t="shared" si="24"/>
        <v>0</v>
      </c>
      <c r="AA197" s="321">
        <f t="shared" si="24"/>
        <v>3</v>
      </c>
      <c r="AB197" s="321">
        <f t="shared" si="24"/>
        <v>0</v>
      </c>
      <c r="AC197" s="321">
        <f t="shared" si="24"/>
        <v>0</v>
      </c>
      <c r="AD197" s="321">
        <f t="shared" si="24"/>
        <v>138</v>
      </c>
      <c r="AE197" s="321">
        <f t="shared" si="24"/>
        <v>0</v>
      </c>
      <c r="AF197" s="296" t="s">
        <v>924</v>
      </c>
    </row>
    <row r="198" spans="1:32" s="54" customFormat="1" ht="18" customHeight="1">
      <c r="A198" s="276">
        <f>SUM(L196:L207)</f>
        <v>421</v>
      </c>
      <c r="B198" s="307" t="s">
        <v>925</v>
      </c>
      <c r="C198" s="268">
        <f t="shared" si="22"/>
        <v>0</v>
      </c>
      <c r="D198" s="268">
        <f t="shared" si="22"/>
        <v>0</v>
      </c>
      <c r="E198" s="268">
        <f t="shared" si="22"/>
        <v>2</v>
      </c>
      <c r="F198" s="268">
        <f t="shared" si="22"/>
        <v>0</v>
      </c>
      <c r="G198" s="268">
        <f t="shared" si="22"/>
        <v>0</v>
      </c>
      <c r="H198" s="268">
        <f t="shared" si="22"/>
        <v>0</v>
      </c>
      <c r="I198" s="268">
        <f t="shared" si="22"/>
        <v>5</v>
      </c>
      <c r="J198" s="268">
        <f t="shared" si="22"/>
        <v>0</v>
      </c>
      <c r="K198" s="268">
        <f t="shared" si="22"/>
        <v>0</v>
      </c>
      <c r="L198" s="270">
        <f t="shared" si="18"/>
        <v>7</v>
      </c>
      <c r="M198" s="308">
        <f t="shared" si="17"/>
        <v>21479</v>
      </c>
      <c r="N198" s="266">
        <f t="shared" si="23"/>
        <v>5</v>
      </c>
      <c r="O198" s="268">
        <f t="shared" si="23"/>
        <v>2</v>
      </c>
      <c r="P198" s="272">
        <f t="shared" si="23"/>
        <v>91</v>
      </c>
      <c r="Q198" s="267">
        <f t="shared" si="16"/>
        <v>1942</v>
      </c>
      <c r="R198" s="273">
        <f t="shared" si="25"/>
        <v>98</v>
      </c>
      <c r="S198" s="320">
        <f t="shared" si="24"/>
        <v>0</v>
      </c>
      <c r="T198" s="321">
        <f t="shared" si="24"/>
        <v>2</v>
      </c>
      <c r="U198" s="321">
        <f t="shared" si="24"/>
        <v>0</v>
      </c>
      <c r="V198" s="321">
        <f t="shared" si="24"/>
        <v>0</v>
      </c>
      <c r="W198" s="321">
        <f t="shared" si="24"/>
        <v>0</v>
      </c>
      <c r="X198" s="321">
        <f t="shared" si="24"/>
        <v>0</v>
      </c>
      <c r="Y198" s="321">
        <f t="shared" si="24"/>
        <v>0</v>
      </c>
      <c r="Z198" s="321">
        <f t="shared" si="24"/>
        <v>0</v>
      </c>
      <c r="AA198" s="321">
        <f t="shared" si="24"/>
        <v>5</v>
      </c>
      <c r="AB198" s="321">
        <f t="shared" si="24"/>
        <v>0</v>
      </c>
      <c r="AC198" s="321">
        <f t="shared" si="24"/>
        <v>0</v>
      </c>
      <c r="AD198" s="321">
        <f t="shared" si="24"/>
        <v>91</v>
      </c>
      <c r="AE198" s="321">
        <f t="shared" si="24"/>
        <v>0</v>
      </c>
      <c r="AF198" s="296" t="s">
        <v>926</v>
      </c>
    </row>
    <row r="199" spans="1:32" s="54" customFormat="1" ht="18" customHeight="1">
      <c r="A199" s="277">
        <v>455</v>
      </c>
      <c r="B199" s="307" t="s">
        <v>849</v>
      </c>
      <c r="C199" s="268">
        <f t="shared" si="22"/>
        <v>0</v>
      </c>
      <c r="D199" s="268">
        <f t="shared" si="22"/>
        <v>0</v>
      </c>
      <c r="E199" s="268">
        <f t="shared" si="22"/>
        <v>9</v>
      </c>
      <c r="F199" s="268">
        <f t="shared" si="22"/>
        <v>0</v>
      </c>
      <c r="G199" s="268">
        <f t="shared" si="22"/>
        <v>0</v>
      </c>
      <c r="H199" s="268">
        <f t="shared" si="22"/>
        <v>6</v>
      </c>
      <c r="I199" s="268">
        <f t="shared" si="22"/>
        <v>12</v>
      </c>
      <c r="J199" s="268">
        <f t="shared" si="22"/>
        <v>0</v>
      </c>
      <c r="K199" s="268">
        <f t="shared" si="22"/>
        <v>8</v>
      </c>
      <c r="L199" s="270">
        <f t="shared" si="18"/>
        <v>35</v>
      </c>
      <c r="M199" s="308">
        <f t="shared" si="17"/>
        <v>21514</v>
      </c>
      <c r="N199" s="266">
        <f t="shared" si="23"/>
        <v>26</v>
      </c>
      <c r="O199" s="268">
        <f t="shared" si="23"/>
        <v>9</v>
      </c>
      <c r="P199" s="272">
        <f t="shared" si="23"/>
        <v>163</v>
      </c>
      <c r="Q199" s="267">
        <f>Q198+P199</f>
        <v>2105</v>
      </c>
      <c r="R199" s="273">
        <f t="shared" si="25"/>
        <v>198</v>
      </c>
      <c r="S199" s="320">
        <f t="shared" si="24"/>
        <v>0</v>
      </c>
      <c r="T199" s="321">
        <f t="shared" si="24"/>
        <v>9</v>
      </c>
      <c r="U199" s="321">
        <f t="shared" si="24"/>
        <v>0</v>
      </c>
      <c r="V199" s="321">
        <f t="shared" si="24"/>
        <v>0</v>
      </c>
      <c r="W199" s="321">
        <f t="shared" si="24"/>
        <v>0</v>
      </c>
      <c r="X199" s="321">
        <f t="shared" si="24"/>
        <v>0</v>
      </c>
      <c r="Y199" s="321">
        <f t="shared" si="24"/>
        <v>7</v>
      </c>
      <c r="Z199" s="321">
        <f t="shared" si="24"/>
        <v>6</v>
      </c>
      <c r="AA199" s="321">
        <f t="shared" si="24"/>
        <v>5</v>
      </c>
      <c r="AB199" s="321">
        <f t="shared" si="24"/>
        <v>0</v>
      </c>
      <c r="AC199" s="321">
        <f t="shared" si="24"/>
        <v>8</v>
      </c>
      <c r="AD199" s="321">
        <f t="shared" si="24"/>
        <v>163</v>
      </c>
      <c r="AE199" s="321">
        <f t="shared" si="24"/>
        <v>0</v>
      </c>
      <c r="AF199" s="296" t="s">
        <v>927</v>
      </c>
    </row>
    <row r="200" spans="1:32" s="54" customFormat="1" ht="18" customHeight="1">
      <c r="A200" s="278">
        <f>A198-A199</f>
        <v>-34</v>
      </c>
      <c r="B200" s="307" t="s">
        <v>851</v>
      </c>
      <c r="C200" s="268">
        <f t="shared" si="22"/>
        <v>0</v>
      </c>
      <c r="D200" s="268">
        <f t="shared" si="22"/>
        <v>0</v>
      </c>
      <c r="E200" s="268">
        <f t="shared" si="22"/>
        <v>8</v>
      </c>
      <c r="F200" s="268">
        <f t="shared" si="22"/>
        <v>0</v>
      </c>
      <c r="G200" s="268">
        <f t="shared" si="22"/>
        <v>0</v>
      </c>
      <c r="H200" s="268">
        <f t="shared" si="22"/>
        <v>8</v>
      </c>
      <c r="I200" s="268">
        <f t="shared" si="22"/>
        <v>4</v>
      </c>
      <c r="J200" s="268">
        <f t="shared" si="22"/>
        <v>0</v>
      </c>
      <c r="K200" s="268">
        <f t="shared" si="22"/>
        <v>0</v>
      </c>
      <c r="L200" s="270">
        <f t="shared" si="18"/>
        <v>20</v>
      </c>
      <c r="M200" s="308">
        <f t="shared" si="17"/>
        <v>21534</v>
      </c>
      <c r="N200" s="266">
        <f t="shared" si="23"/>
        <v>12</v>
      </c>
      <c r="O200" s="268">
        <f t="shared" si="23"/>
        <v>8</v>
      </c>
      <c r="P200" s="272">
        <f t="shared" si="23"/>
        <v>131</v>
      </c>
      <c r="Q200" s="267">
        <f>Q199+P200</f>
        <v>2236</v>
      </c>
      <c r="R200" s="273">
        <f t="shared" si="25"/>
        <v>151</v>
      </c>
      <c r="S200" s="320">
        <f t="shared" si="24"/>
        <v>2</v>
      </c>
      <c r="T200" s="321">
        <f t="shared" si="24"/>
        <v>8</v>
      </c>
      <c r="U200" s="321">
        <f t="shared" si="24"/>
        <v>6</v>
      </c>
      <c r="V200" s="321">
        <f t="shared" si="24"/>
        <v>0</v>
      </c>
      <c r="W200" s="321">
        <f t="shared" si="24"/>
        <v>0</v>
      </c>
      <c r="X200" s="321">
        <f t="shared" si="24"/>
        <v>0</v>
      </c>
      <c r="Y200" s="321">
        <f t="shared" si="24"/>
        <v>0</v>
      </c>
      <c r="Z200" s="321">
        <f t="shared" si="24"/>
        <v>0</v>
      </c>
      <c r="AA200" s="321">
        <f t="shared" si="24"/>
        <v>4</v>
      </c>
      <c r="AB200" s="321">
        <f t="shared" si="24"/>
        <v>0</v>
      </c>
      <c r="AC200" s="321">
        <f t="shared" si="24"/>
        <v>0</v>
      </c>
      <c r="AD200" s="321">
        <f t="shared" si="24"/>
        <v>90</v>
      </c>
      <c r="AE200" s="321">
        <f t="shared" si="24"/>
        <v>41</v>
      </c>
      <c r="AF200" s="296" t="s">
        <v>928</v>
      </c>
    </row>
    <row r="201" spans="1:32" s="54" customFormat="1" ht="18" customHeight="1">
      <c r="A201" s="279"/>
      <c r="B201" s="307" t="s">
        <v>852</v>
      </c>
      <c r="C201" s="268">
        <f t="shared" si="22"/>
        <v>0</v>
      </c>
      <c r="D201" s="268">
        <f t="shared" si="22"/>
        <v>0</v>
      </c>
      <c r="E201" s="268">
        <f t="shared" si="22"/>
        <v>39</v>
      </c>
      <c r="F201" s="268">
        <f t="shared" si="22"/>
        <v>0</v>
      </c>
      <c r="G201" s="268">
        <f t="shared" si="22"/>
        <v>0</v>
      </c>
      <c r="H201" s="268">
        <f t="shared" si="22"/>
        <v>0</v>
      </c>
      <c r="I201" s="268">
        <f t="shared" si="22"/>
        <v>0</v>
      </c>
      <c r="J201" s="268">
        <f t="shared" si="22"/>
        <v>0</v>
      </c>
      <c r="K201" s="268">
        <f t="shared" si="22"/>
        <v>0</v>
      </c>
      <c r="L201" s="270">
        <f t="shared" si="18"/>
        <v>39</v>
      </c>
      <c r="M201" s="308">
        <f t="shared" si="17"/>
        <v>21573</v>
      </c>
      <c r="N201" s="266">
        <f t="shared" si="23"/>
        <v>0</v>
      </c>
      <c r="O201" s="268">
        <f t="shared" si="23"/>
        <v>39</v>
      </c>
      <c r="P201" s="272">
        <f t="shared" si="23"/>
        <v>90</v>
      </c>
      <c r="Q201" s="267">
        <f t="shared" ref="Q201:Q207" si="26">Q200+P201</f>
        <v>2326</v>
      </c>
      <c r="R201" s="273">
        <f t="shared" si="25"/>
        <v>129</v>
      </c>
      <c r="S201" s="320">
        <f t="shared" si="24"/>
        <v>0</v>
      </c>
      <c r="T201" s="321">
        <f t="shared" si="24"/>
        <v>17</v>
      </c>
      <c r="U201" s="321">
        <f t="shared" si="24"/>
        <v>0</v>
      </c>
      <c r="V201" s="321">
        <f t="shared" si="24"/>
        <v>10</v>
      </c>
      <c r="W201" s="321">
        <f t="shared" si="24"/>
        <v>0</v>
      </c>
      <c r="X201" s="321">
        <f t="shared" si="24"/>
        <v>0</v>
      </c>
      <c r="Y201" s="321">
        <f t="shared" si="24"/>
        <v>0</v>
      </c>
      <c r="Z201" s="321">
        <f t="shared" si="24"/>
        <v>0</v>
      </c>
      <c r="AA201" s="321">
        <f t="shared" si="24"/>
        <v>0</v>
      </c>
      <c r="AB201" s="321">
        <f t="shared" si="24"/>
        <v>12</v>
      </c>
      <c r="AC201" s="321">
        <f t="shared" si="24"/>
        <v>0</v>
      </c>
      <c r="AD201" s="321">
        <f t="shared" si="24"/>
        <v>90</v>
      </c>
      <c r="AE201" s="321">
        <f t="shared" si="24"/>
        <v>0</v>
      </c>
      <c r="AF201" s="296" t="s">
        <v>929</v>
      </c>
    </row>
    <row r="202" spans="1:32" s="54" customFormat="1" ht="18" customHeight="1">
      <c r="A202" s="264" t="s">
        <v>911</v>
      </c>
      <c r="B202" s="307" t="s">
        <v>853</v>
      </c>
      <c r="C202" s="268">
        <f t="shared" si="22"/>
        <v>0</v>
      </c>
      <c r="D202" s="268">
        <f t="shared" si="22"/>
        <v>0</v>
      </c>
      <c r="E202" s="268">
        <f t="shared" si="22"/>
        <v>28</v>
      </c>
      <c r="F202" s="268">
        <f t="shared" si="22"/>
        <v>0</v>
      </c>
      <c r="G202" s="268">
        <f t="shared" si="22"/>
        <v>0</v>
      </c>
      <c r="H202" s="268">
        <f t="shared" si="22"/>
        <v>4</v>
      </c>
      <c r="I202" s="268">
        <f t="shared" si="22"/>
        <v>0</v>
      </c>
      <c r="J202" s="268">
        <f t="shared" si="22"/>
        <v>0</v>
      </c>
      <c r="K202" s="268">
        <f t="shared" si="22"/>
        <v>0</v>
      </c>
      <c r="L202" s="270">
        <f t="shared" si="18"/>
        <v>32</v>
      </c>
      <c r="M202" s="308">
        <f t="shared" si="17"/>
        <v>21605</v>
      </c>
      <c r="N202" s="266">
        <f t="shared" si="23"/>
        <v>4</v>
      </c>
      <c r="O202" s="268">
        <f t="shared" si="23"/>
        <v>28</v>
      </c>
      <c r="P202" s="272">
        <f t="shared" si="23"/>
        <v>135</v>
      </c>
      <c r="Q202" s="267">
        <f t="shared" si="26"/>
        <v>2461</v>
      </c>
      <c r="R202" s="273">
        <f t="shared" si="25"/>
        <v>167</v>
      </c>
      <c r="S202" s="320">
        <f t="shared" si="24"/>
        <v>4</v>
      </c>
      <c r="T202" s="321">
        <f t="shared" si="24"/>
        <v>18</v>
      </c>
      <c r="U202" s="321">
        <f t="shared" si="24"/>
        <v>0</v>
      </c>
      <c r="V202" s="321">
        <f t="shared" si="24"/>
        <v>10</v>
      </c>
      <c r="W202" s="321">
        <f t="shared" si="24"/>
        <v>0</v>
      </c>
      <c r="X202" s="321">
        <f t="shared" si="24"/>
        <v>0</v>
      </c>
      <c r="Y202" s="321">
        <f t="shared" si="24"/>
        <v>0</v>
      </c>
      <c r="Z202" s="321">
        <f t="shared" si="24"/>
        <v>0</v>
      </c>
      <c r="AA202" s="321">
        <f t="shared" si="24"/>
        <v>0</v>
      </c>
      <c r="AB202" s="321">
        <f t="shared" si="24"/>
        <v>0</v>
      </c>
      <c r="AC202" s="321">
        <f t="shared" si="24"/>
        <v>0</v>
      </c>
      <c r="AD202" s="321">
        <f t="shared" si="24"/>
        <v>85</v>
      </c>
      <c r="AE202" s="321">
        <f t="shared" si="24"/>
        <v>50</v>
      </c>
      <c r="AF202" s="296" t="s">
        <v>930</v>
      </c>
    </row>
    <row r="203" spans="1:32" s="54" customFormat="1" ht="18" customHeight="1">
      <c r="A203" s="276">
        <f>SUM(P196:P207)</f>
        <v>1027</v>
      </c>
      <c r="B203" s="307" t="s">
        <v>855</v>
      </c>
      <c r="C203" s="268">
        <f t="shared" si="22"/>
        <v>0</v>
      </c>
      <c r="D203" s="268">
        <f t="shared" si="22"/>
        <v>0</v>
      </c>
      <c r="E203" s="268">
        <f t="shared" si="22"/>
        <v>20</v>
      </c>
      <c r="F203" s="268">
        <f t="shared" si="22"/>
        <v>0</v>
      </c>
      <c r="G203" s="268">
        <f t="shared" si="22"/>
        <v>0</v>
      </c>
      <c r="H203" s="268">
        <f t="shared" si="22"/>
        <v>6</v>
      </c>
      <c r="I203" s="268">
        <f t="shared" si="22"/>
        <v>1</v>
      </c>
      <c r="J203" s="268">
        <f t="shared" si="22"/>
        <v>0</v>
      </c>
      <c r="K203" s="268">
        <f t="shared" si="22"/>
        <v>0</v>
      </c>
      <c r="L203" s="270">
        <f t="shared" si="18"/>
        <v>27</v>
      </c>
      <c r="M203" s="308">
        <f t="shared" si="17"/>
        <v>21632</v>
      </c>
      <c r="N203" s="266">
        <f t="shared" si="23"/>
        <v>7</v>
      </c>
      <c r="O203" s="268">
        <f t="shared" si="23"/>
        <v>20</v>
      </c>
      <c r="P203" s="272">
        <f t="shared" si="23"/>
        <v>75</v>
      </c>
      <c r="Q203" s="267">
        <f t="shared" si="26"/>
        <v>2536</v>
      </c>
      <c r="R203" s="273">
        <f t="shared" si="25"/>
        <v>102</v>
      </c>
      <c r="S203" s="320">
        <f t="shared" si="24"/>
        <v>3</v>
      </c>
      <c r="T203" s="321">
        <f t="shared" si="24"/>
        <v>0</v>
      </c>
      <c r="U203" s="321">
        <f t="shared" si="24"/>
        <v>0</v>
      </c>
      <c r="V203" s="321">
        <f t="shared" si="24"/>
        <v>20</v>
      </c>
      <c r="W203" s="321">
        <f t="shared" si="24"/>
        <v>0</v>
      </c>
      <c r="X203" s="321">
        <f t="shared" si="24"/>
        <v>3</v>
      </c>
      <c r="Y203" s="321">
        <f t="shared" si="24"/>
        <v>0</v>
      </c>
      <c r="Z203" s="321">
        <f t="shared" si="24"/>
        <v>0</v>
      </c>
      <c r="AA203" s="321">
        <f t="shared" si="24"/>
        <v>1</v>
      </c>
      <c r="AB203" s="321">
        <f t="shared" si="24"/>
        <v>0</v>
      </c>
      <c r="AC203" s="321">
        <f t="shared" si="24"/>
        <v>0</v>
      </c>
      <c r="AD203" s="321">
        <f t="shared" si="24"/>
        <v>75</v>
      </c>
      <c r="AE203" s="321">
        <f t="shared" si="24"/>
        <v>0</v>
      </c>
      <c r="AF203" s="296" t="s">
        <v>931</v>
      </c>
    </row>
    <row r="204" spans="1:32" s="54" customFormat="1" ht="18" customHeight="1">
      <c r="A204" s="277">
        <v>1144</v>
      </c>
      <c r="B204" s="307" t="s">
        <v>1415</v>
      </c>
      <c r="C204" s="268">
        <f t="shared" si="22"/>
        <v>0</v>
      </c>
      <c r="D204" s="268">
        <f t="shared" si="22"/>
        <v>0</v>
      </c>
      <c r="E204" s="268">
        <f t="shared" si="22"/>
        <v>36</v>
      </c>
      <c r="F204" s="268">
        <f t="shared" si="22"/>
        <v>0</v>
      </c>
      <c r="G204" s="268">
        <f t="shared" si="22"/>
        <v>0</v>
      </c>
      <c r="H204" s="268">
        <f t="shared" si="22"/>
        <v>46</v>
      </c>
      <c r="I204" s="268">
        <f t="shared" si="22"/>
        <v>1</v>
      </c>
      <c r="J204" s="268">
        <f t="shared" si="22"/>
        <v>0</v>
      </c>
      <c r="K204" s="268">
        <f t="shared" si="22"/>
        <v>0</v>
      </c>
      <c r="L204" s="270">
        <f t="shared" si="18"/>
        <v>83</v>
      </c>
      <c r="M204" s="308">
        <f t="shared" si="17"/>
        <v>21715</v>
      </c>
      <c r="N204" s="266">
        <f t="shared" si="23"/>
        <v>47</v>
      </c>
      <c r="O204" s="268">
        <f t="shared" si="23"/>
        <v>36</v>
      </c>
      <c r="P204" s="272">
        <f t="shared" si="23"/>
        <v>40</v>
      </c>
      <c r="Q204" s="267">
        <f t="shared" si="26"/>
        <v>2576</v>
      </c>
      <c r="R204" s="273">
        <f t="shared" si="25"/>
        <v>123</v>
      </c>
      <c r="S204" s="320">
        <f t="shared" si="24"/>
        <v>35</v>
      </c>
      <c r="T204" s="321">
        <f t="shared" si="24"/>
        <v>2</v>
      </c>
      <c r="U204" s="321">
        <f t="shared" si="24"/>
        <v>0</v>
      </c>
      <c r="V204" s="321">
        <f t="shared" si="24"/>
        <v>20</v>
      </c>
      <c r="W204" s="321">
        <f t="shared" si="24"/>
        <v>0</v>
      </c>
      <c r="X204" s="321">
        <f t="shared" si="24"/>
        <v>11</v>
      </c>
      <c r="Y204" s="321">
        <f t="shared" si="24"/>
        <v>0</v>
      </c>
      <c r="Z204" s="321">
        <f t="shared" si="24"/>
        <v>0</v>
      </c>
      <c r="AA204" s="321">
        <f t="shared" si="24"/>
        <v>1</v>
      </c>
      <c r="AB204" s="321">
        <f t="shared" si="24"/>
        <v>14</v>
      </c>
      <c r="AC204" s="321">
        <f t="shared" si="24"/>
        <v>0</v>
      </c>
      <c r="AD204" s="321">
        <f t="shared" si="24"/>
        <v>40</v>
      </c>
      <c r="AE204" s="321">
        <f t="shared" si="24"/>
        <v>0</v>
      </c>
      <c r="AF204" s="296" t="s">
        <v>932</v>
      </c>
    </row>
    <row r="205" spans="1:32" s="54" customFormat="1" ht="18" customHeight="1">
      <c r="A205" s="278">
        <f>A203-A204</f>
        <v>-117</v>
      </c>
      <c r="B205" s="307" t="s">
        <v>857</v>
      </c>
      <c r="C205" s="268">
        <f t="shared" si="22"/>
        <v>0</v>
      </c>
      <c r="D205" s="268">
        <f t="shared" si="22"/>
        <v>0</v>
      </c>
      <c r="E205" s="268">
        <f t="shared" si="22"/>
        <v>60</v>
      </c>
      <c r="F205" s="268">
        <f t="shared" si="22"/>
        <v>0</v>
      </c>
      <c r="G205" s="268">
        <f t="shared" si="22"/>
        <v>0</v>
      </c>
      <c r="H205" s="268">
        <f t="shared" si="22"/>
        <v>0</v>
      </c>
      <c r="I205" s="268">
        <f t="shared" si="22"/>
        <v>0</v>
      </c>
      <c r="J205" s="268">
        <f t="shared" si="22"/>
        <v>0</v>
      </c>
      <c r="K205" s="268">
        <f t="shared" si="22"/>
        <v>0</v>
      </c>
      <c r="L205" s="270">
        <f t="shared" si="18"/>
        <v>60</v>
      </c>
      <c r="M205" s="308">
        <f t="shared" si="17"/>
        <v>21775</v>
      </c>
      <c r="N205" s="266">
        <f t="shared" si="23"/>
        <v>0</v>
      </c>
      <c r="O205" s="268">
        <f t="shared" si="23"/>
        <v>60</v>
      </c>
      <c r="P205" s="272">
        <f t="shared" si="23"/>
        <v>60</v>
      </c>
      <c r="Q205" s="267">
        <f t="shared" si="26"/>
        <v>2636</v>
      </c>
      <c r="R205" s="273">
        <f t="shared" si="25"/>
        <v>120</v>
      </c>
      <c r="S205" s="320">
        <f t="shared" si="24"/>
        <v>0</v>
      </c>
      <c r="T205" s="321">
        <f t="shared" si="24"/>
        <v>39</v>
      </c>
      <c r="U205" s="321">
        <f t="shared" si="24"/>
        <v>0</v>
      </c>
      <c r="V205" s="321">
        <f t="shared" si="24"/>
        <v>20</v>
      </c>
      <c r="W205" s="321">
        <f t="shared" si="24"/>
        <v>0</v>
      </c>
      <c r="X205" s="321">
        <f t="shared" si="24"/>
        <v>0</v>
      </c>
      <c r="Y205" s="321">
        <f t="shared" si="24"/>
        <v>0</v>
      </c>
      <c r="Z205" s="321">
        <f t="shared" si="24"/>
        <v>0</v>
      </c>
      <c r="AA205" s="321">
        <f t="shared" si="24"/>
        <v>0</v>
      </c>
      <c r="AB205" s="321">
        <f t="shared" si="24"/>
        <v>1</v>
      </c>
      <c r="AC205" s="321">
        <f t="shared" si="24"/>
        <v>0</v>
      </c>
      <c r="AD205" s="321">
        <f t="shared" si="24"/>
        <v>10</v>
      </c>
      <c r="AE205" s="321">
        <f t="shared" si="24"/>
        <v>50</v>
      </c>
      <c r="AF205" s="296" t="s">
        <v>933</v>
      </c>
    </row>
    <row r="206" spans="1:32" s="54" customFormat="1" ht="18" customHeight="1">
      <c r="A206" s="278"/>
      <c r="B206" s="307" t="s">
        <v>858</v>
      </c>
      <c r="C206" s="268">
        <f t="shared" si="22"/>
        <v>0</v>
      </c>
      <c r="D206" s="268">
        <f t="shared" si="22"/>
        <v>0</v>
      </c>
      <c r="E206" s="268">
        <f t="shared" si="22"/>
        <v>25</v>
      </c>
      <c r="F206" s="268">
        <f t="shared" si="22"/>
        <v>0</v>
      </c>
      <c r="G206" s="268">
        <f t="shared" si="22"/>
        <v>0</v>
      </c>
      <c r="H206" s="268">
        <f t="shared" si="22"/>
        <v>0</v>
      </c>
      <c r="I206" s="268">
        <f t="shared" si="22"/>
        <v>0</v>
      </c>
      <c r="J206" s="268">
        <f t="shared" si="22"/>
        <v>0</v>
      </c>
      <c r="K206" s="268">
        <f t="shared" si="22"/>
        <v>0</v>
      </c>
      <c r="L206" s="270">
        <f t="shared" si="18"/>
        <v>25</v>
      </c>
      <c r="M206" s="308">
        <f t="shared" si="17"/>
        <v>21800</v>
      </c>
      <c r="N206" s="266">
        <f t="shared" si="23"/>
        <v>0</v>
      </c>
      <c r="O206" s="268">
        <f t="shared" si="23"/>
        <v>25</v>
      </c>
      <c r="P206" s="272">
        <f t="shared" si="23"/>
        <v>0</v>
      </c>
      <c r="Q206" s="267">
        <f t="shared" si="26"/>
        <v>2636</v>
      </c>
      <c r="R206" s="273">
        <f t="shared" si="25"/>
        <v>25</v>
      </c>
      <c r="S206" s="320">
        <f t="shared" si="24"/>
        <v>0</v>
      </c>
      <c r="T206" s="321">
        <f t="shared" si="24"/>
        <v>0</v>
      </c>
      <c r="U206" s="321">
        <f t="shared" si="24"/>
        <v>0</v>
      </c>
      <c r="V206" s="321">
        <f t="shared" si="24"/>
        <v>25</v>
      </c>
      <c r="W206" s="321">
        <f t="shared" si="24"/>
        <v>0</v>
      </c>
      <c r="X206" s="321">
        <f t="shared" si="24"/>
        <v>0</v>
      </c>
      <c r="Y206" s="321">
        <f t="shared" si="24"/>
        <v>0</v>
      </c>
      <c r="Z206" s="321">
        <f t="shared" si="24"/>
        <v>0</v>
      </c>
      <c r="AA206" s="321">
        <f t="shared" si="24"/>
        <v>0</v>
      </c>
      <c r="AB206" s="321">
        <f t="shared" si="24"/>
        <v>0</v>
      </c>
      <c r="AC206" s="321">
        <f t="shared" si="24"/>
        <v>0</v>
      </c>
      <c r="AD206" s="321">
        <f t="shared" si="24"/>
        <v>0</v>
      </c>
      <c r="AE206" s="321">
        <f t="shared" si="24"/>
        <v>0</v>
      </c>
      <c r="AF206" s="296" t="s">
        <v>934</v>
      </c>
    </row>
    <row r="207" spans="1:32" s="54" customFormat="1" ht="18" customHeight="1" thickBot="1">
      <c r="A207" s="283"/>
      <c r="B207" s="284" t="s">
        <v>859</v>
      </c>
      <c r="C207" s="285">
        <f t="shared" si="22"/>
        <v>0</v>
      </c>
      <c r="D207" s="285">
        <f t="shared" si="22"/>
        <v>0</v>
      </c>
      <c r="E207" s="285">
        <f t="shared" si="22"/>
        <v>25</v>
      </c>
      <c r="F207" s="285">
        <f t="shared" si="22"/>
        <v>0</v>
      </c>
      <c r="G207" s="285">
        <f t="shared" si="22"/>
        <v>0</v>
      </c>
      <c r="H207" s="285">
        <f t="shared" si="22"/>
        <v>0</v>
      </c>
      <c r="I207" s="285">
        <f t="shared" si="22"/>
        <v>0</v>
      </c>
      <c r="J207" s="285">
        <f t="shared" si="22"/>
        <v>0</v>
      </c>
      <c r="K207" s="285">
        <f t="shared" si="22"/>
        <v>0</v>
      </c>
      <c r="L207" s="286">
        <f t="shared" si="18"/>
        <v>25</v>
      </c>
      <c r="M207" s="287">
        <f t="shared" si="17"/>
        <v>21825</v>
      </c>
      <c r="N207" s="288">
        <f t="shared" si="23"/>
        <v>0</v>
      </c>
      <c r="O207" s="285">
        <f t="shared" si="23"/>
        <v>25</v>
      </c>
      <c r="P207" s="289">
        <f t="shared" si="23"/>
        <v>0</v>
      </c>
      <c r="Q207" s="290">
        <f t="shared" si="26"/>
        <v>2636</v>
      </c>
      <c r="R207" s="291">
        <f t="shared" si="25"/>
        <v>25</v>
      </c>
      <c r="S207" s="316">
        <f t="shared" si="24"/>
        <v>0</v>
      </c>
      <c r="T207" s="317">
        <f t="shared" si="24"/>
        <v>0</v>
      </c>
      <c r="U207" s="317">
        <f t="shared" si="24"/>
        <v>0</v>
      </c>
      <c r="V207" s="317">
        <f t="shared" si="24"/>
        <v>25</v>
      </c>
      <c r="W207" s="317">
        <f t="shared" si="24"/>
        <v>0</v>
      </c>
      <c r="X207" s="317">
        <f t="shared" si="24"/>
        <v>0</v>
      </c>
      <c r="Y207" s="317">
        <f t="shared" si="24"/>
        <v>0</v>
      </c>
      <c r="Z207" s="317">
        <f t="shared" si="24"/>
        <v>0</v>
      </c>
      <c r="AA207" s="317">
        <f t="shared" si="24"/>
        <v>0</v>
      </c>
      <c r="AB207" s="317">
        <f t="shared" si="24"/>
        <v>0</v>
      </c>
      <c r="AC207" s="317">
        <f t="shared" si="24"/>
        <v>0</v>
      </c>
      <c r="AD207" s="317">
        <f t="shared" si="24"/>
        <v>0</v>
      </c>
      <c r="AE207" s="317">
        <f t="shared" si="24"/>
        <v>0</v>
      </c>
      <c r="AF207" s="296" t="s">
        <v>935</v>
      </c>
    </row>
    <row r="208" spans="1:32" s="322" customFormat="1" ht="10.5">
      <c r="B208" s="323"/>
      <c r="C208" s="323"/>
      <c r="D208" s="323"/>
      <c r="E208" s="323" t="s">
        <v>936</v>
      </c>
      <c r="F208" s="323" t="s">
        <v>937</v>
      </c>
      <c r="G208" s="323" t="s">
        <v>938</v>
      </c>
      <c r="H208" s="323" t="s">
        <v>939</v>
      </c>
      <c r="I208" s="323" t="s">
        <v>940</v>
      </c>
      <c r="J208" s="323" t="s">
        <v>941</v>
      </c>
      <c r="K208" s="323" t="s">
        <v>942</v>
      </c>
      <c r="L208" s="323"/>
      <c r="M208" s="323"/>
      <c r="N208" s="323"/>
      <c r="O208" s="323"/>
      <c r="P208" s="323" t="s">
        <v>943</v>
      </c>
      <c r="Q208" s="323"/>
      <c r="R208" s="323"/>
    </row>
    <row r="209" spans="1:32" s="54" customFormat="1" ht="11.25" thickBot="1">
      <c r="B209" s="322">
        <v>1</v>
      </c>
      <c r="C209" s="324">
        <v>2</v>
      </c>
      <c r="D209" s="322">
        <v>3</v>
      </c>
      <c r="E209" s="324">
        <v>4</v>
      </c>
      <c r="F209" s="322">
        <v>5</v>
      </c>
      <c r="G209" s="324">
        <v>6</v>
      </c>
      <c r="H209" s="322">
        <v>7</v>
      </c>
      <c r="I209" s="324">
        <v>8</v>
      </c>
      <c r="J209" s="322">
        <v>9</v>
      </c>
      <c r="K209" s="324">
        <v>10</v>
      </c>
      <c r="L209" s="322">
        <v>11</v>
      </c>
      <c r="M209" s="324">
        <v>12</v>
      </c>
      <c r="N209" s="322">
        <v>13</v>
      </c>
      <c r="O209" s="324">
        <v>14</v>
      </c>
      <c r="P209" s="322">
        <v>15</v>
      </c>
      <c r="Q209" s="324">
        <v>16</v>
      </c>
      <c r="R209" s="322"/>
    </row>
    <row r="210" spans="1:32" s="54" customFormat="1" ht="11.25" thickBot="1">
      <c r="B210" s="48"/>
      <c r="C210" s="325"/>
      <c r="D210" s="326"/>
      <c r="E210" s="326"/>
      <c r="F210" s="326"/>
      <c r="G210" s="326"/>
      <c r="H210" s="326" t="s">
        <v>944</v>
      </c>
      <c r="I210" s="326"/>
      <c r="J210" s="326"/>
      <c r="K210" s="326"/>
      <c r="L210" s="326"/>
      <c r="M210" s="326"/>
      <c r="N210" s="326"/>
      <c r="O210" s="327"/>
      <c r="P210" s="328" t="s">
        <v>945</v>
      </c>
      <c r="Q210" s="329" t="s">
        <v>946</v>
      </c>
      <c r="R210" s="322"/>
      <c r="S210" s="330" t="str">
        <f>INDEX([1]V8structure!$AZ:$AZ,MATCH(S211,[1]V8structure!$C:$C,0),1)</f>
        <v>オレンジ</v>
      </c>
      <c r="T210" s="331" t="str">
        <f>INDEX([1]V8structure!$AZ:$AZ,MATCH(T211,[1]V8structure!$C:$C,0),1)</f>
        <v>青</v>
      </c>
      <c r="U210" s="330" t="str">
        <f>INDEX([1]V8structure!$AZ:$AZ,MATCH(U211,[1]V8structure!$C:$C,0),1)</f>
        <v>オレンジ</v>
      </c>
      <c r="V210" s="331" t="str">
        <f>INDEX([1]V8structure!$AZ:$AZ,MATCH(V211,[1]V8structure!$C:$C,0),1)</f>
        <v>青</v>
      </c>
      <c r="W210" s="331" t="str">
        <f>INDEX([1]V8structure!$AZ:$AZ,MATCH(W211,[1]V8structure!$C:$C,0),1)</f>
        <v>青</v>
      </c>
      <c r="X210" s="330" t="str">
        <f>INDEX([1]V8structure!$AZ:$AZ,MATCH(X211,[1]V8structure!$C:$C,0),1)</f>
        <v>オレンジ</v>
      </c>
      <c r="Y210" s="332" t="str">
        <f>INDEX([1]V8structure!$AZ:$AZ,MATCH(Y211,[1]V8structure!$C:$C,0),1)</f>
        <v>黄</v>
      </c>
      <c r="Z210" s="330" t="str">
        <f>INDEX([1]V8structure!$AZ:$AZ,MATCH(Z211,[1]V8structure!$C:$C,0),1)</f>
        <v>オレンジ</v>
      </c>
      <c r="AA210" s="332" t="str">
        <f>INDEX([1]V8structure!$AZ:$AZ,MATCH(AA211,[1]V8structure!$C:$C,0),1)</f>
        <v>黄</v>
      </c>
      <c r="AB210" s="331" t="str">
        <f>INDEX([1]V8structure!$AZ:$AZ,MATCH(AB211,[1]V8structure!$C:$C,0),1)</f>
        <v>青</v>
      </c>
      <c r="AC210" s="333" t="str">
        <f>INDEX([1]V8structure!$AZ:$AZ,MATCH(AC211,[1]V8structure!$C:$C,0),1)</f>
        <v>紫</v>
      </c>
      <c r="AD210" s="334" t="e">
        <f>INDEX([1]V8structure!$AZ:$AZ,MATCH(AD211,[1]V8structure!$C:$C,0),1)</f>
        <v>#N/A</v>
      </c>
      <c r="AE210" s="335" t="e">
        <f>INDEX([1]V8structure!$AZ:$AZ,MATCH(AE211,[1]V8structure!$C:$C,0),1)</f>
        <v>#N/A</v>
      </c>
    </row>
    <row r="211" spans="1:32" s="336" customFormat="1" ht="105.75" thickBot="1">
      <c r="B211" s="337" t="s">
        <v>828</v>
      </c>
      <c r="C211" s="338" t="s">
        <v>947</v>
      </c>
      <c r="D211" s="338" t="s">
        <v>948</v>
      </c>
      <c r="E211" s="339" t="s">
        <v>949</v>
      </c>
      <c r="F211" s="340" t="s">
        <v>950</v>
      </c>
      <c r="G211" s="341" t="s">
        <v>951</v>
      </c>
      <c r="H211" s="342" t="s">
        <v>952</v>
      </c>
      <c r="I211" s="343" t="s">
        <v>953</v>
      </c>
      <c r="J211" s="344" t="s">
        <v>836</v>
      </c>
      <c r="K211" s="345" t="s">
        <v>954</v>
      </c>
      <c r="L211" s="65" t="s">
        <v>955</v>
      </c>
      <c r="M211" s="346" t="s">
        <v>956</v>
      </c>
      <c r="N211" s="347" t="s">
        <v>957</v>
      </c>
      <c r="O211" s="347" t="s">
        <v>841</v>
      </c>
      <c r="P211" s="69" t="s">
        <v>958</v>
      </c>
      <c r="Q211" s="347" t="s">
        <v>843</v>
      </c>
      <c r="R211" s="70" t="s">
        <v>844</v>
      </c>
      <c r="S211" s="71" t="s">
        <v>260</v>
      </c>
      <c r="T211" s="72" t="s">
        <v>134</v>
      </c>
      <c r="U211" s="73" t="s">
        <v>197</v>
      </c>
      <c r="V211" s="74" t="s">
        <v>441</v>
      </c>
      <c r="W211" s="74" t="s">
        <v>140</v>
      </c>
      <c r="X211" s="73" t="s">
        <v>450</v>
      </c>
      <c r="Y211" s="75" t="s">
        <v>342</v>
      </c>
      <c r="Z211" s="71" t="s">
        <v>190</v>
      </c>
      <c r="AA211" s="75" t="s">
        <v>285</v>
      </c>
      <c r="AB211" s="74" t="s">
        <v>417</v>
      </c>
      <c r="AC211" s="76" t="s">
        <v>199</v>
      </c>
      <c r="AD211" s="77" t="s">
        <v>465</v>
      </c>
      <c r="AE211" s="78" t="s">
        <v>182</v>
      </c>
      <c r="AF211" s="54"/>
    </row>
    <row r="212" spans="1:32" ht="14.25">
      <c r="A212" s="336" t="str">
        <f t="shared" ref="A212:A270" si="27">TEXT(B212,"yy/mm")</f>
        <v>26/01</v>
      </c>
      <c r="B212" s="348">
        <v>46027</v>
      </c>
      <c r="C212" s="349">
        <v>0</v>
      </c>
      <c r="D212" s="349">
        <v>0</v>
      </c>
      <c r="E212" s="349">
        <f t="shared" ref="E212:K240" si="28">SUMIFS($S212:$AE212,$S$210:$AE$210,E$208)</f>
        <v>0</v>
      </c>
      <c r="F212" s="349">
        <f t="shared" ref="F212:K222" si="29">SUMIFS($S212:$AE212,$S$210:$AE$210,F$208)</f>
        <v>0</v>
      </c>
      <c r="G212" s="349">
        <f t="shared" si="29"/>
        <v>0</v>
      </c>
      <c r="H212" s="349">
        <f t="shared" si="29"/>
        <v>0</v>
      </c>
      <c r="I212" s="349">
        <f t="shared" si="29"/>
        <v>0</v>
      </c>
      <c r="J212" s="349">
        <f t="shared" si="29"/>
        <v>0</v>
      </c>
      <c r="K212" s="349">
        <f t="shared" si="29"/>
        <v>1</v>
      </c>
      <c r="L212" s="350">
        <f t="shared" ref="L212:L272" si="30">SUM(C212:K212)</f>
        <v>1</v>
      </c>
      <c r="M212" s="351">
        <f>M191+L212</f>
        <v>21334</v>
      </c>
      <c r="N212" s="254">
        <f t="shared" ref="N212:N272" si="31">C212+D212+F212+H212+I212+K212+J212</f>
        <v>1</v>
      </c>
      <c r="O212" s="254">
        <f t="shared" ref="O212:O272" si="32">E212+G212</f>
        <v>0</v>
      </c>
      <c r="P212" s="350">
        <f>AD212+AE212</f>
        <v>4</v>
      </c>
      <c r="Q212" s="351">
        <f>Q191+P212</f>
        <v>1445</v>
      </c>
      <c r="R212" s="350">
        <f>L212+P212</f>
        <v>5</v>
      </c>
      <c r="S212" s="349"/>
      <c r="T212" s="349"/>
      <c r="U212" s="349"/>
      <c r="V212" s="349"/>
      <c r="W212" s="349"/>
      <c r="X212" s="349"/>
      <c r="Y212" s="349"/>
      <c r="Z212" s="349"/>
      <c r="AA212" s="349"/>
      <c r="AB212" s="349"/>
      <c r="AC212" s="349">
        <v>1</v>
      </c>
      <c r="AD212" s="349">
        <v>1</v>
      </c>
      <c r="AE212" s="349">
        <v>3</v>
      </c>
    </row>
    <row r="213" spans="1:32" ht="14.25">
      <c r="A213" s="336" t="str">
        <f t="shared" si="27"/>
        <v>26/01</v>
      </c>
      <c r="B213" s="348">
        <v>46028</v>
      </c>
      <c r="C213" s="349">
        <v>0</v>
      </c>
      <c r="D213" s="349">
        <v>0</v>
      </c>
      <c r="E213" s="349">
        <f t="shared" si="28"/>
        <v>0</v>
      </c>
      <c r="F213" s="349">
        <f t="shared" si="29"/>
        <v>0</v>
      </c>
      <c r="G213" s="349">
        <f t="shared" si="29"/>
        <v>0</v>
      </c>
      <c r="H213" s="349">
        <f t="shared" si="29"/>
        <v>0</v>
      </c>
      <c r="I213" s="349">
        <f t="shared" si="29"/>
        <v>0</v>
      </c>
      <c r="J213" s="349">
        <f t="shared" si="29"/>
        <v>0</v>
      </c>
      <c r="K213" s="349">
        <f t="shared" si="29"/>
        <v>1</v>
      </c>
      <c r="L213" s="350">
        <f t="shared" si="30"/>
        <v>1</v>
      </c>
      <c r="M213" s="351">
        <f>M212+L213</f>
        <v>21335</v>
      </c>
      <c r="N213" s="254">
        <f t="shared" si="31"/>
        <v>1</v>
      </c>
      <c r="O213" s="254">
        <f t="shared" si="32"/>
        <v>0</v>
      </c>
      <c r="P213" s="350">
        <f t="shared" ref="P213:P272" si="33">AD213+AE213</f>
        <v>4</v>
      </c>
      <c r="Q213" s="351">
        <f t="shared" ref="Q213:Q272" si="34">Q212+P213</f>
        <v>1449</v>
      </c>
      <c r="R213" s="350">
        <f t="shared" ref="R213:R272" si="35">L213+P213</f>
        <v>5</v>
      </c>
      <c r="S213" s="349"/>
      <c r="T213" s="349"/>
      <c r="U213" s="349"/>
      <c r="V213" s="349"/>
      <c r="W213" s="349"/>
      <c r="X213" s="349"/>
      <c r="Y213" s="349"/>
      <c r="Z213" s="349"/>
      <c r="AA213" s="349"/>
      <c r="AB213" s="349"/>
      <c r="AC213" s="349">
        <v>1</v>
      </c>
      <c r="AD213" s="349"/>
      <c r="AE213" s="349">
        <v>4</v>
      </c>
    </row>
    <row r="214" spans="1:32" ht="14.25">
      <c r="A214" s="336" t="str">
        <f t="shared" si="27"/>
        <v>26/01</v>
      </c>
      <c r="B214" s="348">
        <v>46029</v>
      </c>
      <c r="C214" s="349">
        <v>0</v>
      </c>
      <c r="D214" s="349">
        <v>0</v>
      </c>
      <c r="E214" s="349">
        <f t="shared" si="28"/>
        <v>0</v>
      </c>
      <c r="F214" s="349">
        <f t="shared" si="29"/>
        <v>0</v>
      </c>
      <c r="G214" s="349">
        <f t="shared" si="29"/>
        <v>0</v>
      </c>
      <c r="H214" s="349">
        <f t="shared" si="29"/>
        <v>0</v>
      </c>
      <c r="I214" s="349">
        <f t="shared" si="29"/>
        <v>0</v>
      </c>
      <c r="J214" s="349">
        <f t="shared" si="29"/>
        <v>0</v>
      </c>
      <c r="K214" s="349">
        <f t="shared" si="29"/>
        <v>0</v>
      </c>
      <c r="L214" s="350">
        <f t="shared" si="30"/>
        <v>0</v>
      </c>
      <c r="M214" s="351">
        <f t="shared" ref="M214:M272" si="36">M213+L214</f>
        <v>21335</v>
      </c>
      <c r="N214" s="254">
        <f t="shared" si="31"/>
        <v>0</v>
      </c>
      <c r="O214" s="254">
        <f t="shared" si="32"/>
        <v>0</v>
      </c>
      <c r="P214" s="350">
        <f t="shared" si="33"/>
        <v>6</v>
      </c>
      <c r="Q214" s="351">
        <f t="shared" si="34"/>
        <v>1455</v>
      </c>
      <c r="R214" s="350">
        <f t="shared" si="35"/>
        <v>6</v>
      </c>
      <c r="S214" s="349"/>
      <c r="T214" s="349"/>
      <c r="U214" s="349"/>
      <c r="V214" s="349"/>
      <c r="W214" s="349"/>
      <c r="X214" s="349"/>
      <c r="Y214" s="349"/>
      <c r="Z214" s="349"/>
      <c r="AA214" s="349"/>
      <c r="AB214" s="349"/>
      <c r="AC214" s="349"/>
      <c r="AD214" s="349">
        <v>2</v>
      </c>
      <c r="AE214" s="349">
        <v>4</v>
      </c>
    </row>
    <row r="215" spans="1:32" ht="14.25">
      <c r="A215" s="336" t="str">
        <f t="shared" si="27"/>
        <v>26/01</v>
      </c>
      <c r="B215" s="348">
        <v>46030</v>
      </c>
      <c r="C215" s="349">
        <v>0</v>
      </c>
      <c r="D215" s="349">
        <v>0</v>
      </c>
      <c r="E215" s="349">
        <f t="shared" si="28"/>
        <v>0</v>
      </c>
      <c r="F215" s="349">
        <f t="shared" si="29"/>
        <v>0</v>
      </c>
      <c r="G215" s="349">
        <f t="shared" si="29"/>
        <v>0</v>
      </c>
      <c r="H215" s="349">
        <f t="shared" si="29"/>
        <v>0</v>
      </c>
      <c r="I215" s="349">
        <f t="shared" si="29"/>
        <v>0</v>
      </c>
      <c r="J215" s="349">
        <f t="shared" si="29"/>
        <v>0</v>
      </c>
      <c r="K215" s="349">
        <f t="shared" si="29"/>
        <v>2</v>
      </c>
      <c r="L215" s="350">
        <f t="shared" si="30"/>
        <v>2</v>
      </c>
      <c r="M215" s="351">
        <f t="shared" si="36"/>
        <v>21337</v>
      </c>
      <c r="N215" s="254">
        <f t="shared" si="31"/>
        <v>2</v>
      </c>
      <c r="O215" s="254">
        <f t="shared" si="32"/>
        <v>0</v>
      </c>
      <c r="P215" s="350">
        <f t="shared" si="33"/>
        <v>4</v>
      </c>
      <c r="Q215" s="351">
        <f t="shared" si="34"/>
        <v>1459</v>
      </c>
      <c r="R215" s="350">
        <f t="shared" si="35"/>
        <v>6</v>
      </c>
      <c r="S215" s="349"/>
      <c r="T215" s="349"/>
      <c r="U215" s="349"/>
      <c r="V215" s="349"/>
      <c r="W215" s="349"/>
      <c r="X215" s="349"/>
      <c r="Y215" s="349"/>
      <c r="Z215" s="349"/>
      <c r="AA215" s="349"/>
      <c r="AB215" s="349"/>
      <c r="AC215" s="349">
        <v>2</v>
      </c>
      <c r="AD215" s="349"/>
      <c r="AE215" s="349">
        <v>4</v>
      </c>
    </row>
    <row r="216" spans="1:32" ht="14.25">
      <c r="A216" s="336" t="str">
        <f t="shared" si="27"/>
        <v>26/01</v>
      </c>
      <c r="B216" s="348">
        <v>46031</v>
      </c>
      <c r="C216" s="349">
        <v>0</v>
      </c>
      <c r="D216" s="349">
        <v>0</v>
      </c>
      <c r="E216" s="349">
        <f t="shared" si="28"/>
        <v>0</v>
      </c>
      <c r="F216" s="349">
        <f t="shared" si="29"/>
        <v>0</v>
      </c>
      <c r="G216" s="349">
        <f t="shared" si="29"/>
        <v>0</v>
      </c>
      <c r="H216" s="349">
        <f t="shared" si="29"/>
        <v>0</v>
      </c>
      <c r="I216" s="349">
        <f t="shared" si="29"/>
        <v>0</v>
      </c>
      <c r="J216" s="349">
        <f t="shared" si="29"/>
        <v>0</v>
      </c>
      <c r="K216" s="349">
        <f t="shared" si="29"/>
        <v>2</v>
      </c>
      <c r="L216" s="350">
        <f t="shared" si="30"/>
        <v>2</v>
      </c>
      <c r="M216" s="351">
        <f t="shared" si="36"/>
        <v>21339</v>
      </c>
      <c r="N216" s="254">
        <f t="shared" si="31"/>
        <v>2</v>
      </c>
      <c r="O216" s="254">
        <f t="shared" si="32"/>
        <v>0</v>
      </c>
      <c r="P216" s="350">
        <f t="shared" si="33"/>
        <v>4</v>
      </c>
      <c r="Q216" s="351">
        <f t="shared" si="34"/>
        <v>1463</v>
      </c>
      <c r="R216" s="350">
        <f t="shared" si="35"/>
        <v>6</v>
      </c>
      <c r="S216" s="349"/>
      <c r="T216" s="349"/>
      <c r="U216" s="349"/>
      <c r="V216" s="349"/>
      <c r="W216" s="349"/>
      <c r="X216" s="349"/>
      <c r="Y216" s="349"/>
      <c r="Z216" s="349"/>
      <c r="AA216" s="349"/>
      <c r="AB216" s="349"/>
      <c r="AC216" s="349">
        <v>2</v>
      </c>
      <c r="AD216" s="349"/>
      <c r="AE216" s="349">
        <v>4</v>
      </c>
    </row>
    <row r="217" spans="1:32" ht="14.25">
      <c r="A217" s="336" t="str">
        <f t="shared" si="27"/>
        <v>26/01</v>
      </c>
      <c r="B217" s="348">
        <v>46035</v>
      </c>
      <c r="C217" s="349">
        <v>0</v>
      </c>
      <c r="D217" s="349">
        <v>0</v>
      </c>
      <c r="E217" s="349">
        <f t="shared" si="28"/>
        <v>0</v>
      </c>
      <c r="F217" s="349">
        <f t="shared" si="29"/>
        <v>0</v>
      </c>
      <c r="G217" s="349">
        <f t="shared" si="29"/>
        <v>0</v>
      </c>
      <c r="H217" s="349">
        <f t="shared" si="29"/>
        <v>0</v>
      </c>
      <c r="I217" s="349">
        <f t="shared" si="29"/>
        <v>0</v>
      </c>
      <c r="J217" s="349">
        <f t="shared" si="29"/>
        <v>0</v>
      </c>
      <c r="K217" s="349">
        <f t="shared" si="29"/>
        <v>2</v>
      </c>
      <c r="L217" s="350">
        <f t="shared" si="30"/>
        <v>2</v>
      </c>
      <c r="M217" s="351">
        <f t="shared" si="36"/>
        <v>21341</v>
      </c>
      <c r="N217" s="254">
        <f t="shared" si="31"/>
        <v>2</v>
      </c>
      <c r="O217" s="254">
        <f t="shared" si="32"/>
        <v>0</v>
      </c>
      <c r="P217" s="350">
        <f t="shared" si="33"/>
        <v>4</v>
      </c>
      <c r="Q217" s="351">
        <f t="shared" si="34"/>
        <v>1467</v>
      </c>
      <c r="R217" s="350">
        <f t="shared" si="35"/>
        <v>6</v>
      </c>
      <c r="S217" s="349"/>
      <c r="T217" s="349"/>
      <c r="U217" s="349"/>
      <c r="V217" s="349"/>
      <c r="W217" s="349"/>
      <c r="X217" s="349"/>
      <c r="Y217" s="349"/>
      <c r="Z217" s="349"/>
      <c r="AA217" s="349"/>
      <c r="AB217" s="349"/>
      <c r="AC217" s="349">
        <v>2</v>
      </c>
      <c r="AD217" s="349"/>
      <c r="AE217" s="349">
        <v>4</v>
      </c>
    </row>
    <row r="218" spans="1:32" ht="14.25">
      <c r="A218" s="336" t="str">
        <f t="shared" si="27"/>
        <v>26/01</v>
      </c>
      <c r="B218" s="348">
        <v>46036</v>
      </c>
      <c r="C218" s="349">
        <v>0</v>
      </c>
      <c r="D218" s="349">
        <v>0</v>
      </c>
      <c r="E218" s="349">
        <f t="shared" si="28"/>
        <v>0</v>
      </c>
      <c r="F218" s="349">
        <f t="shared" si="29"/>
        <v>0</v>
      </c>
      <c r="G218" s="349">
        <f t="shared" si="29"/>
        <v>0</v>
      </c>
      <c r="H218" s="349">
        <f t="shared" si="29"/>
        <v>1</v>
      </c>
      <c r="I218" s="349">
        <f t="shared" si="29"/>
        <v>0</v>
      </c>
      <c r="J218" s="349">
        <f t="shared" si="29"/>
        <v>0</v>
      </c>
      <c r="K218" s="349">
        <f t="shared" si="29"/>
        <v>0</v>
      </c>
      <c r="L218" s="350">
        <f t="shared" si="30"/>
        <v>1</v>
      </c>
      <c r="M218" s="351">
        <f t="shared" si="36"/>
        <v>21342</v>
      </c>
      <c r="N218" s="254">
        <f t="shared" si="31"/>
        <v>1</v>
      </c>
      <c r="O218" s="254">
        <f t="shared" si="32"/>
        <v>0</v>
      </c>
      <c r="P218" s="350">
        <f t="shared" si="33"/>
        <v>5</v>
      </c>
      <c r="Q218" s="351">
        <f t="shared" si="34"/>
        <v>1472</v>
      </c>
      <c r="R218" s="350">
        <f t="shared" si="35"/>
        <v>6</v>
      </c>
      <c r="S218" s="349"/>
      <c r="T218" s="349"/>
      <c r="U218" s="349"/>
      <c r="V218" s="349"/>
      <c r="W218" s="349"/>
      <c r="X218" s="349"/>
      <c r="Y218" s="349"/>
      <c r="Z218" s="349">
        <v>1</v>
      </c>
      <c r="AA218" s="349"/>
      <c r="AB218" s="349"/>
      <c r="AC218" s="349"/>
      <c r="AD218" s="349">
        <v>1</v>
      </c>
      <c r="AE218" s="349">
        <v>4</v>
      </c>
    </row>
    <row r="219" spans="1:32" ht="14.25">
      <c r="A219" s="336" t="str">
        <f t="shared" si="27"/>
        <v>26/01</v>
      </c>
      <c r="B219" s="348">
        <v>46037</v>
      </c>
      <c r="C219" s="349">
        <v>0</v>
      </c>
      <c r="D219" s="349">
        <v>0</v>
      </c>
      <c r="E219" s="349">
        <f t="shared" si="28"/>
        <v>1</v>
      </c>
      <c r="F219" s="349">
        <f t="shared" si="29"/>
        <v>0</v>
      </c>
      <c r="G219" s="349">
        <f t="shared" si="29"/>
        <v>0</v>
      </c>
      <c r="H219" s="349">
        <f t="shared" si="29"/>
        <v>3</v>
      </c>
      <c r="I219" s="349">
        <f t="shared" si="29"/>
        <v>0</v>
      </c>
      <c r="J219" s="349">
        <f t="shared" si="29"/>
        <v>0</v>
      </c>
      <c r="K219" s="349">
        <f t="shared" si="29"/>
        <v>0</v>
      </c>
      <c r="L219" s="350">
        <f t="shared" si="30"/>
        <v>4</v>
      </c>
      <c r="M219" s="351">
        <f t="shared" si="36"/>
        <v>21346</v>
      </c>
      <c r="N219" s="254">
        <f t="shared" si="31"/>
        <v>3</v>
      </c>
      <c r="O219" s="254">
        <f t="shared" si="32"/>
        <v>1</v>
      </c>
      <c r="P219" s="350">
        <f t="shared" si="33"/>
        <v>2</v>
      </c>
      <c r="Q219" s="351">
        <f t="shared" si="34"/>
        <v>1474</v>
      </c>
      <c r="R219" s="350">
        <f t="shared" si="35"/>
        <v>6</v>
      </c>
      <c r="S219" s="349">
        <v>2</v>
      </c>
      <c r="T219" s="349">
        <v>1</v>
      </c>
      <c r="U219" s="349"/>
      <c r="V219" s="349"/>
      <c r="W219" s="349"/>
      <c r="X219" s="349"/>
      <c r="Y219" s="349"/>
      <c r="Z219" s="349">
        <v>1</v>
      </c>
      <c r="AA219" s="349"/>
      <c r="AB219" s="349"/>
      <c r="AC219" s="349"/>
      <c r="AD219" s="349">
        <v>1</v>
      </c>
      <c r="AE219" s="349">
        <v>1</v>
      </c>
    </row>
    <row r="220" spans="1:32" ht="14.25">
      <c r="A220" s="336" t="str">
        <f t="shared" si="27"/>
        <v>26/01</v>
      </c>
      <c r="B220" s="348">
        <v>46038</v>
      </c>
      <c r="C220" s="349">
        <v>0</v>
      </c>
      <c r="D220" s="349">
        <v>0</v>
      </c>
      <c r="E220" s="349">
        <f t="shared" si="28"/>
        <v>0</v>
      </c>
      <c r="F220" s="349">
        <f t="shared" si="29"/>
        <v>0</v>
      </c>
      <c r="G220" s="349">
        <f t="shared" si="29"/>
        <v>0</v>
      </c>
      <c r="H220" s="349">
        <f t="shared" si="29"/>
        <v>4</v>
      </c>
      <c r="I220" s="349">
        <f t="shared" si="29"/>
        <v>1</v>
      </c>
      <c r="J220" s="349">
        <f t="shared" si="29"/>
        <v>0</v>
      </c>
      <c r="K220" s="349">
        <f t="shared" si="29"/>
        <v>0</v>
      </c>
      <c r="L220" s="350">
        <f t="shared" si="30"/>
        <v>5</v>
      </c>
      <c r="M220" s="351">
        <f t="shared" si="36"/>
        <v>21351</v>
      </c>
      <c r="N220" s="254">
        <f t="shared" si="31"/>
        <v>5</v>
      </c>
      <c r="O220" s="254">
        <f t="shared" si="32"/>
        <v>0</v>
      </c>
      <c r="P220" s="350">
        <f t="shared" si="33"/>
        <v>1</v>
      </c>
      <c r="Q220" s="351">
        <f t="shared" si="34"/>
        <v>1475</v>
      </c>
      <c r="R220" s="350">
        <f t="shared" si="35"/>
        <v>6</v>
      </c>
      <c r="S220" s="349">
        <v>4</v>
      </c>
      <c r="T220" s="349"/>
      <c r="U220" s="349"/>
      <c r="V220" s="349"/>
      <c r="W220" s="349"/>
      <c r="X220" s="349"/>
      <c r="Y220" s="349"/>
      <c r="Z220" s="349"/>
      <c r="AA220" s="349">
        <v>1</v>
      </c>
      <c r="AB220" s="349"/>
      <c r="AC220" s="349"/>
      <c r="AD220" s="349">
        <v>1</v>
      </c>
      <c r="AE220" s="349"/>
    </row>
    <row r="221" spans="1:32" ht="14.25">
      <c r="A221" s="336" t="str">
        <f t="shared" si="27"/>
        <v>26/01</v>
      </c>
      <c r="B221" s="348">
        <v>46041</v>
      </c>
      <c r="C221" s="349">
        <v>0</v>
      </c>
      <c r="D221" s="349">
        <v>0</v>
      </c>
      <c r="E221" s="349">
        <f t="shared" si="28"/>
        <v>0</v>
      </c>
      <c r="F221" s="349">
        <f t="shared" si="29"/>
        <v>0</v>
      </c>
      <c r="G221" s="349">
        <f t="shared" si="29"/>
        <v>0</v>
      </c>
      <c r="H221" s="349">
        <f t="shared" si="29"/>
        <v>5</v>
      </c>
      <c r="I221" s="349">
        <f t="shared" si="29"/>
        <v>0</v>
      </c>
      <c r="J221" s="349">
        <f t="shared" si="29"/>
        <v>0</v>
      </c>
      <c r="K221" s="349">
        <f t="shared" si="29"/>
        <v>0</v>
      </c>
      <c r="L221" s="350">
        <f t="shared" si="30"/>
        <v>5</v>
      </c>
      <c r="M221" s="351">
        <f t="shared" si="36"/>
        <v>21356</v>
      </c>
      <c r="N221" s="254">
        <f t="shared" si="31"/>
        <v>5</v>
      </c>
      <c r="O221" s="254">
        <f t="shared" si="32"/>
        <v>0</v>
      </c>
      <c r="P221" s="350">
        <f t="shared" si="33"/>
        <v>1</v>
      </c>
      <c r="Q221" s="351">
        <f t="shared" si="34"/>
        <v>1476</v>
      </c>
      <c r="R221" s="350">
        <f t="shared" si="35"/>
        <v>6</v>
      </c>
      <c r="S221" s="349">
        <v>4</v>
      </c>
      <c r="T221" s="349"/>
      <c r="U221" s="349"/>
      <c r="V221" s="349"/>
      <c r="W221" s="349"/>
      <c r="X221" s="349"/>
      <c r="Y221" s="349"/>
      <c r="Z221" s="349">
        <v>1</v>
      </c>
      <c r="AA221" s="349"/>
      <c r="AB221" s="349"/>
      <c r="AC221" s="349"/>
      <c r="AD221" s="349">
        <v>1</v>
      </c>
      <c r="AE221" s="349"/>
    </row>
    <row r="222" spans="1:32" ht="14.25">
      <c r="A222" s="336" t="str">
        <f t="shared" si="27"/>
        <v>26/01</v>
      </c>
      <c r="B222" s="348">
        <v>46042</v>
      </c>
      <c r="C222" s="349">
        <v>0</v>
      </c>
      <c r="D222" s="349">
        <v>0</v>
      </c>
      <c r="E222" s="349">
        <f t="shared" si="28"/>
        <v>0</v>
      </c>
      <c r="F222" s="349">
        <f t="shared" si="29"/>
        <v>0</v>
      </c>
      <c r="G222" s="349">
        <f t="shared" si="29"/>
        <v>0</v>
      </c>
      <c r="H222" s="349">
        <f t="shared" si="29"/>
        <v>6</v>
      </c>
      <c r="I222" s="349">
        <f t="shared" si="29"/>
        <v>0</v>
      </c>
      <c r="J222" s="349">
        <f t="shared" si="29"/>
        <v>0</v>
      </c>
      <c r="K222" s="349">
        <f t="shared" si="29"/>
        <v>0</v>
      </c>
      <c r="L222" s="350">
        <f t="shared" si="30"/>
        <v>6</v>
      </c>
      <c r="M222" s="351">
        <f t="shared" si="36"/>
        <v>21362</v>
      </c>
      <c r="N222" s="254">
        <f t="shared" si="31"/>
        <v>6</v>
      </c>
      <c r="O222" s="254">
        <f t="shared" si="32"/>
        <v>0</v>
      </c>
      <c r="P222" s="350">
        <f t="shared" si="33"/>
        <v>0</v>
      </c>
      <c r="Q222" s="351">
        <f t="shared" si="34"/>
        <v>1476</v>
      </c>
      <c r="R222" s="350">
        <f t="shared" si="35"/>
        <v>6</v>
      </c>
      <c r="S222" s="349">
        <v>4</v>
      </c>
      <c r="T222" s="349"/>
      <c r="U222" s="349"/>
      <c r="V222" s="349"/>
      <c r="W222" s="349"/>
      <c r="X222" s="349"/>
      <c r="Y222" s="349"/>
      <c r="Z222" s="349">
        <v>2</v>
      </c>
      <c r="AA222" s="349"/>
      <c r="AB222" s="349"/>
      <c r="AC222" s="349"/>
      <c r="AD222" s="349"/>
      <c r="AE222" s="349"/>
    </row>
    <row r="223" spans="1:32" ht="14.25">
      <c r="A223" s="336" t="str">
        <f t="shared" si="27"/>
        <v>26/01</v>
      </c>
      <c r="B223" s="348">
        <v>46043</v>
      </c>
      <c r="C223" s="349">
        <v>0</v>
      </c>
      <c r="D223" s="349">
        <v>0</v>
      </c>
      <c r="E223" s="349">
        <f t="shared" si="28"/>
        <v>0</v>
      </c>
      <c r="F223" s="349">
        <f t="shared" si="28"/>
        <v>0</v>
      </c>
      <c r="G223" s="349">
        <f t="shared" si="28"/>
        <v>0</v>
      </c>
      <c r="H223" s="349">
        <f t="shared" si="28"/>
        <v>4</v>
      </c>
      <c r="I223" s="349">
        <f t="shared" si="28"/>
        <v>0</v>
      </c>
      <c r="J223" s="349">
        <f t="shared" si="28"/>
        <v>0</v>
      </c>
      <c r="K223" s="349">
        <f t="shared" si="28"/>
        <v>0</v>
      </c>
      <c r="L223" s="350">
        <f t="shared" si="30"/>
        <v>4</v>
      </c>
      <c r="M223" s="351">
        <f t="shared" si="36"/>
        <v>21366</v>
      </c>
      <c r="N223" s="254">
        <f t="shared" si="31"/>
        <v>4</v>
      </c>
      <c r="O223" s="254">
        <f t="shared" si="32"/>
        <v>0</v>
      </c>
      <c r="P223" s="350">
        <f t="shared" si="33"/>
        <v>1</v>
      </c>
      <c r="Q223" s="351">
        <f t="shared" si="34"/>
        <v>1477</v>
      </c>
      <c r="R223" s="350">
        <f t="shared" si="35"/>
        <v>5</v>
      </c>
      <c r="S223" s="349">
        <v>2</v>
      </c>
      <c r="T223" s="349"/>
      <c r="U223" s="349"/>
      <c r="V223" s="349"/>
      <c r="W223" s="349"/>
      <c r="X223" s="349"/>
      <c r="Y223" s="349"/>
      <c r="Z223" s="349">
        <v>2</v>
      </c>
      <c r="AA223" s="349"/>
      <c r="AB223" s="349"/>
      <c r="AC223" s="349"/>
      <c r="AD223" s="349"/>
      <c r="AE223" s="349">
        <v>1</v>
      </c>
    </row>
    <row r="224" spans="1:32" ht="14.25">
      <c r="A224" s="336" t="str">
        <f t="shared" si="27"/>
        <v>26/01</v>
      </c>
      <c r="B224" s="348">
        <v>46044</v>
      </c>
      <c r="C224" s="349">
        <v>0</v>
      </c>
      <c r="D224" s="349">
        <v>0</v>
      </c>
      <c r="E224" s="349">
        <f t="shared" si="28"/>
        <v>0</v>
      </c>
      <c r="F224" s="349">
        <f t="shared" si="28"/>
        <v>0</v>
      </c>
      <c r="G224" s="349">
        <f t="shared" si="28"/>
        <v>0</v>
      </c>
      <c r="H224" s="349">
        <f t="shared" si="28"/>
        <v>1</v>
      </c>
      <c r="I224" s="349">
        <f t="shared" si="28"/>
        <v>0</v>
      </c>
      <c r="J224" s="349">
        <f t="shared" si="28"/>
        <v>0</v>
      </c>
      <c r="K224" s="349">
        <f t="shared" si="28"/>
        <v>0</v>
      </c>
      <c r="L224" s="350">
        <f t="shared" si="30"/>
        <v>1</v>
      </c>
      <c r="M224" s="351">
        <f t="shared" si="36"/>
        <v>21367</v>
      </c>
      <c r="N224" s="254">
        <f t="shared" si="31"/>
        <v>1</v>
      </c>
      <c r="O224" s="254">
        <f t="shared" si="32"/>
        <v>0</v>
      </c>
      <c r="P224" s="350">
        <f t="shared" si="33"/>
        <v>3</v>
      </c>
      <c r="Q224" s="351">
        <f t="shared" si="34"/>
        <v>1480</v>
      </c>
      <c r="R224" s="350">
        <f t="shared" si="35"/>
        <v>4</v>
      </c>
      <c r="S224" s="349"/>
      <c r="T224" s="349"/>
      <c r="U224" s="349"/>
      <c r="V224" s="349"/>
      <c r="W224" s="349"/>
      <c r="X224" s="349"/>
      <c r="Y224" s="349"/>
      <c r="Z224" s="349">
        <v>1</v>
      </c>
      <c r="AA224" s="349"/>
      <c r="AB224" s="349"/>
      <c r="AC224" s="349"/>
      <c r="AD224" s="349"/>
      <c r="AE224" s="349">
        <v>3</v>
      </c>
    </row>
    <row r="225" spans="1:31" ht="14.25">
      <c r="A225" s="336" t="str">
        <f t="shared" si="27"/>
        <v>26/01</v>
      </c>
      <c r="B225" s="348">
        <v>46045</v>
      </c>
      <c r="C225" s="349">
        <v>0</v>
      </c>
      <c r="D225" s="349">
        <v>0</v>
      </c>
      <c r="E225" s="349">
        <f t="shared" si="28"/>
        <v>0</v>
      </c>
      <c r="F225" s="349">
        <f t="shared" si="28"/>
        <v>0</v>
      </c>
      <c r="G225" s="349">
        <f t="shared" si="28"/>
        <v>0</v>
      </c>
      <c r="H225" s="349">
        <f t="shared" si="28"/>
        <v>1</v>
      </c>
      <c r="I225" s="349">
        <f t="shared" si="28"/>
        <v>0</v>
      </c>
      <c r="J225" s="349">
        <f t="shared" si="28"/>
        <v>0</v>
      </c>
      <c r="K225" s="349">
        <f t="shared" si="28"/>
        <v>0</v>
      </c>
      <c r="L225" s="350">
        <f t="shared" si="30"/>
        <v>1</v>
      </c>
      <c r="M225" s="351">
        <f t="shared" si="36"/>
        <v>21368</v>
      </c>
      <c r="N225" s="254">
        <f t="shared" si="31"/>
        <v>1</v>
      </c>
      <c r="O225" s="254">
        <f t="shared" si="32"/>
        <v>0</v>
      </c>
      <c r="P225" s="350">
        <f t="shared" si="33"/>
        <v>3</v>
      </c>
      <c r="Q225" s="351">
        <f t="shared" si="34"/>
        <v>1483</v>
      </c>
      <c r="R225" s="350">
        <f t="shared" si="35"/>
        <v>4</v>
      </c>
      <c r="S225" s="349"/>
      <c r="T225" s="349"/>
      <c r="U225" s="349"/>
      <c r="V225" s="349"/>
      <c r="W225" s="349"/>
      <c r="X225" s="349"/>
      <c r="Y225" s="349"/>
      <c r="Z225" s="349">
        <v>1</v>
      </c>
      <c r="AA225" s="349"/>
      <c r="AB225" s="349"/>
      <c r="AC225" s="349"/>
      <c r="AD225" s="349"/>
      <c r="AE225" s="349">
        <v>3</v>
      </c>
    </row>
    <row r="226" spans="1:31" ht="14.25">
      <c r="A226" s="336" t="str">
        <f t="shared" si="27"/>
        <v>26/01</v>
      </c>
      <c r="B226" s="348">
        <v>46048</v>
      </c>
      <c r="C226" s="349">
        <v>0</v>
      </c>
      <c r="D226" s="349">
        <v>0</v>
      </c>
      <c r="E226" s="349">
        <f t="shared" si="28"/>
        <v>0</v>
      </c>
      <c r="F226" s="349">
        <f t="shared" si="28"/>
        <v>0</v>
      </c>
      <c r="G226" s="349">
        <f t="shared" si="28"/>
        <v>0</v>
      </c>
      <c r="H226" s="349">
        <f t="shared" si="28"/>
        <v>0</v>
      </c>
      <c r="I226" s="349">
        <f t="shared" si="28"/>
        <v>1</v>
      </c>
      <c r="J226" s="349">
        <f t="shared" si="28"/>
        <v>0</v>
      </c>
      <c r="K226" s="349">
        <f t="shared" si="28"/>
        <v>0</v>
      </c>
      <c r="L226" s="350">
        <f t="shared" si="30"/>
        <v>1</v>
      </c>
      <c r="M226" s="351">
        <f t="shared" si="36"/>
        <v>21369</v>
      </c>
      <c r="N226" s="254">
        <f t="shared" si="31"/>
        <v>1</v>
      </c>
      <c r="O226" s="254">
        <f t="shared" si="32"/>
        <v>0</v>
      </c>
      <c r="P226" s="350">
        <f t="shared" si="33"/>
        <v>3</v>
      </c>
      <c r="Q226" s="351">
        <f t="shared" si="34"/>
        <v>1486</v>
      </c>
      <c r="R226" s="350">
        <f t="shared" si="35"/>
        <v>4</v>
      </c>
      <c r="S226" s="349"/>
      <c r="T226" s="349"/>
      <c r="U226" s="349"/>
      <c r="V226" s="349"/>
      <c r="W226" s="349"/>
      <c r="X226" s="349"/>
      <c r="Y226" s="349"/>
      <c r="Z226" s="349"/>
      <c r="AA226" s="349">
        <v>1</v>
      </c>
      <c r="AB226" s="349"/>
      <c r="AC226" s="349"/>
      <c r="AD226" s="349"/>
      <c r="AE226" s="349">
        <v>3</v>
      </c>
    </row>
    <row r="227" spans="1:31" ht="14.25">
      <c r="A227" s="336" t="str">
        <f t="shared" si="27"/>
        <v>26/01</v>
      </c>
      <c r="B227" s="348">
        <v>46049</v>
      </c>
      <c r="C227" s="349">
        <v>0</v>
      </c>
      <c r="D227" s="349">
        <v>0</v>
      </c>
      <c r="E227" s="349">
        <f t="shared" si="28"/>
        <v>0</v>
      </c>
      <c r="F227" s="349">
        <f t="shared" si="28"/>
        <v>0</v>
      </c>
      <c r="G227" s="349">
        <f t="shared" si="28"/>
        <v>0</v>
      </c>
      <c r="H227" s="349">
        <f t="shared" si="28"/>
        <v>0</v>
      </c>
      <c r="I227" s="349">
        <f t="shared" si="28"/>
        <v>0</v>
      </c>
      <c r="J227" s="349">
        <f t="shared" si="28"/>
        <v>0</v>
      </c>
      <c r="K227" s="349">
        <f t="shared" si="28"/>
        <v>0</v>
      </c>
      <c r="L227" s="350">
        <f t="shared" si="30"/>
        <v>0</v>
      </c>
      <c r="M227" s="351">
        <f t="shared" si="36"/>
        <v>21369</v>
      </c>
      <c r="N227" s="254">
        <f t="shared" si="31"/>
        <v>0</v>
      </c>
      <c r="O227" s="254">
        <f t="shared" si="32"/>
        <v>0</v>
      </c>
      <c r="P227" s="350">
        <f t="shared" si="33"/>
        <v>3</v>
      </c>
      <c r="Q227" s="351">
        <f t="shared" si="34"/>
        <v>1489</v>
      </c>
      <c r="R227" s="350">
        <f t="shared" si="35"/>
        <v>3</v>
      </c>
      <c r="S227" s="349"/>
      <c r="T227" s="349"/>
      <c r="U227" s="349"/>
      <c r="V227" s="349"/>
      <c r="W227" s="349"/>
      <c r="X227" s="349"/>
      <c r="Y227" s="349"/>
      <c r="Z227" s="349"/>
      <c r="AA227" s="349"/>
      <c r="AB227" s="349"/>
      <c r="AC227" s="349"/>
      <c r="AD227" s="349"/>
      <c r="AE227" s="349">
        <v>3</v>
      </c>
    </row>
    <row r="228" spans="1:31" ht="14.25">
      <c r="A228" s="336" t="str">
        <f t="shared" si="27"/>
        <v>26/01</v>
      </c>
      <c r="B228" s="348">
        <v>46050</v>
      </c>
      <c r="C228" s="349">
        <v>0</v>
      </c>
      <c r="D228" s="349">
        <v>0</v>
      </c>
      <c r="E228" s="349">
        <f t="shared" si="28"/>
        <v>0</v>
      </c>
      <c r="F228" s="349">
        <f t="shared" si="28"/>
        <v>0</v>
      </c>
      <c r="G228" s="349">
        <f t="shared" si="28"/>
        <v>0</v>
      </c>
      <c r="H228" s="349">
        <f t="shared" si="28"/>
        <v>0</v>
      </c>
      <c r="I228" s="349">
        <f t="shared" si="28"/>
        <v>0</v>
      </c>
      <c r="J228" s="349">
        <f t="shared" si="28"/>
        <v>0</v>
      </c>
      <c r="K228" s="349">
        <f t="shared" si="28"/>
        <v>0</v>
      </c>
      <c r="L228" s="350">
        <f t="shared" si="30"/>
        <v>0</v>
      </c>
      <c r="M228" s="351">
        <f t="shared" si="36"/>
        <v>21369</v>
      </c>
      <c r="N228" s="254">
        <f t="shared" si="31"/>
        <v>0</v>
      </c>
      <c r="O228" s="254">
        <f t="shared" si="32"/>
        <v>0</v>
      </c>
      <c r="P228" s="350">
        <f t="shared" si="33"/>
        <v>4</v>
      </c>
      <c r="Q228" s="351">
        <f t="shared" si="34"/>
        <v>1493</v>
      </c>
      <c r="R228" s="350">
        <f t="shared" si="35"/>
        <v>4</v>
      </c>
      <c r="S228" s="349"/>
      <c r="T228" s="349"/>
      <c r="U228" s="349"/>
      <c r="V228" s="349"/>
      <c r="W228" s="349"/>
      <c r="X228" s="349"/>
      <c r="Y228" s="349"/>
      <c r="Z228" s="349"/>
      <c r="AA228" s="349"/>
      <c r="AB228" s="349"/>
      <c r="AC228" s="349"/>
      <c r="AD228" s="349">
        <v>1</v>
      </c>
      <c r="AE228" s="349">
        <v>3</v>
      </c>
    </row>
    <row r="229" spans="1:31" ht="14.25">
      <c r="A229" s="336" t="str">
        <f t="shared" si="27"/>
        <v>26/01</v>
      </c>
      <c r="B229" s="348">
        <v>46051</v>
      </c>
      <c r="C229" s="349">
        <v>0</v>
      </c>
      <c r="D229" s="349">
        <v>0</v>
      </c>
      <c r="E229" s="349">
        <f t="shared" si="28"/>
        <v>0</v>
      </c>
      <c r="F229" s="349">
        <f t="shared" si="28"/>
        <v>0</v>
      </c>
      <c r="G229" s="349">
        <f t="shared" si="28"/>
        <v>0</v>
      </c>
      <c r="H229" s="349">
        <f t="shared" si="28"/>
        <v>0</v>
      </c>
      <c r="I229" s="349">
        <f t="shared" si="28"/>
        <v>0</v>
      </c>
      <c r="J229" s="349">
        <f t="shared" si="28"/>
        <v>0</v>
      </c>
      <c r="K229" s="349">
        <f t="shared" si="28"/>
        <v>0</v>
      </c>
      <c r="L229" s="350">
        <f t="shared" si="30"/>
        <v>0</v>
      </c>
      <c r="M229" s="351">
        <f t="shared" si="36"/>
        <v>21369</v>
      </c>
      <c r="N229" s="254">
        <f t="shared" si="31"/>
        <v>0</v>
      </c>
      <c r="O229" s="254">
        <f t="shared" si="32"/>
        <v>0</v>
      </c>
      <c r="P229" s="350">
        <f t="shared" si="33"/>
        <v>5</v>
      </c>
      <c r="Q229" s="351">
        <f t="shared" si="34"/>
        <v>1498</v>
      </c>
      <c r="R229" s="350">
        <f t="shared" si="35"/>
        <v>5</v>
      </c>
      <c r="S229" s="349"/>
      <c r="T229" s="349"/>
      <c r="U229" s="349"/>
      <c r="V229" s="349"/>
      <c r="W229" s="349"/>
      <c r="X229" s="349"/>
      <c r="Y229" s="349"/>
      <c r="Z229" s="349"/>
      <c r="AA229" s="349"/>
      <c r="AB229" s="349"/>
      <c r="AC229" s="349"/>
      <c r="AD229" s="349">
        <v>2</v>
      </c>
      <c r="AE229" s="349">
        <v>3</v>
      </c>
    </row>
    <row r="230" spans="1:31" ht="15" thickBot="1">
      <c r="A230" s="336" t="str">
        <f t="shared" si="27"/>
        <v>26/01</v>
      </c>
      <c r="B230" s="353">
        <v>46052</v>
      </c>
      <c r="C230" s="354">
        <v>0</v>
      </c>
      <c r="D230" s="354">
        <v>0</v>
      </c>
      <c r="E230" s="354">
        <f t="shared" si="28"/>
        <v>0</v>
      </c>
      <c r="F230" s="354">
        <f t="shared" si="28"/>
        <v>0</v>
      </c>
      <c r="G230" s="354">
        <f t="shared" si="28"/>
        <v>0</v>
      </c>
      <c r="H230" s="354">
        <f t="shared" si="28"/>
        <v>0</v>
      </c>
      <c r="I230" s="354">
        <f t="shared" si="28"/>
        <v>0</v>
      </c>
      <c r="J230" s="354">
        <f t="shared" si="28"/>
        <v>0</v>
      </c>
      <c r="K230" s="354">
        <f t="shared" si="28"/>
        <v>0</v>
      </c>
      <c r="L230" s="355">
        <f t="shared" si="30"/>
        <v>0</v>
      </c>
      <c r="M230" s="356">
        <f t="shared" si="36"/>
        <v>21369</v>
      </c>
      <c r="N230" s="357">
        <f t="shared" si="31"/>
        <v>0</v>
      </c>
      <c r="O230" s="357">
        <f t="shared" si="32"/>
        <v>0</v>
      </c>
      <c r="P230" s="355">
        <f t="shared" si="33"/>
        <v>4</v>
      </c>
      <c r="Q230" s="356">
        <f t="shared" si="34"/>
        <v>1502</v>
      </c>
      <c r="R230" s="355">
        <f t="shared" si="35"/>
        <v>4</v>
      </c>
      <c r="S230" s="354"/>
      <c r="T230" s="354"/>
      <c r="U230" s="354"/>
      <c r="V230" s="354"/>
      <c r="W230" s="354"/>
      <c r="X230" s="354"/>
      <c r="Y230" s="354"/>
      <c r="Z230" s="354"/>
      <c r="AA230" s="354"/>
      <c r="AB230" s="354"/>
      <c r="AC230" s="354"/>
      <c r="AD230" s="354">
        <v>1</v>
      </c>
      <c r="AE230" s="354">
        <v>3</v>
      </c>
    </row>
    <row r="231" spans="1:31" ht="15" thickTop="1">
      <c r="A231" s="336" t="str">
        <f t="shared" si="27"/>
        <v>26/02</v>
      </c>
      <c r="B231" s="348">
        <v>46055</v>
      </c>
      <c r="C231" s="349">
        <v>0</v>
      </c>
      <c r="D231" s="349">
        <v>0</v>
      </c>
      <c r="E231" s="349">
        <f t="shared" si="28"/>
        <v>0</v>
      </c>
      <c r="F231" s="349">
        <f t="shared" si="28"/>
        <v>0</v>
      </c>
      <c r="G231" s="349">
        <f t="shared" si="28"/>
        <v>0</v>
      </c>
      <c r="H231" s="349">
        <f t="shared" si="28"/>
        <v>2</v>
      </c>
      <c r="I231" s="349">
        <f t="shared" si="28"/>
        <v>0</v>
      </c>
      <c r="J231" s="349">
        <f t="shared" si="28"/>
        <v>0</v>
      </c>
      <c r="K231" s="349">
        <f t="shared" si="28"/>
        <v>0</v>
      </c>
      <c r="L231" s="350">
        <f t="shared" si="30"/>
        <v>2</v>
      </c>
      <c r="M231" s="351">
        <f t="shared" si="36"/>
        <v>21371</v>
      </c>
      <c r="N231" s="254">
        <f t="shared" si="31"/>
        <v>2</v>
      </c>
      <c r="O231" s="254">
        <f t="shared" si="32"/>
        <v>0</v>
      </c>
      <c r="P231" s="350">
        <f t="shared" si="33"/>
        <v>3</v>
      </c>
      <c r="Q231" s="351">
        <f t="shared" si="34"/>
        <v>1505</v>
      </c>
      <c r="R231" s="350">
        <f t="shared" si="35"/>
        <v>5</v>
      </c>
      <c r="S231" s="349">
        <v>2</v>
      </c>
      <c r="T231" s="349"/>
      <c r="U231" s="349"/>
      <c r="V231" s="349"/>
      <c r="W231" s="349"/>
      <c r="X231" s="349"/>
      <c r="Y231" s="349"/>
      <c r="Z231" s="349"/>
      <c r="AA231" s="349"/>
      <c r="AB231" s="349"/>
      <c r="AC231" s="349"/>
      <c r="AD231" s="349">
        <v>2</v>
      </c>
      <c r="AE231" s="349">
        <v>1</v>
      </c>
    </row>
    <row r="232" spans="1:31" ht="14.25">
      <c r="A232" s="336" t="str">
        <f t="shared" si="27"/>
        <v>26/02</v>
      </c>
      <c r="B232" s="348">
        <v>46056</v>
      </c>
      <c r="C232" s="349">
        <v>0</v>
      </c>
      <c r="D232" s="349">
        <v>0</v>
      </c>
      <c r="E232" s="349">
        <f t="shared" si="28"/>
        <v>0</v>
      </c>
      <c r="F232" s="349">
        <f t="shared" si="28"/>
        <v>0</v>
      </c>
      <c r="G232" s="349">
        <f t="shared" si="28"/>
        <v>0</v>
      </c>
      <c r="H232" s="349">
        <f t="shared" si="28"/>
        <v>1</v>
      </c>
      <c r="I232" s="349">
        <f t="shared" si="28"/>
        <v>0</v>
      </c>
      <c r="J232" s="349">
        <f t="shared" si="28"/>
        <v>0</v>
      </c>
      <c r="K232" s="349">
        <f t="shared" si="28"/>
        <v>0</v>
      </c>
      <c r="L232" s="350">
        <f t="shared" si="30"/>
        <v>1</v>
      </c>
      <c r="M232" s="351">
        <f t="shared" si="36"/>
        <v>21372</v>
      </c>
      <c r="N232" s="254">
        <f t="shared" si="31"/>
        <v>1</v>
      </c>
      <c r="O232" s="254">
        <f t="shared" si="32"/>
        <v>0</v>
      </c>
      <c r="P232" s="350">
        <f t="shared" si="33"/>
        <v>3</v>
      </c>
      <c r="Q232" s="351">
        <f t="shared" si="34"/>
        <v>1508</v>
      </c>
      <c r="R232" s="350">
        <f t="shared" si="35"/>
        <v>4</v>
      </c>
      <c r="S232" s="349"/>
      <c r="T232" s="349"/>
      <c r="U232" s="349"/>
      <c r="V232" s="349"/>
      <c r="W232" s="349"/>
      <c r="X232" s="349"/>
      <c r="Y232" s="349"/>
      <c r="Z232" s="349">
        <v>1</v>
      </c>
      <c r="AA232" s="349"/>
      <c r="AB232" s="349"/>
      <c r="AC232" s="349"/>
      <c r="AD232" s="349">
        <v>2</v>
      </c>
      <c r="AE232" s="349">
        <v>1</v>
      </c>
    </row>
    <row r="233" spans="1:31" ht="14.25">
      <c r="A233" s="336" t="str">
        <f t="shared" si="27"/>
        <v>26/02</v>
      </c>
      <c r="B233" s="348">
        <v>46057</v>
      </c>
      <c r="C233" s="349">
        <v>0</v>
      </c>
      <c r="D233" s="349">
        <v>0</v>
      </c>
      <c r="E233" s="349">
        <f t="shared" si="28"/>
        <v>0</v>
      </c>
      <c r="F233" s="349">
        <f t="shared" si="28"/>
        <v>0</v>
      </c>
      <c r="G233" s="349">
        <f t="shared" si="28"/>
        <v>0</v>
      </c>
      <c r="H233" s="349">
        <f t="shared" si="28"/>
        <v>0</v>
      </c>
      <c r="I233" s="349">
        <f t="shared" si="28"/>
        <v>0</v>
      </c>
      <c r="J233" s="349">
        <f t="shared" si="28"/>
        <v>0</v>
      </c>
      <c r="K233" s="349">
        <f t="shared" si="28"/>
        <v>0</v>
      </c>
      <c r="L233" s="350">
        <f t="shared" si="30"/>
        <v>0</v>
      </c>
      <c r="M233" s="351">
        <f t="shared" si="36"/>
        <v>21372</v>
      </c>
      <c r="N233" s="254">
        <f t="shared" si="31"/>
        <v>0</v>
      </c>
      <c r="O233" s="254">
        <f t="shared" si="32"/>
        <v>0</v>
      </c>
      <c r="P233" s="350">
        <f t="shared" si="33"/>
        <v>2</v>
      </c>
      <c r="Q233" s="351">
        <f t="shared" si="34"/>
        <v>1510</v>
      </c>
      <c r="R233" s="350">
        <f t="shared" si="35"/>
        <v>2</v>
      </c>
      <c r="S233" s="349"/>
      <c r="T233" s="349"/>
      <c r="U233" s="349"/>
      <c r="V233" s="349"/>
      <c r="W233" s="349"/>
      <c r="X233" s="349"/>
      <c r="Y233" s="349"/>
      <c r="Z233" s="349"/>
      <c r="AA233" s="349"/>
      <c r="AB233" s="349"/>
      <c r="AC233" s="349"/>
      <c r="AD233" s="349"/>
      <c r="AE233" s="349">
        <v>2</v>
      </c>
    </row>
    <row r="234" spans="1:31" ht="14.25">
      <c r="A234" s="336" t="str">
        <f t="shared" si="27"/>
        <v>26/02</v>
      </c>
      <c r="B234" s="348">
        <v>46058</v>
      </c>
      <c r="C234" s="349">
        <v>0</v>
      </c>
      <c r="D234" s="349">
        <v>0</v>
      </c>
      <c r="E234" s="349">
        <f t="shared" si="28"/>
        <v>0</v>
      </c>
      <c r="F234" s="349">
        <f t="shared" si="28"/>
        <v>0</v>
      </c>
      <c r="G234" s="349">
        <f t="shared" si="28"/>
        <v>0</v>
      </c>
      <c r="H234" s="349">
        <f t="shared" si="28"/>
        <v>0</v>
      </c>
      <c r="I234" s="349">
        <f t="shared" si="28"/>
        <v>0</v>
      </c>
      <c r="J234" s="349">
        <f t="shared" si="28"/>
        <v>0</v>
      </c>
      <c r="K234" s="349">
        <f t="shared" si="28"/>
        <v>0</v>
      </c>
      <c r="L234" s="350">
        <f t="shared" si="30"/>
        <v>0</v>
      </c>
      <c r="M234" s="351">
        <f t="shared" si="36"/>
        <v>21372</v>
      </c>
      <c r="N234" s="254">
        <f t="shared" si="31"/>
        <v>0</v>
      </c>
      <c r="O234" s="254">
        <f t="shared" si="32"/>
        <v>0</v>
      </c>
      <c r="P234" s="350">
        <f t="shared" si="33"/>
        <v>2</v>
      </c>
      <c r="Q234" s="351">
        <f t="shared" si="34"/>
        <v>1512</v>
      </c>
      <c r="R234" s="350">
        <f t="shared" si="35"/>
        <v>2</v>
      </c>
      <c r="S234" s="349"/>
      <c r="T234" s="349"/>
      <c r="U234" s="349"/>
      <c r="V234" s="349"/>
      <c r="W234" s="349"/>
      <c r="X234" s="349"/>
      <c r="Y234" s="349"/>
      <c r="Z234" s="349"/>
      <c r="AA234" s="349"/>
      <c r="AB234" s="349"/>
      <c r="AC234" s="349"/>
      <c r="AD234" s="349"/>
      <c r="AE234" s="349">
        <v>2</v>
      </c>
    </row>
    <row r="235" spans="1:31" ht="14.25">
      <c r="A235" s="336" t="str">
        <f t="shared" si="27"/>
        <v>26/02</v>
      </c>
      <c r="B235" s="348">
        <v>46059</v>
      </c>
      <c r="C235" s="349">
        <v>0</v>
      </c>
      <c r="D235" s="349">
        <v>0</v>
      </c>
      <c r="E235" s="349">
        <f t="shared" si="28"/>
        <v>0</v>
      </c>
      <c r="F235" s="349">
        <f t="shared" si="28"/>
        <v>0</v>
      </c>
      <c r="G235" s="349">
        <f t="shared" si="28"/>
        <v>0</v>
      </c>
      <c r="H235" s="349">
        <f t="shared" si="28"/>
        <v>0</v>
      </c>
      <c r="I235" s="349">
        <f t="shared" si="28"/>
        <v>0</v>
      </c>
      <c r="J235" s="349">
        <f t="shared" si="28"/>
        <v>0</v>
      </c>
      <c r="K235" s="349">
        <f t="shared" si="28"/>
        <v>0</v>
      </c>
      <c r="L235" s="350">
        <f t="shared" si="30"/>
        <v>0</v>
      </c>
      <c r="M235" s="351">
        <f t="shared" si="36"/>
        <v>21372</v>
      </c>
      <c r="N235" s="254">
        <f t="shared" si="31"/>
        <v>0</v>
      </c>
      <c r="O235" s="254">
        <f t="shared" si="32"/>
        <v>0</v>
      </c>
      <c r="P235" s="350">
        <f t="shared" si="33"/>
        <v>2</v>
      </c>
      <c r="Q235" s="351">
        <f t="shared" si="34"/>
        <v>1514</v>
      </c>
      <c r="R235" s="350">
        <f t="shared" si="35"/>
        <v>2</v>
      </c>
      <c r="S235" s="349"/>
      <c r="T235" s="349"/>
      <c r="U235" s="349"/>
      <c r="V235" s="349"/>
      <c r="W235" s="349"/>
      <c r="X235" s="349"/>
      <c r="Y235" s="349"/>
      <c r="Z235" s="349"/>
      <c r="AA235" s="349"/>
      <c r="AB235" s="349"/>
      <c r="AC235" s="349"/>
      <c r="AD235" s="349"/>
      <c r="AE235" s="349">
        <v>2</v>
      </c>
    </row>
    <row r="236" spans="1:31" ht="14.25">
      <c r="A236" s="336" t="str">
        <f t="shared" si="27"/>
        <v>26/02</v>
      </c>
      <c r="B236" s="348">
        <v>46062</v>
      </c>
      <c r="C236" s="349">
        <v>0</v>
      </c>
      <c r="D236" s="349">
        <v>0</v>
      </c>
      <c r="E236" s="349">
        <f t="shared" si="28"/>
        <v>0</v>
      </c>
      <c r="F236" s="349">
        <f t="shared" si="28"/>
        <v>0</v>
      </c>
      <c r="G236" s="349">
        <f t="shared" si="28"/>
        <v>0</v>
      </c>
      <c r="H236" s="349">
        <f t="shared" si="28"/>
        <v>0</v>
      </c>
      <c r="I236" s="349">
        <f t="shared" si="28"/>
        <v>0</v>
      </c>
      <c r="J236" s="349">
        <f t="shared" si="28"/>
        <v>0</v>
      </c>
      <c r="K236" s="349">
        <f t="shared" si="28"/>
        <v>0</v>
      </c>
      <c r="L236" s="350">
        <f t="shared" si="30"/>
        <v>0</v>
      </c>
      <c r="M236" s="351">
        <f t="shared" si="36"/>
        <v>21372</v>
      </c>
      <c r="N236" s="254">
        <f t="shared" si="31"/>
        <v>0</v>
      </c>
      <c r="O236" s="254">
        <f t="shared" si="32"/>
        <v>0</v>
      </c>
      <c r="P236" s="350">
        <f t="shared" si="33"/>
        <v>2</v>
      </c>
      <c r="Q236" s="351">
        <f t="shared" si="34"/>
        <v>1516</v>
      </c>
      <c r="R236" s="350">
        <f t="shared" si="35"/>
        <v>2</v>
      </c>
      <c r="S236" s="349"/>
      <c r="T236" s="349"/>
      <c r="U236" s="349"/>
      <c r="V236" s="349"/>
      <c r="W236" s="349"/>
      <c r="X236" s="349"/>
      <c r="Y236" s="349"/>
      <c r="Z236" s="349"/>
      <c r="AA236" s="349"/>
      <c r="AB236" s="349"/>
      <c r="AC236" s="349"/>
      <c r="AD236" s="349"/>
      <c r="AE236" s="349">
        <v>2</v>
      </c>
    </row>
    <row r="237" spans="1:31" ht="14.25">
      <c r="A237" s="336" t="str">
        <f t="shared" si="27"/>
        <v>26/02</v>
      </c>
      <c r="B237" s="348">
        <v>46063</v>
      </c>
      <c r="C237" s="349">
        <v>0</v>
      </c>
      <c r="D237" s="349">
        <v>0</v>
      </c>
      <c r="E237" s="349">
        <f t="shared" si="28"/>
        <v>0</v>
      </c>
      <c r="F237" s="349">
        <f t="shared" si="28"/>
        <v>0</v>
      </c>
      <c r="G237" s="349">
        <f t="shared" si="28"/>
        <v>0</v>
      </c>
      <c r="H237" s="349">
        <f t="shared" si="28"/>
        <v>0</v>
      </c>
      <c r="I237" s="349">
        <f t="shared" si="28"/>
        <v>0</v>
      </c>
      <c r="J237" s="349">
        <f t="shared" si="28"/>
        <v>0</v>
      </c>
      <c r="K237" s="349">
        <f t="shared" si="28"/>
        <v>1</v>
      </c>
      <c r="L237" s="350">
        <f t="shared" si="30"/>
        <v>1</v>
      </c>
      <c r="M237" s="351">
        <f t="shared" si="36"/>
        <v>21373</v>
      </c>
      <c r="N237" s="254">
        <f t="shared" si="31"/>
        <v>1</v>
      </c>
      <c r="O237" s="254">
        <f t="shared" si="32"/>
        <v>0</v>
      </c>
      <c r="P237" s="350">
        <f t="shared" si="33"/>
        <v>2</v>
      </c>
      <c r="Q237" s="351">
        <f t="shared" si="34"/>
        <v>1518</v>
      </c>
      <c r="R237" s="350">
        <f t="shared" si="35"/>
        <v>3</v>
      </c>
      <c r="S237" s="349"/>
      <c r="T237" s="349"/>
      <c r="U237" s="349"/>
      <c r="V237" s="349"/>
      <c r="W237" s="349"/>
      <c r="X237" s="349"/>
      <c r="Y237" s="349"/>
      <c r="Z237" s="349"/>
      <c r="AA237" s="349"/>
      <c r="AB237" s="349"/>
      <c r="AC237" s="349">
        <v>1</v>
      </c>
      <c r="AD237" s="349"/>
      <c r="AE237" s="349">
        <v>2</v>
      </c>
    </row>
    <row r="238" spans="1:31" ht="14.25">
      <c r="A238" s="336" t="str">
        <f t="shared" si="27"/>
        <v>26/02</v>
      </c>
      <c r="B238" s="348">
        <v>46065</v>
      </c>
      <c r="C238" s="349">
        <v>0</v>
      </c>
      <c r="D238" s="349">
        <v>0</v>
      </c>
      <c r="E238" s="349">
        <f t="shared" si="28"/>
        <v>0</v>
      </c>
      <c r="F238" s="349">
        <f t="shared" si="28"/>
        <v>0</v>
      </c>
      <c r="G238" s="349">
        <f t="shared" si="28"/>
        <v>0</v>
      </c>
      <c r="H238" s="349">
        <f t="shared" si="28"/>
        <v>0</v>
      </c>
      <c r="I238" s="349">
        <f t="shared" si="28"/>
        <v>0</v>
      </c>
      <c r="J238" s="349">
        <f t="shared" si="28"/>
        <v>0</v>
      </c>
      <c r="K238" s="349">
        <f t="shared" si="28"/>
        <v>0</v>
      </c>
      <c r="L238" s="350">
        <f t="shared" si="30"/>
        <v>0</v>
      </c>
      <c r="M238" s="351">
        <f t="shared" si="36"/>
        <v>21373</v>
      </c>
      <c r="N238" s="254">
        <f t="shared" si="31"/>
        <v>0</v>
      </c>
      <c r="O238" s="254">
        <f t="shared" si="32"/>
        <v>0</v>
      </c>
      <c r="P238" s="350">
        <f t="shared" si="33"/>
        <v>2</v>
      </c>
      <c r="Q238" s="351">
        <f t="shared" si="34"/>
        <v>1520</v>
      </c>
      <c r="R238" s="350">
        <f t="shared" si="35"/>
        <v>2</v>
      </c>
      <c r="S238" s="349"/>
      <c r="T238" s="349"/>
      <c r="U238" s="349"/>
      <c r="V238" s="349"/>
      <c r="W238" s="349"/>
      <c r="X238" s="349"/>
      <c r="Y238" s="349"/>
      <c r="Z238" s="349"/>
      <c r="AA238" s="349"/>
      <c r="AB238" s="349"/>
      <c r="AC238" s="349"/>
      <c r="AD238" s="349"/>
      <c r="AE238" s="349">
        <v>2</v>
      </c>
    </row>
    <row r="239" spans="1:31" ht="14.25">
      <c r="A239" s="336" t="str">
        <f t="shared" si="27"/>
        <v>26/02</v>
      </c>
      <c r="B239" s="348">
        <v>46066</v>
      </c>
      <c r="C239" s="349">
        <v>0</v>
      </c>
      <c r="D239" s="349">
        <v>0</v>
      </c>
      <c r="E239" s="349">
        <f t="shared" si="28"/>
        <v>0</v>
      </c>
      <c r="F239" s="349">
        <f t="shared" si="28"/>
        <v>0</v>
      </c>
      <c r="G239" s="349">
        <f t="shared" si="28"/>
        <v>0</v>
      </c>
      <c r="H239" s="349">
        <f t="shared" si="28"/>
        <v>0</v>
      </c>
      <c r="I239" s="349">
        <f t="shared" si="28"/>
        <v>0</v>
      </c>
      <c r="J239" s="349">
        <f t="shared" si="28"/>
        <v>0</v>
      </c>
      <c r="K239" s="349">
        <f t="shared" si="28"/>
        <v>0</v>
      </c>
      <c r="L239" s="350">
        <f t="shared" si="30"/>
        <v>0</v>
      </c>
      <c r="M239" s="351">
        <f t="shared" si="36"/>
        <v>21373</v>
      </c>
      <c r="N239" s="254">
        <f t="shared" si="31"/>
        <v>0</v>
      </c>
      <c r="O239" s="254">
        <f t="shared" si="32"/>
        <v>0</v>
      </c>
      <c r="P239" s="350">
        <f t="shared" si="33"/>
        <v>1</v>
      </c>
      <c r="Q239" s="351">
        <f t="shared" si="34"/>
        <v>1521</v>
      </c>
      <c r="R239" s="350">
        <f t="shared" si="35"/>
        <v>1</v>
      </c>
      <c r="S239" s="349"/>
      <c r="T239" s="349"/>
      <c r="U239" s="349"/>
      <c r="V239" s="349"/>
      <c r="W239" s="349"/>
      <c r="X239" s="349"/>
      <c r="Y239" s="349"/>
      <c r="Z239" s="349"/>
      <c r="AA239" s="349"/>
      <c r="AB239" s="349"/>
      <c r="AC239" s="349"/>
      <c r="AD239" s="349"/>
      <c r="AE239" s="349">
        <v>1</v>
      </c>
    </row>
    <row r="240" spans="1:31" ht="14.25">
      <c r="A240" s="336" t="str">
        <f t="shared" si="27"/>
        <v>26/02</v>
      </c>
      <c r="B240" s="348">
        <v>46069</v>
      </c>
      <c r="C240" s="349">
        <v>0</v>
      </c>
      <c r="D240" s="349">
        <v>0</v>
      </c>
      <c r="E240" s="349">
        <f t="shared" si="28"/>
        <v>0</v>
      </c>
      <c r="F240" s="349">
        <f t="shared" si="28"/>
        <v>0</v>
      </c>
      <c r="G240" s="349">
        <f t="shared" si="28"/>
        <v>0</v>
      </c>
      <c r="H240" s="349">
        <f t="shared" si="28"/>
        <v>0</v>
      </c>
      <c r="I240" s="349">
        <f t="shared" si="28"/>
        <v>0</v>
      </c>
      <c r="J240" s="349">
        <f t="shared" si="28"/>
        <v>0</v>
      </c>
      <c r="K240" s="349">
        <f t="shared" si="28"/>
        <v>0</v>
      </c>
      <c r="L240" s="350">
        <f t="shared" si="30"/>
        <v>0</v>
      </c>
      <c r="M240" s="351">
        <f t="shared" si="36"/>
        <v>21373</v>
      </c>
      <c r="N240" s="254">
        <f t="shared" si="31"/>
        <v>0</v>
      </c>
      <c r="O240" s="254">
        <f t="shared" si="32"/>
        <v>0</v>
      </c>
      <c r="P240" s="350">
        <f t="shared" si="33"/>
        <v>1</v>
      </c>
      <c r="Q240" s="351">
        <f t="shared" si="34"/>
        <v>1522</v>
      </c>
      <c r="R240" s="350">
        <f t="shared" si="35"/>
        <v>1</v>
      </c>
      <c r="S240" s="349"/>
      <c r="T240" s="349"/>
      <c r="U240" s="349"/>
      <c r="V240" s="349"/>
      <c r="W240" s="349"/>
      <c r="X240" s="349"/>
      <c r="Y240" s="349"/>
      <c r="Z240" s="349"/>
      <c r="AA240" s="349"/>
      <c r="AB240" s="349"/>
      <c r="AC240" s="349"/>
      <c r="AD240" s="349"/>
      <c r="AE240" s="349">
        <v>1</v>
      </c>
    </row>
    <row r="241" spans="1:31" ht="14.25">
      <c r="A241" s="336" t="str">
        <f t="shared" si="27"/>
        <v>26/02</v>
      </c>
      <c r="B241" s="348">
        <v>46070</v>
      </c>
      <c r="C241" s="349">
        <v>0</v>
      </c>
      <c r="D241" s="349">
        <v>0</v>
      </c>
      <c r="E241" s="349">
        <f t="shared" ref="E241:K272" si="37">SUMIFS($S241:$AE241,$S$210:$AE$210,E$208)</f>
        <v>0</v>
      </c>
      <c r="F241" s="349">
        <f t="shared" si="37"/>
        <v>0</v>
      </c>
      <c r="G241" s="349">
        <f t="shared" si="37"/>
        <v>0</v>
      </c>
      <c r="H241" s="349">
        <f t="shared" si="37"/>
        <v>0</v>
      </c>
      <c r="I241" s="349">
        <f t="shared" si="37"/>
        <v>0</v>
      </c>
      <c r="J241" s="349">
        <f t="shared" si="37"/>
        <v>0</v>
      </c>
      <c r="K241" s="349">
        <f t="shared" si="37"/>
        <v>0</v>
      </c>
      <c r="L241" s="350">
        <f t="shared" si="30"/>
        <v>0</v>
      </c>
      <c r="M241" s="351">
        <f t="shared" si="36"/>
        <v>21373</v>
      </c>
      <c r="N241" s="254">
        <f t="shared" si="31"/>
        <v>0</v>
      </c>
      <c r="O241" s="254">
        <f t="shared" si="32"/>
        <v>0</v>
      </c>
      <c r="P241" s="350">
        <f t="shared" si="33"/>
        <v>1</v>
      </c>
      <c r="Q241" s="351">
        <f t="shared" si="34"/>
        <v>1523</v>
      </c>
      <c r="R241" s="350">
        <f t="shared" si="35"/>
        <v>1</v>
      </c>
      <c r="S241" s="349"/>
      <c r="T241" s="349"/>
      <c r="U241" s="349"/>
      <c r="V241" s="349"/>
      <c r="W241" s="349"/>
      <c r="X241" s="349"/>
      <c r="Y241" s="349"/>
      <c r="Z241" s="349"/>
      <c r="AA241" s="349"/>
      <c r="AB241" s="349"/>
      <c r="AC241" s="349"/>
      <c r="AD241" s="349"/>
      <c r="AE241" s="349">
        <v>1</v>
      </c>
    </row>
    <row r="242" spans="1:31" ht="14.25">
      <c r="A242" s="336" t="str">
        <f t="shared" si="27"/>
        <v>26/02</v>
      </c>
      <c r="B242" s="348">
        <v>46071</v>
      </c>
      <c r="C242" s="349">
        <v>0</v>
      </c>
      <c r="D242" s="349">
        <v>0</v>
      </c>
      <c r="E242" s="349">
        <f t="shared" si="37"/>
        <v>0</v>
      </c>
      <c r="F242" s="349">
        <f t="shared" si="37"/>
        <v>0</v>
      </c>
      <c r="G242" s="349">
        <f t="shared" si="37"/>
        <v>0</v>
      </c>
      <c r="H242" s="349">
        <f t="shared" si="37"/>
        <v>0</v>
      </c>
      <c r="I242" s="349">
        <f t="shared" si="37"/>
        <v>1</v>
      </c>
      <c r="J242" s="349">
        <f t="shared" si="37"/>
        <v>0</v>
      </c>
      <c r="K242" s="349">
        <f t="shared" si="37"/>
        <v>0</v>
      </c>
      <c r="L242" s="350">
        <f t="shared" si="30"/>
        <v>1</v>
      </c>
      <c r="M242" s="351">
        <f t="shared" si="36"/>
        <v>21374</v>
      </c>
      <c r="N242" s="254">
        <f t="shared" si="31"/>
        <v>1</v>
      </c>
      <c r="O242" s="254">
        <f t="shared" si="32"/>
        <v>0</v>
      </c>
      <c r="P242" s="350">
        <f t="shared" si="33"/>
        <v>0</v>
      </c>
      <c r="Q242" s="351">
        <f t="shared" si="34"/>
        <v>1523</v>
      </c>
      <c r="R242" s="350">
        <f t="shared" si="35"/>
        <v>1</v>
      </c>
      <c r="S242" s="349"/>
      <c r="T242" s="349"/>
      <c r="U242" s="349"/>
      <c r="V242" s="349"/>
      <c r="W242" s="349"/>
      <c r="X242" s="349"/>
      <c r="Y242" s="349">
        <v>1</v>
      </c>
      <c r="Z242" s="349"/>
      <c r="AA242" s="349"/>
      <c r="AB242" s="349"/>
      <c r="AC242" s="349"/>
      <c r="AD242" s="349"/>
      <c r="AE242" s="349"/>
    </row>
    <row r="243" spans="1:31" ht="14.25">
      <c r="A243" s="336" t="str">
        <f t="shared" si="27"/>
        <v>26/02</v>
      </c>
      <c r="B243" s="348">
        <v>46072</v>
      </c>
      <c r="C243" s="349">
        <v>0</v>
      </c>
      <c r="D243" s="349">
        <v>0</v>
      </c>
      <c r="E243" s="349">
        <f t="shared" si="37"/>
        <v>0</v>
      </c>
      <c r="F243" s="349">
        <f t="shared" si="37"/>
        <v>0</v>
      </c>
      <c r="G243" s="349">
        <f t="shared" si="37"/>
        <v>0</v>
      </c>
      <c r="H243" s="349">
        <f t="shared" si="37"/>
        <v>0</v>
      </c>
      <c r="I243" s="349">
        <f t="shared" si="37"/>
        <v>1</v>
      </c>
      <c r="J243" s="349">
        <f t="shared" si="37"/>
        <v>0</v>
      </c>
      <c r="K243" s="349">
        <f t="shared" si="37"/>
        <v>0</v>
      </c>
      <c r="L243" s="350">
        <f t="shared" si="30"/>
        <v>1</v>
      </c>
      <c r="M243" s="351">
        <f t="shared" si="36"/>
        <v>21375</v>
      </c>
      <c r="N243" s="254">
        <f t="shared" si="31"/>
        <v>1</v>
      </c>
      <c r="O243" s="254">
        <f t="shared" si="32"/>
        <v>0</v>
      </c>
      <c r="P243" s="350">
        <f t="shared" si="33"/>
        <v>0</v>
      </c>
      <c r="Q243" s="351">
        <f t="shared" si="34"/>
        <v>1523</v>
      </c>
      <c r="R243" s="350">
        <f t="shared" si="35"/>
        <v>1</v>
      </c>
      <c r="S243" s="349"/>
      <c r="T243" s="349"/>
      <c r="U243" s="349"/>
      <c r="V243" s="349"/>
      <c r="W243" s="349"/>
      <c r="X243" s="349"/>
      <c r="Y243" s="349">
        <v>1</v>
      </c>
      <c r="Z243" s="349"/>
      <c r="AA243" s="349"/>
      <c r="AB243" s="349"/>
      <c r="AC243" s="349"/>
      <c r="AD243" s="349"/>
      <c r="AE243" s="349"/>
    </row>
    <row r="244" spans="1:31" ht="14.25">
      <c r="A244" s="336" t="str">
        <f t="shared" si="27"/>
        <v>26/02</v>
      </c>
      <c r="B244" s="348">
        <v>46078</v>
      </c>
      <c r="C244" s="349">
        <v>0</v>
      </c>
      <c r="D244" s="349">
        <v>0</v>
      </c>
      <c r="E244" s="349">
        <f t="shared" si="37"/>
        <v>0</v>
      </c>
      <c r="F244" s="349">
        <f t="shared" si="37"/>
        <v>0</v>
      </c>
      <c r="G244" s="349">
        <f t="shared" si="37"/>
        <v>0</v>
      </c>
      <c r="H244" s="349">
        <f t="shared" si="37"/>
        <v>0</v>
      </c>
      <c r="I244" s="349">
        <f t="shared" si="37"/>
        <v>0</v>
      </c>
      <c r="J244" s="349">
        <f t="shared" si="37"/>
        <v>0</v>
      </c>
      <c r="K244" s="349">
        <f t="shared" si="37"/>
        <v>0</v>
      </c>
      <c r="L244" s="350">
        <f t="shared" si="30"/>
        <v>0</v>
      </c>
      <c r="M244" s="351">
        <f t="shared" si="36"/>
        <v>21375</v>
      </c>
      <c r="N244" s="254">
        <f t="shared" si="31"/>
        <v>0</v>
      </c>
      <c r="O244" s="254">
        <f t="shared" si="32"/>
        <v>0</v>
      </c>
      <c r="P244" s="350">
        <f t="shared" si="33"/>
        <v>2</v>
      </c>
      <c r="Q244" s="351">
        <f t="shared" si="34"/>
        <v>1525</v>
      </c>
      <c r="R244" s="350">
        <f t="shared" si="35"/>
        <v>2</v>
      </c>
      <c r="S244" s="349"/>
      <c r="T244" s="349"/>
      <c r="U244" s="349"/>
      <c r="V244" s="349"/>
      <c r="W244" s="349"/>
      <c r="X244" s="349"/>
      <c r="Y244" s="349"/>
      <c r="Z244" s="349"/>
      <c r="AA244" s="349"/>
      <c r="AB244" s="349"/>
      <c r="AC244" s="349"/>
      <c r="AD244" s="349">
        <v>2</v>
      </c>
      <c r="AE244" s="349"/>
    </row>
    <row r="245" spans="1:31" ht="14.25">
      <c r="A245" s="336" t="str">
        <f t="shared" si="27"/>
        <v>26/02</v>
      </c>
      <c r="B245" s="348">
        <v>46079</v>
      </c>
      <c r="C245" s="349">
        <v>0</v>
      </c>
      <c r="D245" s="349">
        <v>0</v>
      </c>
      <c r="E245" s="349">
        <f t="shared" si="37"/>
        <v>0</v>
      </c>
      <c r="F245" s="349">
        <f t="shared" si="37"/>
        <v>0</v>
      </c>
      <c r="G245" s="349">
        <f t="shared" si="37"/>
        <v>0</v>
      </c>
      <c r="H245" s="349">
        <f t="shared" si="37"/>
        <v>0</v>
      </c>
      <c r="I245" s="349">
        <f t="shared" si="37"/>
        <v>0</v>
      </c>
      <c r="J245" s="349">
        <f t="shared" si="37"/>
        <v>0</v>
      </c>
      <c r="K245" s="349">
        <f t="shared" si="37"/>
        <v>0</v>
      </c>
      <c r="L245" s="350">
        <f t="shared" si="30"/>
        <v>0</v>
      </c>
      <c r="M245" s="351">
        <f t="shared" si="36"/>
        <v>21375</v>
      </c>
      <c r="N245" s="254">
        <f t="shared" si="31"/>
        <v>0</v>
      </c>
      <c r="O245" s="254">
        <f t="shared" si="32"/>
        <v>0</v>
      </c>
      <c r="P245" s="350">
        <f t="shared" si="33"/>
        <v>1</v>
      </c>
      <c r="Q245" s="351">
        <f t="shared" si="34"/>
        <v>1526</v>
      </c>
      <c r="R245" s="350">
        <f t="shared" si="35"/>
        <v>1</v>
      </c>
      <c r="S245" s="349"/>
      <c r="T245" s="349"/>
      <c r="U245" s="349"/>
      <c r="V245" s="349"/>
      <c r="W245" s="349"/>
      <c r="X245" s="349"/>
      <c r="Y245" s="349"/>
      <c r="Z245" s="349"/>
      <c r="AA245" s="349"/>
      <c r="AB245" s="349"/>
      <c r="AC245" s="349"/>
      <c r="AD245" s="349">
        <v>1</v>
      </c>
      <c r="AE245" s="349"/>
    </row>
    <row r="246" spans="1:31" ht="15" thickBot="1">
      <c r="A246" s="336" t="str">
        <f t="shared" si="27"/>
        <v>26/02</v>
      </c>
      <c r="B246" s="353">
        <v>46080</v>
      </c>
      <c r="C246" s="354">
        <v>0</v>
      </c>
      <c r="D246" s="354">
        <v>0</v>
      </c>
      <c r="E246" s="354">
        <f t="shared" si="37"/>
        <v>0</v>
      </c>
      <c r="F246" s="354">
        <f t="shared" si="37"/>
        <v>0</v>
      </c>
      <c r="G246" s="354">
        <f t="shared" si="37"/>
        <v>0</v>
      </c>
      <c r="H246" s="354">
        <f t="shared" si="37"/>
        <v>0</v>
      </c>
      <c r="I246" s="354">
        <f t="shared" si="37"/>
        <v>0</v>
      </c>
      <c r="J246" s="354">
        <f t="shared" si="37"/>
        <v>0</v>
      </c>
      <c r="K246" s="354">
        <f t="shared" si="37"/>
        <v>0</v>
      </c>
      <c r="L246" s="355">
        <f t="shared" si="30"/>
        <v>0</v>
      </c>
      <c r="M246" s="356">
        <f t="shared" si="36"/>
        <v>21375</v>
      </c>
      <c r="N246" s="357">
        <f t="shared" si="31"/>
        <v>0</v>
      </c>
      <c r="O246" s="357">
        <f t="shared" si="32"/>
        <v>0</v>
      </c>
      <c r="P246" s="355">
        <f t="shared" si="33"/>
        <v>1</v>
      </c>
      <c r="Q246" s="356">
        <f t="shared" si="34"/>
        <v>1527</v>
      </c>
      <c r="R246" s="355">
        <f t="shared" si="35"/>
        <v>1</v>
      </c>
      <c r="S246" s="354"/>
      <c r="T246" s="354"/>
      <c r="U246" s="354"/>
      <c r="V246" s="354"/>
      <c r="W246" s="354"/>
      <c r="X246" s="354"/>
      <c r="Y246" s="354"/>
      <c r="Z246" s="354"/>
      <c r="AA246" s="354"/>
      <c r="AB246" s="354"/>
      <c r="AC246" s="354"/>
      <c r="AD246" s="354">
        <v>1</v>
      </c>
      <c r="AE246" s="354"/>
    </row>
    <row r="247" spans="1:31" ht="15" thickTop="1">
      <c r="A247" s="336" t="str">
        <f t="shared" si="27"/>
        <v>26/03</v>
      </c>
      <c r="B247" s="348">
        <v>46083</v>
      </c>
      <c r="C247" s="349">
        <v>0</v>
      </c>
      <c r="D247" s="349">
        <v>0</v>
      </c>
      <c r="E247" s="349">
        <f t="shared" si="37"/>
        <v>0</v>
      </c>
      <c r="F247" s="349">
        <f t="shared" si="37"/>
        <v>0</v>
      </c>
      <c r="G247" s="349">
        <f t="shared" si="37"/>
        <v>0</v>
      </c>
      <c r="H247" s="349">
        <f t="shared" si="37"/>
        <v>0</v>
      </c>
      <c r="I247" s="349">
        <f t="shared" si="37"/>
        <v>0</v>
      </c>
      <c r="J247" s="349">
        <f t="shared" si="37"/>
        <v>0</v>
      </c>
      <c r="K247" s="349">
        <f t="shared" si="37"/>
        <v>0</v>
      </c>
      <c r="L247" s="350">
        <f t="shared" si="30"/>
        <v>0</v>
      </c>
      <c r="M247" s="351">
        <f t="shared" si="36"/>
        <v>21375</v>
      </c>
      <c r="N247" s="254">
        <f t="shared" si="31"/>
        <v>0</v>
      </c>
      <c r="O247" s="254">
        <f t="shared" si="32"/>
        <v>0</v>
      </c>
      <c r="P247" s="350">
        <f t="shared" si="33"/>
        <v>1</v>
      </c>
      <c r="Q247" s="351">
        <f t="shared" si="34"/>
        <v>1528</v>
      </c>
      <c r="R247" s="350">
        <f t="shared" si="35"/>
        <v>1</v>
      </c>
      <c r="S247" s="349"/>
      <c r="T247" s="349"/>
      <c r="U247" s="349"/>
      <c r="V247" s="349"/>
      <c r="W247" s="349"/>
      <c r="X247" s="349"/>
      <c r="Y247" s="349"/>
      <c r="Z247" s="349"/>
      <c r="AA247" s="349"/>
      <c r="AB247" s="349"/>
      <c r="AC247" s="349"/>
      <c r="AD247" s="349">
        <v>1</v>
      </c>
      <c r="AE247" s="349"/>
    </row>
    <row r="248" spans="1:31" ht="14.25">
      <c r="A248" s="336" t="str">
        <f t="shared" si="27"/>
        <v>26/03</v>
      </c>
      <c r="B248" s="348">
        <v>46084</v>
      </c>
      <c r="C248" s="349">
        <v>0</v>
      </c>
      <c r="D248" s="349">
        <v>0</v>
      </c>
      <c r="E248" s="349">
        <f t="shared" si="37"/>
        <v>0</v>
      </c>
      <c r="F248" s="349">
        <f t="shared" si="37"/>
        <v>0</v>
      </c>
      <c r="G248" s="349">
        <f t="shared" si="37"/>
        <v>0</v>
      </c>
      <c r="H248" s="349">
        <f t="shared" si="37"/>
        <v>0</v>
      </c>
      <c r="I248" s="349">
        <f t="shared" si="37"/>
        <v>0</v>
      </c>
      <c r="J248" s="349">
        <f t="shared" si="37"/>
        <v>0</v>
      </c>
      <c r="K248" s="349">
        <f t="shared" si="37"/>
        <v>0</v>
      </c>
      <c r="L248" s="350">
        <f t="shared" si="30"/>
        <v>0</v>
      </c>
      <c r="M248" s="351">
        <f t="shared" si="36"/>
        <v>21375</v>
      </c>
      <c r="N248" s="254">
        <f t="shared" si="31"/>
        <v>0</v>
      </c>
      <c r="O248" s="254">
        <f t="shared" si="32"/>
        <v>0</v>
      </c>
      <c r="P248" s="350">
        <f t="shared" si="33"/>
        <v>1</v>
      </c>
      <c r="Q248" s="351">
        <f t="shared" si="34"/>
        <v>1529</v>
      </c>
      <c r="R248" s="350">
        <f t="shared" si="35"/>
        <v>1</v>
      </c>
      <c r="S248" s="349"/>
      <c r="T248" s="349"/>
      <c r="U248" s="349"/>
      <c r="V248" s="349"/>
      <c r="W248" s="349"/>
      <c r="X248" s="349"/>
      <c r="Y248" s="349"/>
      <c r="Z248" s="349"/>
      <c r="AA248" s="349"/>
      <c r="AB248" s="349"/>
      <c r="AC248" s="349"/>
      <c r="AD248" s="349">
        <v>1</v>
      </c>
      <c r="AE248" s="349"/>
    </row>
    <row r="249" spans="1:31" ht="14.25">
      <c r="A249" s="336" t="str">
        <f t="shared" si="27"/>
        <v>26/03</v>
      </c>
      <c r="B249" s="348">
        <v>46085</v>
      </c>
      <c r="C249" s="349">
        <v>0</v>
      </c>
      <c r="D249" s="349">
        <v>0</v>
      </c>
      <c r="E249" s="349">
        <f t="shared" si="37"/>
        <v>1</v>
      </c>
      <c r="F249" s="349">
        <f t="shared" si="37"/>
        <v>0</v>
      </c>
      <c r="G249" s="349">
        <f t="shared" si="37"/>
        <v>0</v>
      </c>
      <c r="H249" s="349">
        <f t="shared" si="37"/>
        <v>0</v>
      </c>
      <c r="I249" s="349">
        <f t="shared" si="37"/>
        <v>0</v>
      </c>
      <c r="J249" s="349">
        <f t="shared" si="37"/>
        <v>0</v>
      </c>
      <c r="K249" s="349">
        <f t="shared" si="37"/>
        <v>0</v>
      </c>
      <c r="L249" s="350">
        <f t="shared" si="30"/>
        <v>1</v>
      </c>
      <c r="M249" s="351">
        <f t="shared" si="36"/>
        <v>21376</v>
      </c>
      <c r="N249" s="254">
        <f t="shared" si="31"/>
        <v>0</v>
      </c>
      <c r="O249" s="254">
        <f t="shared" si="32"/>
        <v>1</v>
      </c>
      <c r="P249" s="350">
        <f t="shared" si="33"/>
        <v>0</v>
      </c>
      <c r="Q249" s="351">
        <f t="shared" si="34"/>
        <v>1529</v>
      </c>
      <c r="R249" s="350">
        <f t="shared" si="35"/>
        <v>1</v>
      </c>
      <c r="S249" s="349"/>
      <c r="T249" s="349">
        <v>1</v>
      </c>
      <c r="U249" s="349"/>
      <c r="V249" s="349"/>
      <c r="W249" s="349"/>
      <c r="X249" s="349"/>
      <c r="Y249" s="349"/>
      <c r="Z249" s="349"/>
      <c r="AA249" s="349"/>
      <c r="AB249" s="349"/>
      <c r="AC249" s="349"/>
      <c r="AD249" s="349"/>
      <c r="AE249" s="349"/>
    </row>
    <row r="250" spans="1:31" ht="14.25">
      <c r="A250" s="336" t="str">
        <f t="shared" si="27"/>
        <v>26/03</v>
      </c>
      <c r="B250" s="348">
        <v>46086</v>
      </c>
      <c r="C250" s="349">
        <v>0</v>
      </c>
      <c r="D250" s="349">
        <v>0</v>
      </c>
      <c r="E250" s="349">
        <f t="shared" si="37"/>
        <v>1</v>
      </c>
      <c r="F250" s="349">
        <f t="shared" si="37"/>
        <v>0</v>
      </c>
      <c r="G250" s="349">
        <f t="shared" si="37"/>
        <v>0</v>
      </c>
      <c r="H250" s="349">
        <f t="shared" si="37"/>
        <v>0</v>
      </c>
      <c r="I250" s="349">
        <f t="shared" si="37"/>
        <v>0</v>
      </c>
      <c r="J250" s="349">
        <f t="shared" si="37"/>
        <v>0</v>
      </c>
      <c r="K250" s="349">
        <f t="shared" si="37"/>
        <v>0</v>
      </c>
      <c r="L250" s="350">
        <f t="shared" si="30"/>
        <v>1</v>
      </c>
      <c r="M250" s="351">
        <f t="shared" si="36"/>
        <v>21377</v>
      </c>
      <c r="N250" s="254">
        <f t="shared" si="31"/>
        <v>0</v>
      </c>
      <c r="O250" s="254">
        <f t="shared" si="32"/>
        <v>1</v>
      </c>
      <c r="P250" s="350">
        <f t="shared" si="33"/>
        <v>0</v>
      </c>
      <c r="Q250" s="351">
        <f t="shared" si="34"/>
        <v>1529</v>
      </c>
      <c r="R250" s="350">
        <f t="shared" si="35"/>
        <v>1</v>
      </c>
      <c r="S250" s="349"/>
      <c r="T250" s="349">
        <v>1</v>
      </c>
      <c r="U250" s="349"/>
      <c r="V250" s="349"/>
      <c r="W250" s="349"/>
      <c r="X250" s="349"/>
      <c r="Y250" s="349"/>
      <c r="Z250" s="349"/>
      <c r="AA250" s="349"/>
      <c r="AB250" s="349"/>
      <c r="AC250" s="349"/>
      <c r="AD250" s="349"/>
      <c r="AE250" s="349"/>
    </row>
    <row r="251" spans="1:31" ht="14.25">
      <c r="A251" s="336" t="str">
        <f t="shared" si="27"/>
        <v>26/03</v>
      </c>
      <c r="B251" s="348">
        <v>46087</v>
      </c>
      <c r="C251" s="349">
        <v>0</v>
      </c>
      <c r="D251" s="349">
        <v>0</v>
      </c>
      <c r="E251" s="349">
        <f t="shared" si="37"/>
        <v>1</v>
      </c>
      <c r="F251" s="349">
        <f t="shared" si="37"/>
        <v>0</v>
      </c>
      <c r="G251" s="349">
        <f t="shared" si="37"/>
        <v>0</v>
      </c>
      <c r="H251" s="349">
        <f t="shared" si="37"/>
        <v>0</v>
      </c>
      <c r="I251" s="349">
        <f t="shared" si="37"/>
        <v>0</v>
      </c>
      <c r="J251" s="349">
        <f t="shared" si="37"/>
        <v>0</v>
      </c>
      <c r="K251" s="349">
        <f t="shared" si="37"/>
        <v>0</v>
      </c>
      <c r="L251" s="350">
        <f t="shared" si="30"/>
        <v>1</v>
      </c>
      <c r="M251" s="351">
        <f t="shared" si="36"/>
        <v>21378</v>
      </c>
      <c r="N251" s="254">
        <f t="shared" si="31"/>
        <v>0</v>
      </c>
      <c r="O251" s="254">
        <f t="shared" si="32"/>
        <v>1</v>
      </c>
      <c r="P251" s="350">
        <f t="shared" si="33"/>
        <v>0</v>
      </c>
      <c r="Q251" s="351">
        <f t="shared" si="34"/>
        <v>1529</v>
      </c>
      <c r="R251" s="350">
        <f t="shared" si="35"/>
        <v>1</v>
      </c>
      <c r="S251" s="349"/>
      <c r="T251" s="349">
        <v>1</v>
      </c>
      <c r="U251" s="349"/>
      <c r="V251" s="349"/>
      <c r="W251" s="349"/>
      <c r="X251" s="349"/>
      <c r="Y251" s="349"/>
      <c r="Z251" s="349"/>
      <c r="AA251" s="349"/>
      <c r="AB251" s="349"/>
      <c r="AC251" s="349"/>
      <c r="AD251" s="349"/>
      <c r="AE251" s="349"/>
    </row>
    <row r="252" spans="1:31" ht="14.25">
      <c r="A252" s="336" t="str">
        <f t="shared" si="27"/>
        <v>26/03</v>
      </c>
      <c r="B252" s="348">
        <v>46090</v>
      </c>
      <c r="C252" s="349">
        <v>0</v>
      </c>
      <c r="D252" s="349">
        <v>0</v>
      </c>
      <c r="E252" s="349">
        <f t="shared" si="37"/>
        <v>1</v>
      </c>
      <c r="F252" s="349">
        <f t="shared" si="37"/>
        <v>0</v>
      </c>
      <c r="G252" s="349">
        <f t="shared" si="37"/>
        <v>0</v>
      </c>
      <c r="H252" s="349">
        <f t="shared" si="37"/>
        <v>0</v>
      </c>
      <c r="I252" s="349">
        <f t="shared" si="37"/>
        <v>0</v>
      </c>
      <c r="J252" s="349">
        <f t="shared" si="37"/>
        <v>0</v>
      </c>
      <c r="K252" s="349">
        <f t="shared" si="37"/>
        <v>0</v>
      </c>
      <c r="L252" s="350">
        <f t="shared" si="30"/>
        <v>1</v>
      </c>
      <c r="M252" s="351">
        <f t="shared" si="36"/>
        <v>21379</v>
      </c>
      <c r="N252" s="254">
        <f t="shared" si="31"/>
        <v>0</v>
      </c>
      <c r="O252" s="254">
        <f t="shared" si="32"/>
        <v>1</v>
      </c>
      <c r="P252" s="350">
        <f t="shared" si="33"/>
        <v>0</v>
      </c>
      <c r="Q252" s="351">
        <f t="shared" si="34"/>
        <v>1529</v>
      </c>
      <c r="R252" s="350">
        <f t="shared" si="35"/>
        <v>1</v>
      </c>
      <c r="S252" s="349"/>
      <c r="T252" s="349">
        <v>1</v>
      </c>
      <c r="U252" s="349"/>
      <c r="V252" s="349"/>
      <c r="W252" s="349"/>
      <c r="X252" s="349"/>
      <c r="Y252" s="349"/>
      <c r="Z252" s="349"/>
      <c r="AA252" s="349"/>
      <c r="AB252" s="349"/>
      <c r="AC252" s="349"/>
      <c r="AD252" s="349"/>
      <c r="AE252" s="349"/>
    </row>
    <row r="253" spans="1:31" ht="14.25">
      <c r="A253" s="336" t="str">
        <f t="shared" si="27"/>
        <v>26/03</v>
      </c>
      <c r="B253" s="348">
        <v>46091</v>
      </c>
      <c r="C253" s="349">
        <v>0</v>
      </c>
      <c r="D253" s="349">
        <v>0</v>
      </c>
      <c r="E253" s="349">
        <f t="shared" si="37"/>
        <v>1</v>
      </c>
      <c r="F253" s="349">
        <f t="shared" si="37"/>
        <v>0</v>
      </c>
      <c r="G253" s="349">
        <f t="shared" si="37"/>
        <v>0</v>
      </c>
      <c r="H253" s="349">
        <f t="shared" si="37"/>
        <v>0</v>
      </c>
      <c r="I253" s="349">
        <f t="shared" si="37"/>
        <v>0</v>
      </c>
      <c r="J253" s="349">
        <f t="shared" si="37"/>
        <v>0</v>
      </c>
      <c r="K253" s="349">
        <f t="shared" si="37"/>
        <v>0</v>
      </c>
      <c r="L253" s="350">
        <f t="shared" si="30"/>
        <v>1</v>
      </c>
      <c r="M253" s="351">
        <f t="shared" si="36"/>
        <v>21380</v>
      </c>
      <c r="N253" s="254">
        <f t="shared" si="31"/>
        <v>0</v>
      </c>
      <c r="O253" s="254">
        <f t="shared" si="32"/>
        <v>1</v>
      </c>
      <c r="P253" s="350">
        <f t="shared" si="33"/>
        <v>0</v>
      </c>
      <c r="Q253" s="351">
        <f t="shared" si="34"/>
        <v>1529</v>
      </c>
      <c r="R253" s="350">
        <f t="shared" si="35"/>
        <v>1</v>
      </c>
      <c r="S253" s="349"/>
      <c r="T253" s="349">
        <v>1</v>
      </c>
      <c r="U253" s="349"/>
      <c r="V253" s="349"/>
      <c r="W253" s="349"/>
      <c r="X253" s="349"/>
      <c r="Y253" s="349"/>
      <c r="Z253" s="349"/>
      <c r="AA253" s="349"/>
      <c r="AB253" s="349"/>
      <c r="AC253" s="349"/>
      <c r="AD253" s="349"/>
      <c r="AE253" s="349"/>
    </row>
    <row r="254" spans="1:31" ht="14.25">
      <c r="A254" s="336" t="str">
        <f t="shared" si="27"/>
        <v>26/03</v>
      </c>
      <c r="B254" s="348">
        <v>46092</v>
      </c>
      <c r="C254" s="349">
        <v>0</v>
      </c>
      <c r="D254" s="349">
        <v>0</v>
      </c>
      <c r="E254" s="349">
        <f t="shared" si="37"/>
        <v>1</v>
      </c>
      <c r="F254" s="349">
        <f t="shared" si="37"/>
        <v>0</v>
      </c>
      <c r="G254" s="349">
        <f t="shared" si="37"/>
        <v>0</v>
      </c>
      <c r="H254" s="349">
        <f t="shared" si="37"/>
        <v>0</v>
      </c>
      <c r="I254" s="349">
        <f t="shared" si="37"/>
        <v>0</v>
      </c>
      <c r="J254" s="349">
        <f t="shared" si="37"/>
        <v>0</v>
      </c>
      <c r="K254" s="349">
        <f t="shared" si="37"/>
        <v>1</v>
      </c>
      <c r="L254" s="350">
        <f t="shared" si="30"/>
        <v>2</v>
      </c>
      <c r="M254" s="351">
        <f t="shared" si="36"/>
        <v>21382</v>
      </c>
      <c r="N254" s="254">
        <f t="shared" si="31"/>
        <v>1</v>
      </c>
      <c r="O254" s="254">
        <f t="shared" si="32"/>
        <v>1</v>
      </c>
      <c r="P254" s="350">
        <f t="shared" si="33"/>
        <v>0</v>
      </c>
      <c r="Q254" s="351">
        <f t="shared" si="34"/>
        <v>1529</v>
      </c>
      <c r="R254" s="350">
        <f t="shared" si="35"/>
        <v>2</v>
      </c>
      <c r="S254" s="349"/>
      <c r="T254" s="349">
        <v>1</v>
      </c>
      <c r="U254" s="349"/>
      <c r="V254" s="349"/>
      <c r="W254" s="349"/>
      <c r="X254" s="349"/>
      <c r="Y254" s="349"/>
      <c r="Z254" s="349"/>
      <c r="AA254" s="349"/>
      <c r="AB254" s="349"/>
      <c r="AC254" s="349">
        <v>1</v>
      </c>
      <c r="AD254" s="349"/>
      <c r="AE254" s="349"/>
    </row>
    <row r="255" spans="1:31" ht="14.25">
      <c r="A255" s="336" t="str">
        <f t="shared" si="27"/>
        <v>26/03</v>
      </c>
      <c r="B255" s="348">
        <v>46093</v>
      </c>
      <c r="C255" s="349">
        <v>0</v>
      </c>
      <c r="D255" s="349">
        <v>0</v>
      </c>
      <c r="E255" s="349">
        <f t="shared" si="37"/>
        <v>1</v>
      </c>
      <c r="F255" s="349">
        <f t="shared" si="37"/>
        <v>0</v>
      </c>
      <c r="G255" s="349">
        <f t="shared" si="37"/>
        <v>0</v>
      </c>
      <c r="H255" s="349">
        <f t="shared" si="37"/>
        <v>0</v>
      </c>
      <c r="I255" s="349">
        <f t="shared" si="37"/>
        <v>0</v>
      </c>
      <c r="J255" s="349">
        <f t="shared" si="37"/>
        <v>0</v>
      </c>
      <c r="K255" s="349">
        <f t="shared" si="37"/>
        <v>1</v>
      </c>
      <c r="L255" s="350">
        <f t="shared" si="30"/>
        <v>2</v>
      </c>
      <c r="M255" s="351">
        <f t="shared" si="36"/>
        <v>21384</v>
      </c>
      <c r="N255" s="254">
        <f t="shared" si="31"/>
        <v>1</v>
      </c>
      <c r="O255" s="254">
        <f t="shared" si="32"/>
        <v>1</v>
      </c>
      <c r="P255" s="350">
        <f t="shared" si="33"/>
        <v>0</v>
      </c>
      <c r="Q255" s="351">
        <f t="shared" si="34"/>
        <v>1529</v>
      </c>
      <c r="R255" s="350">
        <f t="shared" si="35"/>
        <v>2</v>
      </c>
      <c r="S255" s="349"/>
      <c r="T255" s="349">
        <v>1</v>
      </c>
      <c r="U255" s="349"/>
      <c r="V255" s="349"/>
      <c r="W255" s="349"/>
      <c r="X255" s="349"/>
      <c r="Y255" s="349"/>
      <c r="Z255" s="349"/>
      <c r="AA255" s="349"/>
      <c r="AB255" s="349"/>
      <c r="AC255" s="349">
        <v>1</v>
      </c>
      <c r="AD255" s="349"/>
      <c r="AE255" s="349"/>
    </row>
    <row r="256" spans="1:31" ht="14.25">
      <c r="A256" s="336" t="str">
        <f t="shared" si="27"/>
        <v>26/03</v>
      </c>
      <c r="B256" s="348">
        <v>46097</v>
      </c>
      <c r="C256" s="349">
        <v>0</v>
      </c>
      <c r="D256" s="349">
        <v>0</v>
      </c>
      <c r="E256" s="349">
        <f t="shared" si="37"/>
        <v>0</v>
      </c>
      <c r="F256" s="349">
        <f t="shared" si="37"/>
        <v>0</v>
      </c>
      <c r="G256" s="349">
        <f t="shared" si="37"/>
        <v>0</v>
      </c>
      <c r="H256" s="349">
        <f t="shared" si="37"/>
        <v>0</v>
      </c>
      <c r="I256" s="349">
        <f t="shared" si="37"/>
        <v>0</v>
      </c>
      <c r="J256" s="349">
        <f t="shared" si="37"/>
        <v>0</v>
      </c>
      <c r="K256" s="349">
        <f t="shared" si="37"/>
        <v>1</v>
      </c>
      <c r="L256" s="350">
        <f t="shared" si="30"/>
        <v>1</v>
      </c>
      <c r="M256" s="351">
        <f t="shared" si="36"/>
        <v>21385</v>
      </c>
      <c r="N256" s="254">
        <f t="shared" si="31"/>
        <v>1</v>
      </c>
      <c r="O256" s="254">
        <f t="shared" si="32"/>
        <v>0</v>
      </c>
      <c r="P256" s="350">
        <f t="shared" si="33"/>
        <v>0</v>
      </c>
      <c r="Q256" s="351">
        <f t="shared" si="34"/>
        <v>1529</v>
      </c>
      <c r="R256" s="350">
        <f t="shared" si="35"/>
        <v>1</v>
      </c>
      <c r="S256" s="349"/>
      <c r="T256" s="349"/>
      <c r="U256" s="349"/>
      <c r="V256" s="349"/>
      <c r="W256" s="349"/>
      <c r="X256" s="349"/>
      <c r="Y256" s="349"/>
      <c r="Z256" s="349"/>
      <c r="AA256" s="349"/>
      <c r="AB256" s="349"/>
      <c r="AC256" s="349">
        <v>1</v>
      </c>
      <c r="AD256" s="349"/>
      <c r="AE256" s="349"/>
    </row>
    <row r="257" spans="1:31" ht="14.25">
      <c r="A257" s="336" t="str">
        <f t="shared" si="27"/>
        <v>26/03</v>
      </c>
      <c r="B257" s="348">
        <v>46099</v>
      </c>
      <c r="C257" s="349">
        <v>0</v>
      </c>
      <c r="D257" s="349">
        <v>0</v>
      </c>
      <c r="E257" s="349">
        <f t="shared" si="37"/>
        <v>0</v>
      </c>
      <c r="F257" s="349">
        <f t="shared" si="37"/>
        <v>0</v>
      </c>
      <c r="G257" s="349">
        <f t="shared" si="37"/>
        <v>0</v>
      </c>
      <c r="H257" s="349">
        <f t="shared" si="37"/>
        <v>0</v>
      </c>
      <c r="I257" s="349">
        <f t="shared" si="37"/>
        <v>1</v>
      </c>
      <c r="J257" s="349">
        <f t="shared" si="37"/>
        <v>0</v>
      </c>
      <c r="K257" s="349">
        <f t="shared" si="37"/>
        <v>1</v>
      </c>
      <c r="L257" s="350">
        <f t="shared" si="30"/>
        <v>2</v>
      </c>
      <c r="M257" s="351">
        <f t="shared" si="36"/>
        <v>21387</v>
      </c>
      <c r="N257" s="254">
        <f t="shared" si="31"/>
        <v>2</v>
      </c>
      <c r="O257" s="254">
        <f t="shared" si="32"/>
        <v>0</v>
      </c>
      <c r="P257" s="350">
        <f t="shared" si="33"/>
        <v>0</v>
      </c>
      <c r="Q257" s="351">
        <f t="shared" si="34"/>
        <v>1529</v>
      </c>
      <c r="R257" s="350">
        <f t="shared" si="35"/>
        <v>2</v>
      </c>
      <c r="S257" s="349"/>
      <c r="T257" s="349"/>
      <c r="U257" s="349"/>
      <c r="V257" s="349"/>
      <c r="W257" s="349"/>
      <c r="X257" s="349"/>
      <c r="Y257" s="349"/>
      <c r="Z257" s="349"/>
      <c r="AA257" s="349">
        <v>1</v>
      </c>
      <c r="AB257" s="349"/>
      <c r="AC257" s="349">
        <v>1</v>
      </c>
      <c r="AD257" s="349"/>
      <c r="AE257" s="349"/>
    </row>
    <row r="258" spans="1:31" ht="14.25">
      <c r="A258" s="336" t="str">
        <f t="shared" si="27"/>
        <v>26/03</v>
      </c>
      <c r="B258" s="348">
        <v>46100</v>
      </c>
      <c r="C258" s="349">
        <v>0</v>
      </c>
      <c r="D258" s="349">
        <v>0</v>
      </c>
      <c r="E258" s="349">
        <f t="shared" si="37"/>
        <v>0</v>
      </c>
      <c r="F258" s="349">
        <f t="shared" si="37"/>
        <v>0</v>
      </c>
      <c r="G258" s="349">
        <f t="shared" si="37"/>
        <v>0</v>
      </c>
      <c r="H258" s="349">
        <f t="shared" si="37"/>
        <v>0</v>
      </c>
      <c r="I258" s="349">
        <f t="shared" si="37"/>
        <v>1</v>
      </c>
      <c r="J258" s="349">
        <f t="shared" si="37"/>
        <v>0</v>
      </c>
      <c r="K258" s="349">
        <f t="shared" si="37"/>
        <v>0</v>
      </c>
      <c r="L258" s="350">
        <f t="shared" si="30"/>
        <v>1</v>
      </c>
      <c r="M258" s="351">
        <f t="shared" si="36"/>
        <v>21388</v>
      </c>
      <c r="N258" s="254">
        <f t="shared" si="31"/>
        <v>1</v>
      </c>
      <c r="O258" s="254">
        <f t="shared" si="32"/>
        <v>0</v>
      </c>
      <c r="P258" s="350">
        <f t="shared" si="33"/>
        <v>0</v>
      </c>
      <c r="Q258" s="351">
        <f t="shared" si="34"/>
        <v>1529</v>
      </c>
      <c r="R258" s="350">
        <f t="shared" si="35"/>
        <v>1</v>
      </c>
      <c r="S258" s="349"/>
      <c r="T258" s="349"/>
      <c r="U258" s="349"/>
      <c r="V258" s="349"/>
      <c r="W258" s="349"/>
      <c r="X258" s="349"/>
      <c r="Y258" s="349"/>
      <c r="Z258" s="349"/>
      <c r="AA258" s="349">
        <v>1</v>
      </c>
      <c r="AB258" s="349"/>
      <c r="AC258" s="349"/>
      <c r="AD258" s="349"/>
      <c r="AE258" s="349"/>
    </row>
    <row r="259" spans="1:31" ht="14.25">
      <c r="A259" s="336" t="str">
        <f t="shared" si="27"/>
        <v>26/03</v>
      </c>
      <c r="B259" s="348">
        <v>46104</v>
      </c>
      <c r="C259" s="349">
        <v>0</v>
      </c>
      <c r="D259" s="349">
        <v>0</v>
      </c>
      <c r="E259" s="349">
        <f t="shared" si="37"/>
        <v>0</v>
      </c>
      <c r="F259" s="349">
        <f t="shared" si="37"/>
        <v>0</v>
      </c>
      <c r="G259" s="349">
        <f t="shared" si="37"/>
        <v>0</v>
      </c>
      <c r="H259" s="349">
        <f t="shared" si="37"/>
        <v>0</v>
      </c>
      <c r="I259" s="349">
        <f t="shared" si="37"/>
        <v>1</v>
      </c>
      <c r="J259" s="349">
        <f t="shared" si="37"/>
        <v>0</v>
      </c>
      <c r="K259" s="349">
        <f t="shared" si="37"/>
        <v>0</v>
      </c>
      <c r="L259" s="350">
        <f t="shared" si="30"/>
        <v>1</v>
      </c>
      <c r="M259" s="351">
        <f t="shared" si="36"/>
        <v>21389</v>
      </c>
      <c r="N259" s="254">
        <f t="shared" si="31"/>
        <v>1</v>
      </c>
      <c r="O259" s="254">
        <f t="shared" si="32"/>
        <v>0</v>
      </c>
      <c r="P259" s="350">
        <f t="shared" si="33"/>
        <v>3</v>
      </c>
      <c r="Q259" s="351">
        <f t="shared" si="34"/>
        <v>1532</v>
      </c>
      <c r="R259" s="350">
        <f t="shared" si="35"/>
        <v>4</v>
      </c>
      <c r="S259" s="349"/>
      <c r="T259" s="349"/>
      <c r="U259" s="349"/>
      <c r="V259" s="349"/>
      <c r="W259" s="349"/>
      <c r="X259" s="349"/>
      <c r="Y259" s="349"/>
      <c r="Z259" s="349"/>
      <c r="AA259" s="349">
        <v>1</v>
      </c>
      <c r="AB259" s="349"/>
      <c r="AC259" s="349"/>
      <c r="AD259" s="349">
        <v>3</v>
      </c>
      <c r="AE259" s="349"/>
    </row>
    <row r="260" spans="1:31" ht="14.25">
      <c r="A260" s="336" t="str">
        <f t="shared" si="27"/>
        <v>26/03</v>
      </c>
      <c r="B260" s="348">
        <v>46105</v>
      </c>
      <c r="C260" s="349">
        <v>0</v>
      </c>
      <c r="D260" s="349">
        <v>0</v>
      </c>
      <c r="E260" s="349">
        <f t="shared" si="37"/>
        <v>0</v>
      </c>
      <c r="F260" s="349">
        <f t="shared" si="37"/>
        <v>0</v>
      </c>
      <c r="G260" s="349">
        <f t="shared" si="37"/>
        <v>0</v>
      </c>
      <c r="H260" s="349">
        <f t="shared" si="37"/>
        <v>0</v>
      </c>
      <c r="I260" s="349">
        <f t="shared" si="37"/>
        <v>1</v>
      </c>
      <c r="J260" s="349">
        <f t="shared" si="37"/>
        <v>0</v>
      </c>
      <c r="K260" s="349">
        <f t="shared" si="37"/>
        <v>0</v>
      </c>
      <c r="L260" s="350">
        <f t="shared" si="30"/>
        <v>1</v>
      </c>
      <c r="M260" s="351">
        <f t="shared" si="36"/>
        <v>21390</v>
      </c>
      <c r="N260" s="254">
        <f t="shared" si="31"/>
        <v>1</v>
      </c>
      <c r="O260" s="254">
        <f t="shared" si="32"/>
        <v>0</v>
      </c>
      <c r="P260" s="350">
        <f t="shared" si="33"/>
        <v>3</v>
      </c>
      <c r="Q260" s="351">
        <f t="shared" si="34"/>
        <v>1535</v>
      </c>
      <c r="R260" s="350">
        <f t="shared" si="35"/>
        <v>4</v>
      </c>
      <c r="S260" s="349"/>
      <c r="T260" s="349"/>
      <c r="U260" s="349"/>
      <c r="V260" s="349"/>
      <c r="W260" s="349"/>
      <c r="X260" s="349"/>
      <c r="Y260" s="349"/>
      <c r="Z260" s="349"/>
      <c r="AA260" s="349">
        <v>1</v>
      </c>
      <c r="AB260" s="349"/>
      <c r="AC260" s="349"/>
      <c r="AD260" s="349">
        <v>3</v>
      </c>
      <c r="AE260" s="349"/>
    </row>
    <row r="261" spans="1:31" ht="14.25">
      <c r="A261" s="336" t="str">
        <f t="shared" si="27"/>
        <v>26/03</v>
      </c>
      <c r="B261" s="348">
        <v>46106</v>
      </c>
      <c r="C261" s="349">
        <v>0</v>
      </c>
      <c r="D261" s="349">
        <v>0</v>
      </c>
      <c r="E261" s="349">
        <f t="shared" si="37"/>
        <v>0</v>
      </c>
      <c r="F261" s="349">
        <f t="shared" si="37"/>
        <v>0</v>
      </c>
      <c r="G261" s="349">
        <f t="shared" si="37"/>
        <v>0</v>
      </c>
      <c r="H261" s="349">
        <f t="shared" si="37"/>
        <v>0</v>
      </c>
      <c r="I261" s="349">
        <f t="shared" si="37"/>
        <v>1</v>
      </c>
      <c r="J261" s="349">
        <f t="shared" si="37"/>
        <v>0</v>
      </c>
      <c r="K261" s="349">
        <f t="shared" si="37"/>
        <v>0</v>
      </c>
      <c r="L261" s="350">
        <f t="shared" si="30"/>
        <v>1</v>
      </c>
      <c r="M261" s="351">
        <f t="shared" si="36"/>
        <v>21391</v>
      </c>
      <c r="N261" s="254">
        <f t="shared" si="31"/>
        <v>1</v>
      </c>
      <c r="O261" s="254">
        <f t="shared" si="32"/>
        <v>0</v>
      </c>
      <c r="P261" s="350">
        <f t="shared" si="33"/>
        <v>2</v>
      </c>
      <c r="Q261" s="351">
        <f t="shared" si="34"/>
        <v>1537</v>
      </c>
      <c r="R261" s="350">
        <f t="shared" si="35"/>
        <v>3</v>
      </c>
      <c r="S261" s="349"/>
      <c r="T261" s="349"/>
      <c r="U261" s="349"/>
      <c r="V261" s="349"/>
      <c r="W261" s="349"/>
      <c r="X261" s="349"/>
      <c r="Y261" s="349"/>
      <c r="Z261" s="349"/>
      <c r="AA261" s="349">
        <v>1</v>
      </c>
      <c r="AB261" s="349"/>
      <c r="AC261" s="349"/>
      <c r="AD261" s="349">
        <v>2</v>
      </c>
      <c r="AE261" s="349"/>
    </row>
    <row r="262" spans="1:31" ht="14.25">
      <c r="A262" s="336" t="str">
        <f t="shared" si="27"/>
        <v>26/03</v>
      </c>
      <c r="B262" s="348">
        <v>46107</v>
      </c>
      <c r="C262" s="349">
        <v>0</v>
      </c>
      <c r="D262" s="349">
        <v>0</v>
      </c>
      <c r="E262" s="349">
        <f t="shared" si="37"/>
        <v>0</v>
      </c>
      <c r="F262" s="349">
        <f t="shared" si="37"/>
        <v>0</v>
      </c>
      <c r="G262" s="349">
        <f t="shared" si="37"/>
        <v>0</v>
      </c>
      <c r="H262" s="349">
        <f t="shared" si="37"/>
        <v>0</v>
      </c>
      <c r="I262" s="349">
        <f t="shared" si="37"/>
        <v>0</v>
      </c>
      <c r="J262" s="349">
        <f t="shared" si="37"/>
        <v>0</v>
      </c>
      <c r="K262" s="349">
        <f t="shared" si="37"/>
        <v>0</v>
      </c>
      <c r="L262" s="350">
        <f t="shared" si="30"/>
        <v>0</v>
      </c>
      <c r="M262" s="351">
        <f t="shared" si="36"/>
        <v>21391</v>
      </c>
      <c r="N262" s="254">
        <f t="shared" si="31"/>
        <v>0</v>
      </c>
      <c r="O262" s="254">
        <f t="shared" si="32"/>
        <v>0</v>
      </c>
      <c r="P262" s="350">
        <f t="shared" si="33"/>
        <v>2</v>
      </c>
      <c r="Q262" s="351">
        <f t="shared" si="34"/>
        <v>1539</v>
      </c>
      <c r="R262" s="350">
        <f t="shared" si="35"/>
        <v>2</v>
      </c>
      <c r="S262" s="349"/>
      <c r="T262" s="349"/>
      <c r="U262" s="349"/>
      <c r="V262" s="349"/>
      <c r="W262" s="349"/>
      <c r="X262" s="349"/>
      <c r="Y262" s="349"/>
      <c r="Z262" s="349"/>
      <c r="AA262" s="349"/>
      <c r="AB262" s="349"/>
      <c r="AC262" s="349"/>
      <c r="AD262" s="349">
        <v>2</v>
      </c>
      <c r="AE262" s="349"/>
    </row>
    <row r="263" spans="1:31" ht="15" thickBot="1">
      <c r="A263" s="336" t="str">
        <f t="shared" si="27"/>
        <v>26/03</v>
      </c>
      <c r="B263" s="353">
        <v>46112</v>
      </c>
      <c r="C263" s="354">
        <v>0</v>
      </c>
      <c r="D263" s="354">
        <v>0</v>
      </c>
      <c r="E263" s="354">
        <f t="shared" si="37"/>
        <v>0</v>
      </c>
      <c r="F263" s="354">
        <f t="shared" si="37"/>
        <v>0</v>
      </c>
      <c r="G263" s="354">
        <f t="shared" si="37"/>
        <v>0</v>
      </c>
      <c r="H263" s="354">
        <f t="shared" si="37"/>
        <v>0</v>
      </c>
      <c r="I263" s="354">
        <f t="shared" si="37"/>
        <v>0</v>
      </c>
      <c r="J263" s="354">
        <f t="shared" si="37"/>
        <v>0</v>
      </c>
      <c r="K263" s="354">
        <f t="shared" si="37"/>
        <v>0</v>
      </c>
      <c r="L263" s="355">
        <f t="shared" si="30"/>
        <v>0</v>
      </c>
      <c r="M263" s="356">
        <f t="shared" si="36"/>
        <v>21391</v>
      </c>
      <c r="N263" s="357">
        <f t="shared" si="31"/>
        <v>0</v>
      </c>
      <c r="O263" s="357">
        <f t="shared" si="32"/>
        <v>0</v>
      </c>
      <c r="P263" s="355">
        <f t="shared" si="33"/>
        <v>2</v>
      </c>
      <c r="Q263" s="356">
        <f t="shared" si="34"/>
        <v>1541</v>
      </c>
      <c r="R263" s="355">
        <f t="shared" si="35"/>
        <v>2</v>
      </c>
      <c r="S263" s="354"/>
      <c r="T263" s="354"/>
      <c r="U263" s="354"/>
      <c r="V263" s="354"/>
      <c r="W263" s="354"/>
      <c r="X263" s="354"/>
      <c r="Y263" s="354"/>
      <c r="Z263" s="354"/>
      <c r="AA263" s="354"/>
      <c r="AB263" s="354"/>
      <c r="AC263" s="354"/>
      <c r="AD263" s="354">
        <v>2</v>
      </c>
      <c r="AE263" s="354"/>
    </row>
    <row r="264" spans="1:31" ht="15" thickTop="1">
      <c r="A264" s="336" t="str">
        <f t="shared" si="27"/>
        <v>26/04</v>
      </c>
      <c r="B264" s="348">
        <v>46113</v>
      </c>
      <c r="C264" s="349">
        <v>0</v>
      </c>
      <c r="D264" s="349">
        <v>0</v>
      </c>
      <c r="E264" s="349">
        <f t="shared" si="37"/>
        <v>0</v>
      </c>
      <c r="F264" s="349">
        <f t="shared" si="37"/>
        <v>0</v>
      </c>
      <c r="G264" s="349">
        <f t="shared" si="37"/>
        <v>0</v>
      </c>
      <c r="H264" s="349">
        <f t="shared" si="37"/>
        <v>1</v>
      </c>
      <c r="I264" s="349">
        <f t="shared" si="37"/>
        <v>0</v>
      </c>
      <c r="J264" s="349">
        <f t="shared" si="37"/>
        <v>0</v>
      </c>
      <c r="K264" s="349">
        <f t="shared" si="37"/>
        <v>0</v>
      </c>
      <c r="L264" s="350">
        <f t="shared" si="30"/>
        <v>1</v>
      </c>
      <c r="M264" s="351">
        <f t="shared" si="36"/>
        <v>21392</v>
      </c>
      <c r="N264" s="254">
        <f t="shared" si="31"/>
        <v>1</v>
      </c>
      <c r="O264" s="254">
        <f t="shared" si="32"/>
        <v>0</v>
      </c>
      <c r="P264" s="350">
        <f t="shared" si="33"/>
        <v>3</v>
      </c>
      <c r="Q264" s="351">
        <f t="shared" si="34"/>
        <v>1544</v>
      </c>
      <c r="R264" s="350">
        <f t="shared" si="35"/>
        <v>4</v>
      </c>
      <c r="S264" s="349"/>
      <c r="T264" s="349"/>
      <c r="U264" s="349"/>
      <c r="V264" s="349"/>
      <c r="W264" s="349"/>
      <c r="X264" s="349"/>
      <c r="Y264" s="349"/>
      <c r="Z264" s="349">
        <v>1</v>
      </c>
      <c r="AA264" s="349"/>
      <c r="AB264" s="349"/>
      <c r="AC264" s="349"/>
      <c r="AD264" s="349">
        <v>3</v>
      </c>
      <c r="AE264" s="349"/>
    </row>
    <row r="265" spans="1:31" ht="14.25">
      <c r="A265" s="336" t="str">
        <f t="shared" si="27"/>
        <v>26/04</v>
      </c>
      <c r="B265" s="348">
        <v>46114</v>
      </c>
      <c r="C265" s="349">
        <v>0</v>
      </c>
      <c r="D265" s="349">
        <v>0</v>
      </c>
      <c r="E265" s="349">
        <f t="shared" si="37"/>
        <v>0</v>
      </c>
      <c r="F265" s="349">
        <f t="shared" si="37"/>
        <v>0</v>
      </c>
      <c r="G265" s="349">
        <f t="shared" si="37"/>
        <v>0</v>
      </c>
      <c r="H265" s="349">
        <f t="shared" si="37"/>
        <v>0</v>
      </c>
      <c r="I265" s="349">
        <f t="shared" si="37"/>
        <v>0</v>
      </c>
      <c r="J265" s="349">
        <f t="shared" si="37"/>
        <v>0</v>
      </c>
      <c r="K265" s="349">
        <f t="shared" si="37"/>
        <v>1</v>
      </c>
      <c r="L265" s="350">
        <f t="shared" si="30"/>
        <v>1</v>
      </c>
      <c r="M265" s="351">
        <f t="shared" si="36"/>
        <v>21393</v>
      </c>
      <c r="N265" s="254">
        <f t="shared" si="31"/>
        <v>1</v>
      </c>
      <c r="O265" s="254">
        <f t="shared" si="32"/>
        <v>0</v>
      </c>
      <c r="P265" s="350">
        <f t="shared" si="33"/>
        <v>3</v>
      </c>
      <c r="Q265" s="351">
        <f t="shared" si="34"/>
        <v>1547</v>
      </c>
      <c r="R265" s="350">
        <f t="shared" si="35"/>
        <v>4</v>
      </c>
      <c r="S265" s="349"/>
      <c r="T265" s="349"/>
      <c r="U265" s="349"/>
      <c r="V265" s="349"/>
      <c r="W265" s="349"/>
      <c r="X265" s="349"/>
      <c r="Y265" s="349"/>
      <c r="Z265" s="349"/>
      <c r="AA265" s="349"/>
      <c r="AB265" s="349"/>
      <c r="AC265" s="349">
        <v>1</v>
      </c>
      <c r="AD265" s="349">
        <v>3</v>
      </c>
      <c r="AE265" s="349"/>
    </row>
    <row r="266" spans="1:31" ht="14.25">
      <c r="A266" s="336" t="str">
        <f t="shared" si="27"/>
        <v>26/04</v>
      </c>
      <c r="B266" s="348">
        <v>46115</v>
      </c>
      <c r="C266" s="349">
        <v>0</v>
      </c>
      <c r="D266" s="349">
        <v>0</v>
      </c>
      <c r="E266" s="349">
        <f t="shared" si="37"/>
        <v>0</v>
      </c>
      <c r="F266" s="349">
        <f t="shared" si="37"/>
        <v>0</v>
      </c>
      <c r="G266" s="349">
        <f t="shared" si="37"/>
        <v>0</v>
      </c>
      <c r="H266" s="349">
        <f t="shared" si="37"/>
        <v>0</v>
      </c>
      <c r="I266" s="349">
        <f t="shared" si="37"/>
        <v>0</v>
      </c>
      <c r="J266" s="349">
        <f t="shared" si="37"/>
        <v>0</v>
      </c>
      <c r="K266" s="349">
        <f t="shared" si="37"/>
        <v>1</v>
      </c>
      <c r="L266" s="350">
        <f t="shared" si="30"/>
        <v>1</v>
      </c>
      <c r="M266" s="351">
        <f t="shared" si="36"/>
        <v>21394</v>
      </c>
      <c r="N266" s="254">
        <f t="shared" si="31"/>
        <v>1</v>
      </c>
      <c r="O266" s="254">
        <f t="shared" si="32"/>
        <v>0</v>
      </c>
      <c r="P266" s="350">
        <f t="shared" si="33"/>
        <v>2</v>
      </c>
      <c r="Q266" s="351">
        <f t="shared" si="34"/>
        <v>1549</v>
      </c>
      <c r="R266" s="350">
        <f t="shared" si="35"/>
        <v>3</v>
      </c>
      <c r="S266" s="349"/>
      <c r="T266" s="349"/>
      <c r="U266" s="349"/>
      <c r="V266" s="349"/>
      <c r="W266" s="349"/>
      <c r="X266" s="349"/>
      <c r="Y266" s="349"/>
      <c r="Z266" s="349"/>
      <c r="AA266" s="349"/>
      <c r="AB266" s="349"/>
      <c r="AC266" s="349">
        <v>1</v>
      </c>
      <c r="AD266" s="349">
        <v>2</v>
      </c>
      <c r="AE266" s="349"/>
    </row>
    <row r="267" spans="1:31" ht="14.25">
      <c r="A267" s="336" t="str">
        <f t="shared" si="27"/>
        <v>26/04</v>
      </c>
      <c r="B267" s="348">
        <v>46118</v>
      </c>
      <c r="C267" s="349">
        <v>0</v>
      </c>
      <c r="D267" s="349">
        <v>0</v>
      </c>
      <c r="E267" s="349">
        <f t="shared" si="37"/>
        <v>0</v>
      </c>
      <c r="F267" s="349">
        <f t="shared" si="37"/>
        <v>0</v>
      </c>
      <c r="G267" s="349">
        <f t="shared" si="37"/>
        <v>0</v>
      </c>
      <c r="H267" s="349">
        <f t="shared" si="37"/>
        <v>0</v>
      </c>
      <c r="I267" s="349">
        <f t="shared" si="37"/>
        <v>0</v>
      </c>
      <c r="J267" s="349">
        <f t="shared" si="37"/>
        <v>0</v>
      </c>
      <c r="K267" s="349">
        <f t="shared" si="37"/>
        <v>1</v>
      </c>
      <c r="L267" s="350">
        <f t="shared" si="30"/>
        <v>1</v>
      </c>
      <c r="M267" s="351">
        <f t="shared" si="36"/>
        <v>21395</v>
      </c>
      <c r="N267" s="254">
        <f t="shared" si="31"/>
        <v>1</v>
      </c>
      <c r="O267" s="254">
        <f t="shared" si="32"/>
        <v>0</v>
      </c>
      <c r="P267" s="350">
        <f t="shared" si="33"/>
        <v>2</v>
      </c>
      <c r="Q267" s="351">
        <f t="shared" si="34"/>
        <v>1551</v>
      </c>
      <c r="R267" s="350">
        <f t="shared" si="35"/>
        <v>3</v>
      </c>
      <c r="S267" s="349"/>
      <c r="T267" s="349"/>
      <c r="U267" s="349"/>
      <c r="V267" s="349"/>
      <c r="W267" s="349"/>
      <c r="X267" s="349"/>
      <c r="Y267" s="349"/>
      <c r="Z267" s="349"/>
      <c r="AA267" s="349"/>
      <c r="AB267" s="349"/>
      <c r="AC267" s="349">
        <v>1</v>
      </c>
      <c r="AD267" s="349">
        <v>2</v>
      </c>
      <c r="AE267" s="349"/>
    </row>
    <row r="268" spans="1:31" ht="14.25">
      <c r="A268" s="336" t="str">
        <f t="shared" si="27"/>
        <v>26/04</v>
      </c>
      <c r="B268" s="348">
        <v>46119</v>
      </c>
      <c r="C268" s="349">
        <v>0</v>
      </c>
      <c r="D268" s="349">
        <v>0</v>
      </c>
      <c r="E268" s="349">
        <f t="shared" si="37"/>
        <v>0</v>
      </c>
      <c r="F268" s="349">
        <f t="shared" si="37"/>
        <v>0</v>
      </c>
      <c r="G268" s="349">
        <f t="shared" si="37"/>
        <v>0</v>
      </c>
      <c r="H268" s="349">
        <f t="shared" si="37"/>
        <v>0</v>
      </c>
      <c r="I268" s="349">
        <f t="shared" si="37"/>
        <v>0</v>
      </c>
      <c r="J268" s="349">
        <f t="shared" si="37"/>
        <v>0</v>
      </c>
      <c r="K268" s="349">
        <f t="shared" si="37"/>
        <v>0</v>
      </c>
      <c r="L268" s="350">
        <f t="shared" si="30"/>
        <v>0</v>
      </c>
      <c r="M268" s="351">
        <f t="shared" si="36"/>
        <v>21395</v>
      </c>
      <c r="N268" s="254">
        <f t="shared" si="31"/>
        <v>0</v>
      </c>
      <c r="O268" s="254">
        <f t="shared" si="32"/>
        <v>0</v>
      </c>
      <c r="P268" s="350">
        <f t="shared" si="33"/>
        <v>2</v>
      </c>
      <c r="Q268" s="351">
        <f t="shared" si="34"/>
        <v>1553</v>
      </c>
      <c r="R268" s="350">
        <f t="shared" si="35"/>
        <v>2</v>
      </c>
      <c r="S268" s="349"/>
      <c r="T268" s="349"/>
      <c r="U268" s="349"/>
      <c r="V268" s="349"/>
      <c r="W268" s="349"/>
      <c r="X268" s="349"/>
      <c r="Y268" s="349"/>
      <c r="Z268" s="349"/>
      <c r="AA268" s="349"/>
      <c r="AB268" s="349"/>
      <c r="AC268" s="349"/>
      <c r="AD268" s="349">
        <v>2</v>
      </c>
      <c r="AE268" s="349"/>
    </row>
    <row r="269" spans="1:31" ht="14.25">
      <c r="A269" s="336" t="str">
        <f t="shared" si="27"/>
        <v>26/04</v>
      </c>
      <c r="B269" s="348">
        <v>46120</v>
      </c>
      <c r="C269" s="349">
        <v>0</v>
      </c>
      <c r="D269" s="349">
        <v>0</v>
      </c>
      <c r="E269" s="349">
        <f t="shared" si="37"/>
        <v>0</v>
      </c>
      <c r="F269" s="349">
        <f t="shared" si="37"/>
        <v>0</v>
      </c>
      <c r="G269" s="349">
        <f t="shared" si="37"/>
        <v>0</v>
      </c>
      <c r="H269" s="349">
        <f t="shared" si="37"/>
        <v>0</v>
      </c>
      <c r="I269" s="349">
        <f t="shared" si="37"/>
        <v>0</v>
      </c>
      <c r="J269" s="349">
        <f t="shared" si="37"/>
        <v>0</v>
      </c>
      <c r="K269" s="349">
        <f t="shared" si="37"/>
        <v>0</v>
      </c>
      <c r="L269" s="350">
        <f t="shared" si="30"/>
        <v>0</v>
      </c>
      <c r="M269" s="351">
        <f t="shared" si="36"/>
        <v>21395</v>
      </c>
      <c r="N269" s="254">
        <f t="shared" si="31"/>
        <v>0</v>
      </c>
      <c r="O269" s="254">
        <f t="shared" si="32"/>
        <v>0</v>
      </c>
      <c r="P269" s="350">
        <f t="shared" si="33"/>
        <v>3</v>
      </c>
      <c r="Q269" s="351">
        <f t="shared" si="34"/>
        <v>1556</v>
      </c>
      <c r="R269" s="350">
        <f t="shared" si="35"/>
        <v>3</v>
      </c>
      <c r="S269" s="349"/>
      <c r="T269" s="349"/>
      <c r="U269" s="349"/>
      <c r="V269" s="349"/>
      <c r="W269" s="349"/>
      <c r="X269" s="349"/>
      <c r="Y269" s="349"/>
      <c r="Z269" s="349"/>
      <c r="AA269" s="349"/>
      <c r="AB269" s="349"/>
      <c r="AC269" s="349"/>
      <c r="AD269" s="349">
        <v>3</v>
      </c>
      <c r="AE269" s="349"/>
    </row>
    <row r="270" spans="1:31" ht="14.25">
      <c r="A270" s="336" t="str">
        <f t="shared" si="27"/>
        <v>26/04</v>
      </c>
      <c r="B270" s="348">
        <v>46121</v>
      </c>
      <c r="C270" s="349">
        <v>0</v>
      </c>
      <c r="D270" s="349">
        <v>0</v>
      </c>
      <c r="E270" s="349">
        <f t="shared" si="37"/>
        <v>0</v>
      </c>
      <c r="F270" s="349">
        <f t="shared" si="37"/>
        <v>0</v>
      </c>
      <c r="G270" s="349">
        <f t="shared" si="37"/>
        <v>0</v>
      </c>
      <c r="H270" s="349">
        <f t="shared" si="37"/>
        <v>0</v>
      </c>
      <c r="I270" s="349">
        <f t="shared" si="37"/>
        <v>0</v>
      </c>
      <c r="J270" s="349">
        <f t="shared" si="37"/>
        <v>0</v>
      </c>
      <c r="K270" s="349">
        <f t="shared" si="37"/>
        <v>0</v>
      </c>
      <c r="L270" s="350">
        <f t="shared" si="30"/>
        <v>0</v>
      </c>
      <c r="M270" s="351">
        <f t="shared" si="36"/>
        <v>21395</v>
      </c>
      <c r="N270" s="254">
        <f t="shared" si="31"/>
        <v>0</v>
      </c>
      <c r="O270" s="254">
        <f t="shared" si="32"/>
        <v>0</v>
      </c>
      <c r="P270" s="350">
        <f t="shared" si="33"/>
        <v>2</v>
      </c>
      <c r="Q270" s="351">
        <f t="shared" si="34"/>
        <v>1558</v>
      </c>
      <c r="R270" s="350">
        <f t="shared" si="35"/>
        <v>2</v>
      </c>
      <c r="S270" s="349"/>
      <c r="T270" s="349"/>
      <c r="U270" s="349"/>
      <c r="V270" s="349"/>
      <c r="W270" s="349"/>
      <c r="X270" s="349"/>
      <c r="Y270" s="349"/>
      <c r="Z270" s="349"/>
      <c r="AA270" s="349"/>
      <c r="AB270" s="349"/>
      <c r="AC270" s="349"/>
      <c r="AD270" s="349">
        <v>2</v>
      </c>
      <c r="AE270" s="349"/>
    </row>
    <row r="271" spans="1:31" ht="14.25">
      <c r="A271" s="336" t="str">
        <f t="shared" ref="A271:A325" si="38">TEXT(B271,"yy/mm")</f>
        <v>26/04</v>
      </c>
      <c r="B271" s="348">
        <v>46122</v>
      </c>
      <c r="C271" s="349">
        <v>0</v>
      </c>
      <c r="D271" s="349">
        <v>0</v>
      </c>
      <c r="E271" s="349">
        <f t="shared" si="37"/>
        <v>0</v>
      </c>
      <c r="F271" s="349">
        <f t="shared" si="37"/>
        <v>0</v>
      </c>
      <c r="G271" s="349">
        <f t="shared" si="37"/>
        <v>0</v>
      </c>
      <c r="H271" s="349">
        <f t="shared" si="37"/>
        <v>0</v>
      </c>
      <c r="I271" s="349">
        <f t="shared" si="37"/>
        <v>0</v>
      </c>
      <c r="J271" s="349">
        <f t="shared" si="37"/>
        <v>0</v>
      </c>
      <c r="K271" s="349">
        <f t="shared" si="37"/>
        <v>0</v>
      </c>
      <c r="L271" s="350">
        <f t="shared" si="30"/>
        <v>0</v>
      </c>
      <c r="M271" s="351">
        <f t="shared" si="36"/>
        <v>21395</v>
      </c>
      <c r="N271" s="254">
        <f t="shared" si="31"/>
        <v>0</v>
      </c>
      <c r="O271" s="254">
        <f t="shared" si="32"/>
        <v>0</v>
      </c>
      <c r="P271" s="350">
        <f t="shared" si="33"/>
        <v>2</v>
      </c>
      <c r="Q271" s="351">
        <f t="shared" si="34"/>
        <v>1560</v>
      </c>
      <c r="R271" s="350">
        <f t="shared" si="35"/>
        <v>2</v>
      </c>
      <c r="S271" s="349"/>
      <c r="T271" s="349"/>
      <c r="U271" s="349"/>
      <c r="V271" s="349"/>
      <c r="W271" s="349"/>
      <c r="X271" s="349"/>
      <c r="Y271" s="349"/>
      <c r="Z271" s="349"/>
      <c r="AA271" s="349"/>
      <c r="AB271" s="349"/>
      <c r="AC271" s="349"/>
      <c r="AD271" s="349">
        <v>2</v>
      </c>
      <c r="AE271" s="349"/>
    </row>
    <row r="272" spans="1:31" ht="14.25">
      <c r="A272" s="336" t="str">
        <f t="shared" si="38"/>
        <v>26/04</v>
      </c>
      <c r="B272" s="348">
        <v>46125</v>
      </c>
      <c r="C272" s="349">
        <v>0</v>
      </c>
      <c r="D272" s="349">
        <v>0</v>
      </c>
      <c r="E272" s="349">
        <f t="shared" si="37"/>
        <v>0</v>
      </c>
      <c r="F272" s="349">
        <f t="shared" si="37"/>
        <v>0</v>
      </c>
      <c r="G272" s="349">
        <f t="shared" si="37"/>
        <v>0</v>
      </c>
      <c r="H272" s="349">
        <f t="shared" si="37"/>
        <v>0</v>
      </c>
      <c r="I272" s="349">
        <f t="shared" si="37"/>
        <v>0</v>
      </c>
      <c r="J272" s="349">
        <f t="shared" si="37"/>
        <v>0</v>
      </c>
      <c r="K272" s="349">
        <f t="shared" si="37"/>
        <v>0</v>
      </c>
      <c r="L272" s="350">
        <f t="shared" si="30"/>
        <v>0</v>
      </c>
      <c r="M272" s="351">
        <f t="shared" si="36"/>
        <v>21395</v>
      </c>
      <c r="N272" s="254">
        <f t="shared" si="31"/>
        <v>0</v>
      </c>
      <c r="O272" s="254">
        <f t="shared" si="32"/>
        <v>0</v>
      </c>
      <c r="P272" s="350">
        <f t="shared" si="33"/>
        <v>2</v>
      </c>
      <c r="Q272" s="351">
        <f t="shared" si="34"/>
        <v>1562</v>
      </c>
      <c r="R272" s="350">
        <f t="shared" si="35"/>
        <v>2</v>
      </c>
      <c r="S272" s="349"/>
      <c r="T272" s="349"/>
      <c r="U272" s="349"/>
      <c r="V272" s="349"/>
      <c r="W272" s="349"/>
      <c r="X272" s="349"/>
      <c r="Y272" s="349"/>
      <c r="Z272" s="349"/>
      <c r="AA272" s="349"/>
      <c r="AB272" s="349"/>
      <c r="AC272" s="349"/>
      <c r="AD272" s="349">
        <v>2</v>
      </c>
      <c r="AE272" s="349"/>
    </row>
    <row r="273" spans="1:31" ht="14.25">
      <c r="A273" s="336" t="str">
        <f t="shared" si="38"/>
        <v>26/04</v>
      </c>
      <c r="B273" s="348">
        <v>46126</v>
      </c>
      <c r="C273" s="349">
        <v>0</v>
      </c>
      <c r="D273" s="349">
        <v>0</v>
      </c>
      <c r="E273" s="349">
        <f t="shared" ref="E273:K304" si="39">SUMIFS($S273:$AE273,$S$210:$AE$210,E$208)</f>
        <v>0</v>
      </c>
      <c r="F273" s="349">
        <f t="shared" si="39"/>
        <v>0</v>
      </c>
      <c r="G273" s="349">
        <f t="shared" si="39"/>
        <v>0</v>
      </c>
      <c r="H273" s="349">
        <f t="shared" si="39"/>
        <v>0</v>
      </c>
      <c r="I273" s="349">
        <f t="shared" si="39"/>
        <v>0</v>
      </c>
      <c r="J273" s="349">
        <f t="shared" si="39"/>
        <v>0</v>
      </c>
      <c r="K273" s="349">
        <f t="shared" si="39"/>
        <v>0</v>
      </c>
      <c r="L273" s="350">
        <f t="shared" ref="L273:L325" si="40">SUM(C273:K273)</f>
        <v>0</v>
      </c>
      <c r="M273" s="351">
        <f t="shared" ref="M273:M325" si="41">M272+L273</f>
        <v>21395</v>
      </c>
      <c r="N273" s="254">
        <f t="shared" ref="N273:N325" si="42">C273+D273+F273+H273+I273+K273+J273</f>
        <v>0</v>
      </c>
      <c r="O273" s="254">
        <f t="shared" ref="O273:O325" si="43">E273+G273</f>
        <v>0</v>
      </c>
      <c r="P273" s="350">
        <f t="shared" ref="P273:P325" si="44">AD273+AE273</f>
        <v>2</v>
      </c>
      <c r="Q273" s="351">
        <f t="shared" ref="Q273:Q325" si="45">Q272+P273</f>
        <v>1564</v>
      </c>
      <c r="R273" s="350">
        <f t="shared" ref="R273:R326" si="46">L273+P273</f>
        <v>2</v>
      </c>
      <c r="S273" s="349"/>
      <c r="T273" s="349"/>
      <c r="U273" s="349"/>
      <c r="V273" s="349"/>
      <c r="W273" s="349"/>
      <c r="X273" s="349"/>
      <c r="Y273" s="349"/>
      <c r="Z273" s="349"/>
      <c r="AA273" s="349"/>
      <c r="AB273" s="349"/>
      <c r="AC273" s="349"/>
      <c r="AD273" s="349">
        <v>2</v>
      </c>
      <c r="AE273" s="349"/>
    </row>
    <row r="274" spans="1:31" ht="14.25">
      <c r="A274" s="336" t="str">
        <f t="shared" si="38"/>
        <v>26/04</v>
      </c>
      <c r="B274" s="348">
        <v>46127</v>
      </c>
      <c r="C274" s="349">
        <v>0</v>
      </c>
      <c r="D274" s="349">
        <v>0</v>
      </c>
      <c r="E274" s="349">
        <f t="shared" si="39"/>
        <v>0</v>
      </c>
      <c r="F274" s="349">
        <f t="shared" si="39"/>
        <v>0</v>
      </c>
      <c r="G274" s="349">
        <f t="shared" si="39"/>
        <v>0</v>
      </c>
      <c r="H274" s="349">
        <f t="shared" si="39"/>
        <v>0</v>
      </c>
      <c r="I274" s="349">
        <f t="shared" si="39"/>
        <v>0</v>
      </c>
      <c r="J274" s="349">
        <f t="shared" si="39"/>
        <v>0</v>
      </c>
      <c r="K274" s="349">
        <f t="shared" si="39"/>
        <v>1</v>
      </c>
      <c r="L274" s="350">
        <f t="shared" si="40"/>
        <v>1</v>
      </c>
      <c r="M274" s="351">
        <f t="shared" si="41"/>
        <v>21396</v>
      </c>
      <c r="N274" s="254">
        <f t="shared" si="42"/>
        <v>1</v>
      </c>
      <c r="O274" s="254">
        <f t="shared" si="43"/>
        <v>0</v>
      </c>
      <c r="P274" s="350">
        <f t="shared" si="44"/>
        <v>3</v>
      </c>
      <c r="Q274" s="351">
        <f t="shared" si="45"/>
        <v>1567</v>
      </c>
      <c r="R274" s="350">
        <f t="shared" si="46"/>
        <v>4</v>
      </c>
      <c r="S274" s="349"/>
      <c r="T274" s="349"/>
      <c r="U274" s="349"/>
      <c r="V274" s="349"/>
      <c r="W274" s="349"/>
      <c r="X274" s="349"/>
      <c r="Y274" s="349"/>
      <c r="Z274" s="349"/>
      <c r="AA274" s="349"/>
      <c r="AB274" s="349"/>
      <c r="AC274" s="349">
        <v>1</v>
      </c>
      <c r="AD274" s="349">
        <v>3</v>
      </c>
      <c r="AE274" s="349"/>
    </row>
    <row r="275" spans="1:31" ht="14.25">
      <c r="A275" s="336" t="str">
        <f t="shared" si="38"/>
        <v>26/04</v>
      </c>
      <c r="B275" s="348">
        <v>46128</v>
      </c>
      <c r="C275" s="349">
        <v>0</v>
      </c>
      <c r="D275" s="349">
        <v>0</v>
      </c>
      <c r="E275" s="349">
        <f t="shared" si="39"/>
        <v>0</v>
      </c>
      <c r="F275" s="349">
        <f t="shared" si="39"/>
        <v>0</v>
      </c>
      <c r="G275" s="349">
        <f t="shared" si="39"/>
        <v>0</v>
      </c>
      <c r="H275" s="349">
        <f t="shared" si="39"/>
        <v>0</v>
      </c>
      <c r="I275" s="349">
        <f t="shared" si="39"/>
        <v>4</v>
      </c>
      <c r="J275" s="349">
        <f t="shared" si="39"/>
        <v>0</v>
      </c>
      <c r="K275" s="349">
        <f t="shared" si="39"/>
        <v>0</v>
      </c>
      <c r="L275" s="350">
        <f t="shared" si="40"/>
        <v>4</v>
      </c>
      <c r="M275" s="351">
        <f t="shared" si="41"/>
        <v>21400</v>
      </c>
      <c r="N275" s="254">
        <f t="shared" si="42"/>
        <v>4</v>
      </c>
      <c r="O275" s="254">
        <f t="shared" si="43"/>
        <v>0</v>
      </c>
      <c r="P275" s="350">
        <f t="shared" si="44"/>
        <v>3</v>
      </c>
      <c r="Q275" s="351">
        <f t="shared" si="45"/>
        <v>1570</v>
      </c>
      <c r="R275" s="350">
        <f t="shared" si="46"/>
        <v>7</v>
      </c>
      <c r="S275" s="349"/>
      <c r="T275" s="349"/>
      <c r="U275" s="349"/>
      <c r="V275" s="349"/>
      <c r="W275" s="349"/>
      <c r="X275" s="349"/>
      <c r="Y275" s="349"/>
      <c r="Z275" s="349"/>
      <c r="AA275" s="349">
        <v>4</v>
      </c>
      <c r="AB275" s="349"/>
      <c r="AC275" s="349"/>
      <c r="AD275" s="349">
        <v>3</v>
      </c>
      <c r="AE275" s="349"/>
    </row>
    <row r="276" spans="1:31" ht="14.25">
      <c r="A276" s="336" t="str">
        <f t="shared" si="38"/>
        <v>26/04</v>
      </c>
      <c r="B276" s="348">
        <v>46129</v>
      </c>
      <c r="C276" s="349">
        <v>0</v>
      </c>
      <c r="D276" s="349">
        <v>0</v>
      </c>
      <c r="E276" s="349">
        <f t="shared" si="39"/>
        <v>0</v>
      </c>
      <c r="F276" s="349">
        <f t="shared" si="39"/>
        <v>0</v>
      </c>
      <c r="G276" s="349">
        <f t="shared" si="39"/>
        <v>0</v>
      </c>
      <c r="H276" s="349">
        <f t="shared" si="39"/>
        <v>0</v>
      </c>
      <c r="I276" s="349">
        <f t="shared" si="39"/>
        <v>0</v>
      </c>
      <c r="J276" s="349">
        <f t="shared" si="39"/>
        <v>0</v>
      </c>
      <c r="K276" s="349">
        <f t="shared" si="39"/>
        <v>0</v>
      </c>
      <c r="L276" s="350">
        <f t="shared" si="40"/>
        <v>0</v>
      </c>
      <c r="M276" s="351">
        <f t="shared" si="41"/>
        <v>21400</v>
      </c>
      <c r="N276" s="254">
        <f t="shared" si="42"/>
        <v>0</v>
      </c>
      <c r="O276" s="254">
        <f t="shared" si="43"/>
        <v>0</v>
      </c>
      <c r="P276" s="350">
        <f t="shared" si="44"/>
        <v>3</v>
      </c>
      <c r="Q276" s="351">
        <f t="shared" si="45"/>
        <v>1573</v>
      </c>
      <c r="R276" s="350">
        <f t="shared" si="46"/>
        <v>3</v>
      </c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>
        <v>3</v>
      </c>
      <c r="AE276" s="349"/>
    </row>
    <row r="277" spans="1:31" ht="14.25">
      <c r="A277" s="336" t="str">
        <f t="shared" si="38"/>
        <v>26/04</v>
      </c>
      <c r="B277" s="348">
        <v>46132</v>
      </c>
      <c r="C277" s="349">
        <v>0</v>
      </c>
      <c r="D277" s="349">
        <v>0</v>
      </c>
      <c r="E277" s="349">
        <f t="shared" si="39"/>
        <v>0</v>
      </c>
      <c r="F277" s="349">
        <f t="shared" si="39"/>
        <v>0</v>
      </c>
      <c r="G277" s="349">
        <f t="shared" si="39"/>
        <v>0</v>
      </c>
      <c r="H277" s="349">
        <f t="shared" si="39"/>
        <v>0</v>
      </c>
      <c r="I277" s="349">
        <f t="shared" si="39"/>
        <v>0</v>
      </c>
      <c r="J277" s="349">
        <f t="shared" si="39"/>
        <v>0</v>
      </c>
      <c r="K277" s="349">
        <f t="shared" si="39"/>
        <v>1</v>
      </c>
      <c r="L277" s="350">
        <f t="shared" si="40"/>
        <v>1</v>
      </c>
      <c r="M277" s="351">
        <f t="shared" si="41"/>
        <v>21401</v>
      </c>
      <c r="N277" s="254">
        <f t="shared" si="42"/>
        <v>1</v>
      </c>
      <c r="O277" s="254">
        <f t="shared" si="43"/>
        <v>0</v>
      </c>
      <c r="P277" s="350">
        <f t="shared" si="44"/>
        <v>2</v>
      </c>
      <c r="Q277" s="351">
        <f t="shared" si="45"/>
        <v>1575</v>
      </c>
      <c r="R277" s="350">
        <f t="shared" si="46"/>
        <v>3</v>
      </c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>
        <v>1</v>
      </c>
      <c r="AD277" s="349">
        <v>2</v>
      </c>
      <c r="AE277" s="349"/>
    </row>
    <row r="278" spans="1:31" ht="14.25">
      <c r="A278" s="336" t="str">
        <f t="shared" si="38"/>
        <v>26/04</v>
      </c>
      <c r="B278" s="348">
        <v>46133</v>
      </c>
      <c r="C278" s="349">
        <v>0</v>
      </c>
      <c r="D278" s="349">
        <v>0</v>
      </c>
      <c r="E278" s="349">
        <f t="shared" si="39"/>
        <v>0</v>
      </c>
      <c r="F278" s="349">
        <f t="shared" si="39"/>
        <v>0</v>
      </c>
      <c r="G278" s="349">
        <f t="shared" si="39"/>
        <v>0</v>
      </c>
      <c r="H278" s="349">
        <f t="shared" si="39"/>
        <v>0</v>
      </c>
      <c r="I278" s="349">
        <f t="shared" si="39"/>
        <v>2</v>
      </c>
      <c r="J278" s="349">
        <f t="shared" si="39"/>
        <v>0</v>
      </c>
      <c r="K278" s="349">
        <f t="shared" si="39"/>
        <v>0</v>
      </c>
      <c r="L278" s="350">
        <f t="shared" si="40"/>
        <v>2</v>
      </c>
      <c r="M278" s="351">
        <f t="shared" si="41"/>
        <v>21403</v>
      </c>
      <c r="N278" s="254">
        <f t="shared" si="42"/>
        <v>2</v>
      </c>
      <c r="O278" s="254">
        <f t="shared" si="43"/>
        <v>0</v>
      </c>
      <c r="P278" s="350">
        <f t="shared" si="44"/>
        <v>6</v>
      </c>
      <c r="Q278" s="351">
        <f t="shared" si="45"/>
        <v>1581</v>
      </c>
      <c r="R278" s="350">
        <f t="shared" si="46"/>
        <v>8</v>
      </c>
      <c r="S278" s="349"/>
      <c r="T278" s="349"/>
      <c r="U278" s="349"/>
      <c r="V278" s="349"/>
      <c r="W278" s="349"/>
      <c r="X278" s="349"/>
      <c r="Y278" s="349"/>
      <c r="Z278" s="349"/>
      <c r="AA278" s="349">
        <v>2</v>
      </c>
      <c r="AB278" s="349"/>
      <c r="AC278" s="349"/>
      <c r="AD278" s="349">
        <v>6</v>
      </c>
      <c r="AE278" s="349"/>
    </row>
    <row r="279" spans="1:31" ht="14.25">
      <c r="A279" s="336" t="str">
        <f t="shared" si="38"/>
        <v>26/04</v>
      </c>
      <c r="B279" s="348">
        <v>46134</v>
      </c>
      <c r="C279" s="349">
        <v>0</v>
      </c>
      <c r="D279" s="349">
        <v>0</v>
      </c>
      <c r="E279" s="349">
        <f t="shared" si="39"/>
        <v>0</v>
      </c>
      <c r="F279" s="349">
        <f t="shared" si="39"/>
        <v>0</v>
      </c>
      <c r="G279" s="349">
        <f t="shared" si="39"/>
        <v>0</v>
      </c>
      <c r="H279" s="349">
        <f t="shared" si="39"/>
        <v>0</v>
      </c>
      <c r="I279" s="349">
        <f t="shared" si="39"/>
        <v>0</v>
      </c>
      <c r="J279" s="349">
        <f t="shared" si="39"/>
        <v>0</v>
      </c>
      <c r="K279" s="349">
        <f t="shared" si="39"/>
        <v>0</v>
      </c>
      <c r="L279" s="350">
        <f t="shared" si="40"/>
        <v>0</v>
      </c>
      <c r="M279" s="351">
        <f t="shared" si="41"/>
        <v>21403</v>
      </c>
      <c r="N279" s="254">
        <f t="shared" si="42"/>
        <v>0</v>
      </c>
      <c r="O279" s="254">
        <f t="shared" si="43"/>
        <v>0</v>
      </c>
      <c r="P279" s="350">
        <f t="shared" si="44"/>
        <v>6</v>
      </c>
      <c r="Q279" s="351">
        <f t="shared" si="45"/>
        <v>1587</v>
      </c>
      <c r="R279" s="350">
        <f t="shared" si="46"/>
        <v>6</v>
      </c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>
        <v>6</v>
      </c>
      <c r="AE279" s="349"/>
    </row>
    <row r="280" spans="1:31" ht="14.25">
      <c r="A280" s="336" t="str">
        <f t="shared" si="38"/>
        <v>26/04</v>
      </c>
      <c r="B280" s="348">
        <v>46135</v>
      </c>
      <c r="C280" s="349">
        <v>0</v>
      </c>
      <c r="D280" s="349">
        <v>0</v>
      </c>
      <c r="E280" s="349">
        <f t="shared" si="39"/>
        <v>0</v>
      </c>
      <c r="F280" s="349">
        <f t="shared" si="39"/>
        <v>0</v>
      </c>
      <c r="G280" s="349">
        <f t="shared" si="39"/>
        <v>0</v>
      </c>
      <c r="H280" s="349">
        <f t="shared" si="39"/>
        <v>0</v>
      </c>
      <c r="I280" s="349">
        <f t="shared" si="39"/>
        <v>1</v>
      </c>
      <c r="J280" s="349">
        <f t="shared" si="39"/>
        <v>0</v>
      </c>
      <c r="K280" s="349">
        <f t="shared" si="39"/>
        <v>0</v>
      </c>
      <c r="L280" s="350">
        <f t="shared" si="40"/>
        <v>1</v>
      </c>
      <c r="M280" s="351">
        <f t="shared" si="41"/>
        <v>21404</v>
      </c>
      <c r="N280" s="254">
        <f t="shared" si="42"/>
        <v>1</v>
      </c>
      <c r="O280" s="254">
        <f t="shared" si="43"/>
        <v>0</v>
      </c>
      <c r="P280" s="350">
        <f t="shared" si="44"/>
        <v>6</v>
      </c>
      <c r="Q280" s="351">
        <f t="shared" si="45"/>
        <v>1593</v>
      </c>
      <c r="R280" s="350">
        <f t="shared" si="46"/>
        <v>7</v>
      </c>
      <c r="S280" s="349"/>
      <c r="T280" s="349"/>
      <c r="U280" s="349"/>
      <c r="V280" s="349"/>
      <c r="W280" s="349"/>
      <c r="X280" s="349"/>
      <c r="Y280" s="349"/>
      <c r="Z280" s="349"/>
      <c r="AA280" s="349">
        <v>1</v>
      </c>
      <c r="AB280" s="349"/>
      <c r="AC280" s="349"/>
      <c r="AD280" s="349">
        <v>6</v>
      </c>
      <c r="AE280" s="349"/>
    </row>
    <row r="281" spans="1:31" ht="14.25">
      <c r="A281" s="336" t="str">
        <f t="shared" si="38"/>
        <v>26/04</v>
      </c>
      <c r="B281" s="348">
        <v>46136</v>
      </c>
      <c r="C281" s="349">
        <v>0</v>
      </c>
      <c r="D281" s="349">
        <v>0</v>
      </c>
      <c r="E281" s="349">
        <f t="shared" si="39"/>
        <v>0</v>
      </c>
      <c r="F281" s="349">
        <f t="shared" si="39"/>
        <v>0</v>
      </c>
      <c r="G281" s="349">
        <f t="shared" si="39"/>
        <v>0</v>
      </c>
      <c r="H281" s="349">
        <f t="shared" si="39"/>
        <v>0</v>
      </c>
      <c r="I281" s="349">
        <f t="shared" si="39"/>
        <v>0</v>
      </c>
      <c r="J281" s="349">
        <f t="shared" si="39"/>
        <v>0</v>
      </c>
      <c r="K281" s="349">
        <f t="shared" si="39"/>
        <v>0</v>
      </c>
      <c r="L281" s="350">
        <f t="shared" si="40"/>
        <v>0</v>
      </c>
      <c r="M281" s="351">
        <f t="shared" si="41"/>
        <v>21404</v>
      </c>
      <c r="N281" s="254">
        <f t="shared" si="42"/>
        <v>0</v>
      </c>
      <c r="O281" s="254">
        <f t="shared" si="43"/>
        <v>0</v>
      </c>
      <c r="P281" s="350">
        <f t="shared" si="44"/>
        <v>5</v>
      </c>
      <c r="Q281" s="351">
        <f t="shared" si="45"/>
        <v>1598</v>
      </c>
      <c r="R281" s="350">
        <f t="shared" si="46"/>
        <v>5</v>
      </c>
      <c r="S281" s="349"/>
      <c r="T281" s="349"/>
      <c r="U281" s="349"/>
      <c r="V281" s="349"/>
      <c r="W281" s="349"/>
      <c r="X281" s="349"/>
      <c r="Y281" s="349"/>
      <c r="Z281" s="349"/>
      <c r="AA281" s="349"/>
      <c r="AB281" s="349"/>
      <c r="AC281" s="349"/>
      <c r="AD281" s="349">
        <v>5</v>
      </c>
      <c r="AE281" s="349"/>
    </row>
    <row r="282" spans="1:31" ht="14.25">
      <c r="A282" s="336" t="str">
        <f t="shared" si="38"/>
        <v>26/04</v>
      </c>
      <c r="B282" s="348">
        <v>46139</v>
      </c>
      <c r="C282" s="349">
        <v>0</v>
      </c>
      <c r="D282" s="349">
        <v>0</v>
      </c>
      <c r="E282" s="349">
        <f t="shared" si="39"/>
        <v>0</v>
      </c>
      <c r="F282" s="349">
        <f t="shared" si="39"/>
        <v>0</v>
      </c>
      <c r="G282" s="349">
        <f t="shared" si="39"/>
        <v>0</v>
      </c>
      <c r="H282" s="349">
        <f t="shared" si="39"/>
        <v>0</v>
      </c>
      <c r="I282" s="349">
        <f t="shared" si="39"/>
        <v>0</v>
      </c>
      <c r="J282" s="349">
        <f t="shared" si="39"/>
        <v>0</v>
      </c>
      <c r="K282" s="349">
        <f t="shared" si="39"/>
        <v>0</v>
      </c>
      <c r="L282" s="350">
        <f t="shared" si="40"/>
        <v>0</v>
      </c>
      <c r="M282" s="351">
        <f t="shared" si="41"/>
        <v>21404</v>
      </c>
      <c r="N282" s="254">
        <f t="shared" si="42"/>
        <v>0</v>
      </c>
      <c r="O282" s="254">
        <f t="shared" si="43"/>
        <v>0</v>
      </c>
      <c r="P282" s="350">
        <f t="shared" si="44"/>
        <v>5</v>
      </c>
      <c r="Q282" s="351">
        <f t="shared" si="45"/>
        <v>1603</v>
      </c>
      <c r="R282" s="350">
        <f t="shared" si="46"/>
        <v>5</v>
      </c>
      <c r="S282" s="349"/>
      <c r="T282" s="349"/>
      <c r="U282" s="349"/>
      <c r="V282" s="349"/>
      <c r="W282" s="349"/>
      <c r="X282" s="349"/>
      <c r="Y282" s="349"/>
      <c r="Z282" s="349"/>
      <c r="AA282" s="349"/>
      <c r="AB282" s="349"/>
      <c r="AC282" s="349"/>
      <c r="AD282" s="349">
        <v>5</v>
      </c>
      <c r="AE282" s="349"/>
    </row>
    <row r="283" spans="1:31" ht="15" thickBot="1">
      <c r="A283" s="336" t="str">
        <f t="shared" si="38"/>
        <v>26/04</v>
      </c>
      <c r="B283" s="353">
        <v>46140</v>
      </c>
      <c r="C283" s="354">
        <v>0</v>
      </c>
      <c r="D283" s="354">
        <v>0</v>
      </c>
      <c r="E283" s="354">
        <f t="shared" si="39"/>
        <v>0</v>
      </c>
      <c r="F283" s="354">
        <f t="shared" si="39"/>
        <v>0</v>
      </c>
      <c r="G283" s="354">
        <f t="shared" si="39"/>
        <v>0</v>
      </c>
      <c r="H283" s="354">
        <f t="shared" si="39"/>
        <v>0</v>
      </c>
      <c r="I283" s="354">
        <f t="shared" si="39"/>
        <v>0</v>
      </c>
      <c r="J283" s="354">
        <f t="shared" si="39"/>
        <v>0</v>
      </c>
      <c r="K283" s="354">
        <f t="shared" si="39"/>
        <v>0</v>
      </c>
      <c r="L283" s="355">
        <f t="shared" si="40"/>
        <v>0</v>
      </c>
      <c r="M283" s="356">
        <f t="shared" si="41"/>
        <v>21404</v>
      </c>
      <c r="N283" s="357">
        <f t="shared" si="42"/>
        <v>0</v>
      </c>
      <c r="O283" s="357">
        <f t="shared" si="43"/>
        <v>0</v>
      </c>
      <c r="P283" s="355">
        <f t="shared" si="44"/>
        <v>6</v>
      </c>
      <c r="Q283" s="356">
        <f t="shared" si="45"/>
        <v>1609</v>
      </c>
      <c r="R283" s="355">
        <f t="shared" si="46"/>
        <v>6</v>
      </c>
      <c r="S283" s="354"/>
      <c r="T283" s="354"/>
      <c r="U283" s="354"/>
      <c r="V283" s="354"/>
      <c r="W283" s="354"/>
      <c r="X283" s="354"/>
      <c r="Y283" s="354"/>
      <c r="Z283" s="354"/>
      <c r="AA283" s="354"/>
      <c r="AB283" s="354"/>
      <c r="AC283" s="354"/>
      <c r="AD283" s="354">
        <v>6</v>
      </c>
      <c r="AE283" s="354"/>
    </row>
    <row r="284" spans="1:31" ht="15" thickTop="1">
      <c r="A284" s="336" t="str">
        <f t="shared" si="38"/>
        <v>26/05</v>
      </c>
      <c r="B284" s="348">
        <v>46149</v>
      </c>
      <c r="C284" s="349">
        <v>0</v>
      </c>
      <c r="D284" s="349">
        <v>0</v>
      </c>
      <c r="E284" s="349">
        <f t="shared" si="39"/>
        <v>23</v>
      </c>
      <c r="F284" s="349">
        <f t="shared" si="39"/>
        <v>0</v>
      </c>
      <c r="G284" s="349">
        <f t="shared" si="39"/>
        <v>0</v>
      </c>
      <c r="H284" s="349">
        <f t="shared" si="39"/>
        <v>7</v>
      </c>
      <c r="I284" s="349">
        <f t="shared" si="39"/>
        <v>3</v>
      </c>
      <c r="J284" s="349">
        <f t="shared" si="39"/>
        <v>0</v>
      </c>
      <c r="K284" s="349">
        <f t="shared" si="39"/>
        <v>0</v>
      </c>
      <c r="L284" s="350">
        <f t="shared" si="40"/>
        <v>33</v>
      </c>
      <c r="M284" s="351">
        <f t="shared" si="41"/>
        <v>21437</v>
      </c>
      <c r="N284" s="254">
        <f t="shared" si="42"/>
        <v>10</v>
      </c>
      <c r="O284" s="254">
        <f t="shared" si="43"/>
        <v>23</v>
      </c>
      <c r="P284" s="350">
        <f t="shared" si="44"/>
        <v>6</v>
      </c>
      <c r="Q284" s="351">
        <f t="shared" si="45"/>
        <v>1615</v>
      </c>
      <c r="R284" s="350">
        <f t="shared" si="46"/>
        <v>39</v>
      </c>
      <c r="S284" s="349">
        <v>7</v>
      </c>
      <c r="T284" s="349">
        <v>9</v>
      </c>
      <c r="U284" s="349"/>
      <c r="V284" s="349"/>
      <c r="W284" s="349">
        <v>9</v>
      </c>
      <c r="X284" s="349"/>
      <c r="Y284" s="349"/>
      <c r="Z284" s="349"/>
      <c r="AA284" s="349">
        <v>3</v>
      </c>
      <c r="AB284" s="349">
        <v>5</v>
      </c>
      <c r="AC284" s="349"/>
      <c r="AD284" s="349">
        <v>6</v>
      </c>
      <c r="AE284" s="349"/>
    </row>
    <row r="285" spans="1:31" ht="14.25">
      <c r="A285" s="336" t="str">
        <f t="shared" si="38"/>
        <v>26/05</v>
      </c>
      <c r="B285" s="348">
        <v>46150</v>
      </c>
      <c r="C285" s="349">
        <v>0</v>
      </c>
      <c r="D285" s="349">
        <v>0</v>
      </c>
      <c r="E285" s="349">
        <f t="shared" si="39"/>
        <v>0</v>
      </c>
      <c r="F285" s="349">
        <f t="shared" si="39"/>
        <v>0</v>
      </c>
      <c r="G285" s="349">
        <f t="shared" si="39"/>
        <v>0</v>
      </c>
      <c r="H285" s="349">
        <f t="shared" si="39"/>
        <v>0</v>
      </c>
      <c r="I285" s="349">
        <f t="shared" si="39"/>
        <v>0</v>
      </c>
      <c r="J285" s="349">
        <f t="shared" si="39"/>
        <v>0</v>
      </c>
      <c r="K285" s="349">
        <f t="shared" si="39"/>
        <v>0</v>
      </c>
      <c r="L285" s="350">
        <f t="shared" si="40"/>
        <v>0</v>
      </c>
      <c r="M285" s="351">
        <f t="shared" si="41"/>
        <v>21437</v>
      </c>
      <c r="N285" s="254">
        <f t="shared" si="42"/>
        <v>0</v>
      </c>
      <c r="O285" s="254">
        <f t="shared" si="43"/>
        <v>0</v>
      </c>
      <c r="P285" s="350">
        <f t="shared" si="44"/>
        <v>6</v>
      </c>
      <c r="Q285" s="351">
        <f t="shared" si="45"/>
        <v>1621</v>
      </c>
      <c r="R285" s="350">
        <f t="shared" si="46"/>
        <v>6</v>
      </c>
      <c r="S285" s="349"/>
      <c r="T285" s="349"/>
      <c r="U285" s="349"/>
      <c r="V285" s="349"/>
      <c r="W285" s="349"/>
      <c r="X285" s="349"/>
      <c r="Y285" s="349"/>
      <c r="Z285" s="349"/>
      <c r="AA285" s="349"/>
      <c r="AB285" s="349"/>
      <c r="AC285" s="349"/>
      <c r="AD285" s="349">
        <v>6</v>
      </c>
      <c r="AE285" s="349"/>
    </row>
    <row r="286" spans="1:31" ht="14.25">
      <c r="A286" s="336" t="str">
        <f t="shared" si="38"/>
        <v>26/05</v>
      </c>
      <c r="B286" s="348">
        <v>46153</v>
      </c>
      <c r="C286" s="349">
        <v>0</v>
      </c>
      <c r="D286" s="349">
        <v>0</v>
      </c>
      <c r="E286" s="349">
        <f t="shared" si="39"/>
        <v>0</v>
      </c>
      <c r="F286" s="349">
        <f t="shared" si="39"/>
        <v>0</v>
      </c>
      <c r="G286" s="349">
        <f t="shared" si="39"/>
        <v>0</v>
      </c>
      <c r="H286" s="349">
        <f t="shared" si="39"/>
        <v>0</v>
      </c>
      <c r="I286" s="349">
        <f t="shared" si="39"/>
        <v>0</v>
      </c>
      <c r="J286" s="349">
        <f t="shared" si="39"/>
        <v>0</v>
      </c>
      <c r="K286" s="349">
        <f t="shared" si="39"/>
        <v>0</v>
      </c>
      <c r="L286" s="350">
        <f t="shared" si="40"/>
        <v>0</v>
      </c>
      <c r="M286" s="351">
        <f t="shared" si="41"/>
        <v>21437</v>
      </c>
      <c r="N286" s="254">
        <f t="shared" si="42"/>
        <v>0</v>
      </c>
      <c r="O286" s="254">
        <f t="shared" si="43"/>
        <v>0</v>
      </c>
      <c r="P286" s="350">
        <f t="shared" si="44"/>
        <v>5</v>
      </c>
      <c r="Q286" s="351">
        <f t="shared" si="45"/>
        <v>1626</v>
      </c>
      <c r="R286" s="350">
        <f t="shared" si="46"/>
        <v>5</v>
      </c>
      <c r="S286" s="349"/>
      <c r="T286" s="349"/>
      <c r="U286" s="349"/>
      <c r="V286" s="349"/>
      <c r="W286" s="349"/>
      <c r="X286" s="349"/>
      <c r="Y286" s="349"/>
      <c r="Z286" s="349"/>
      <c r="AA286" s="349"/>
      <c r="AB286" s="349"/>
      <c r="AC286" s="349"/>
      <c r="AD286" s="349">
        <v>5</v>
      </c>
      <c r="AE286" s="349"/>
    </row>
    <row r="287" spans="1:31" ht="14.25">
      <c r="A287" s="336" t="str">
        <f t="shared" si="38"/>
        <v>26/05</v>
      </c>
      <c r="B287" s="348">
        <v>46154</v>
      </c>
      <c r="C287" s="349">
        <v>0</v>
      </c>
      <c r="D287" s="349">
        <v>0</v>
      </c>
      <c r="E287" s="349">
        <f t="shared" si="39"/>
        <v>0</v>
      </c>
      <c r="F287" s="349">
        <f t="shared" si="39"/>
        <v>0</v>
      </c>
      <c r="G287" s="349">
        <f t="shared" si="39"/>
        <v>0</v>
      </c>
      <c r="H287" s="349">
        <f t="shared" si="39"/>
        <v>0</v>
      </c>
      <c r="I287" s="349">
        <f t="shared" si="39"/>
        <v>0</v>
      </c>
      <c r="J287" s="349">
        <f t="shared" si="39"/>
        <v>0</v>
      </c>
      <c r="K287" s="349">
        <f t="shared" si="39"/>
        <v>0</v>
      </c>
      <c r="L287" s="350">
        <f t="shared" si="40"/>
        <v>0</v>
      </c>
      <c r="M287" s="351">
        <f t="shared" si="41"/>
        <v>21437</v>
      </c>
      <c r="N287" s="254">
        <f t="shared" si="42"/>
        <v>0</v>
      </c>
      <c r="O287" s="254">
        <f t="shared" si="43"/>
        <v>0</v>
      </c>
      <c r="P287" s="350">
        <f t="shared" si="44"/>
        <v>32</v>
      </c>
      <c r="Q287" s="351">
        <f t="shared" si="45"/>
        <v>1658</v>
      </c>
      <c r="R287" s="350">
        <f t="shared" si="46"/>
        <v>32</v>
      </c>
      <c r="S287" s="349"/>
      <c r="T287" s="349"/>
      <c r="U287" s="349"/>
      <c r="V287" s="349"/>
      <c r="W287" s="349"/>
      <c r="X287" s="349"/>
      <c r="Y287" s="349"/>
      <c r="Z287" s="349"/>
      <c r="AA287" s="349"/>
      <c r="AB287" s="349"/>
      <c r="AC287" s="349"/>
      <c r="AD287" s="349">
        <v>32</v>
      </c>
      <c r="AE287" s="349"/>
    </row>
    <row r="288" spans="1:31" ht="14.25">
      <c r="A288" s="336" t="str">
        <f t="shared" si="38"/>
        <v>26/05</v>
      </c>
      <c r="B288" s="348">
        <v>46160</v>
      </c>
      <c r="C288" s="349">
        <v>0</v>
      </c>
      <c r="D288" s="349">
        <v>0</v>
      </c>
      <c r="E288" s="349">
        <f t="shared" si="39"/>
        <v>0</v>
      </c>
      <c r="F288" s="349">
        <f t="shared" si="39"/>
        <v>0</v>
      </c>
      <c r="G288" s="349">
        <f t="shared" si="39"/>
        <v>0</v>
      </c>
      <c r="H288" s="349">
        <f t="shared" si="39"/>
        <v>0</v>
      </c>
      <c r="I288" s="349">
        <f t="shared" si="39"/>
        <v>0</v>
      </c>
      <c r="J288" s="349">
        <f t="shared" si="39"/>
        <v>0</v>
      </c>
      <c r="K288" s="349">
        <f t="shared" si="39"/>
        <v>0</v>
      </c>
      <c r="L288" s="350">
        <f t="shared" si="40"/>
        <v>0</v>
      </c>
      <c r="M288" s="351">
        <f t="shared" si="41"/>
        <v>21437</v>
      </c>
      <c r="N288" s="254">
        <f t="shared" si="42"/>
        <v>0</v>
      </c>
      <c r="O288" s="254">
        <f t="shared" si="43"/>
        <v>0</v>
      </c>
      <c r="P288" s="350">
        <f t="shared" si="44"/>
        <v>27</v>
      </c>
      <c r="Q288" s="351">
        <f t="shared" si="45"/>
        <v>1685</v>
      </c>
      <c r="R288" s="350">
        <f t="shared" si="46"/>
        <v>27</v>
      </c>
      <c r="S288" s="349"/>
      <c r="T288" s="349"/>
      <c r="U288" s="349"/>
      <c r="V288" s="349"/>
      <c r="W288" s="349"/>
      <c r="X288" s="349"/>
      <c r="Y288" s="349"/>
      <c r="Z288" s="349"/>
      <c r="AA288" s="349"/>
      <c r="AB288" s="349"/>
      <c r="AC288" s="349"/>
      <c r="AD288" s="349">
        <v>27</v>
      </c>
      <c r="AE288" s="349"/>
    </row>
    <row r="289" spans="1:31" ht="15" thickBot="1">
      <c r="A289" s="336" t="str">
        <f t="shared" si="38"/>
        <v>26/05</v>
      </c>
      <c r="B289" s="353">
        <v>46168</v>
      </c>
      <c r="C289" s="354">
        <v>0</v>
      </c>
      <c r="D289" s="354">
        <v>0</v>
      </c>
      <c r="E289" s="354">
        <f t="shared" si="39"/>
        <v>0</v>
      </c>
      <c r="F289" s="354">
        <f t="shared" si="39"/>
        <v>0</v>
      </c>
      <c r="G289" s="354">
        <f t="shared" si="39"/>
        <v>0</v>
      </c>
      <c r="H289" s="354">
        <f t="shared" si="39"/>
        <v>0</v>
      </c>
      <c r="I289" s="354">
        <f t="shared" si="39"/>
        <v>0</v>
      </c>
      <c r="J289" s="354">
        <f t="shared" si="39"/>
        <v>0</v>
      </c>
      <c r="K289" s="354">
        <f t="shared" si="39"/>
        <v>0</v>
      </c>
      <c r="L289" s="355">
        <f t="shared" si="40"/>
        <v>0</v>
      </c>
      <c r="M289" s="356">
        <f t="shared" si="41"/>
        <v>21437</v>
      </c>
      <c r="N289" s="357">
        <f t="shared" si="42"/>
        <v>0</v>
      </c>
      <c r="O289" s="357">
        <f t="shared" si="43"/>
        <v>0</v>
      </c>
      <c r="P289" s="355">
        <f t="shared" si="44"/>
        <v>28</v>
      </c>
      <c r="Q289" s="356">
        <f t="shared" si="45"/>
        <v>1713</v>
      </c>
      <c r="R289" s="355">
        <f t="shared" si="46"/>
        <v>28</v>
      </c>
      <c r="S289" s="354"/>
      <c r="T289" s="354"/>
      <c r="U289" s="354"/>
      <c r="V289" s="354"/>
      <c r="W289" s="354"/>
      <c r="X289" s="354"/>
      <c r="Y289" s="354"/>
      <c r="Z289" s="354"/>
      <c r="AA289" s="354"/>
      <c r="AB289" s="354"/>
      <c r="AC289" s="354"/>
      <c r="AD289" s="354">
        <v>28</v>
      </c>
      <c r="AE289" s="354"/>
    </row>
    <row r="290" spans="1:31" ht="15" thickTop="1">
      <c r="A290" s="336" t="str">
        <f t="shared" si="38"/>
        <v>26/06</v>
      </c>
      <c r="B290" s="348">
        <v>46174</v>
      </c>
      <c r="C290" s="349">
        <v>0</v>
      </c>
      <c r="D290" s="349">
        <v>0</v>
      </c>
      <c r="E290" s="349">
        <f t="shared" si="39"/>
        <v>16</v>
      </c>
      <c r="F290" s="349">
        <f t="shared" si="39"/>
        <v>0</v>
      </c>
      <c r="G290" s="349">
        <f t="shared" si="39"/>
        <v>0</v>
      </c>
      <c r="H290" s="349">
        <f t="shared" si="39"/>
        <v>0</v>
      </c>
      <c r="I290" s="349">
        <f t="shared" si="39"/>
        <v>2</v>
      </c>
      <c r="J290" s="349">
        <f t="shared" si="39"/>
        <v>0</v>
      </c>
      <c r="K290" s="349">
        <f t="shared" si="39"/>
        <v>0</v>
      </c>
      <c r="L290" s="350">
        <f t="shared" si="40"/>
        <v>18</v>
      </c>
      <c r="M290" s="351">
        <f t="shared" si="41"/>
        <v>21455</v>
      </c>
      <c r="N290" s="254">
        <f t="shared" si="42"/>
        <v>2</v>
      </c>
      <c r="O290" s="254">
        <f t="shared" si="43"/>
        <v>16</v>
      </c>
      <c r="P290" s="350">
        <f t="shared" si="44"/>
        <v>0</v>
      </c>
      <c r="Q290" s="351">
        <f t="shared" si="45"/>
        <v>1713</v>
      </c>
      <c r="R290" s="350">
        <f t="shared" si="46"/>
        <v>18</v>
      </c>
      <c r="S290" s="349"/>
      <c r="T290" s="349">
        <v>8</v>
      </c>
      <c r="U290" s="349"/>
      <c r="V290" s="349"/>
      <c r="W290" s="349">
        <v>8</v>
      </c>
      <c r="X290" s="349"/>
      <c r="Y290" s="349"/>
      <c r="Z290" s="349"/>
      <c r="AA290" s="349">
        <v>2</v>
      </c>
      <c r="AB290" s="349"/>
      <c r="AC290" s="349"/>
      <c r="AD290" s="349"/>
      <c r="AE290" s="349"/>
    </row>
    <row r="291" spans="1:31" ht="14.25">
      <c r="A291" s="336" t="str">
        <f t="shared" si="38"/>
        <v>26/06</v>
      </c>
      <c r="B291" s="348">
        <v>46175</v>
      </c>
      <c r="C291" s="349">
        <v>0</v>
      </c>
      <c r="D291" s="349">
        <v>0</v>
      </c>
      <c r="E291" s="349">
        <f t="shared" si="39"/>
        <v>0</v>
      </c>
      <c r="F291" s="349">
        <f t="shared" si="39"/>
        <v>0</v>
      </c>
      <c r="G291" s="349">
        <f t="shared" si="39"/>
        <v>0</v>
      </c>
      <c r="H291" s="349">
        <f t="shared" si="39"/>
        <v>0</v>
      </c>
      <c r="I291" s="349">
        <f t="shared" si="39"/>
        <v>0</v>
      </c>
      <c r="J291" s="349">
        <f t="shared" si="39"/>
        <v>0</v>
      </c>
      <c r="K291" s="349">
        <f t="shared" si="39"/>
        <v>0</v>
      </c>
      <c r="L291" s="350">
        <f t="shared" si="40"/>
        <v>0</v>
      </c>
      <c r="M291" s="351">
        <f t="shared" si="41"/>
        <v>21455</v>
      </c>
      <c r="N291" s="254">
        <f t="shared" si="42"/>
        <v>0</v>
      </c>
      <c r="O291" s="254">
        <f t="shared" si="43"/>
        <v>0</v>
      </c>
      <c r="P291" s="350">
        <f t="shared" si="44"/>
        <v>28</v>
      </c>
      <c r="Q291" s="351">
        <f t="shared" si="45"/>
        <v>1741</v>
      </c>
      <c r="R291" s="350">
        <f t="shared" si="46"/>
        <v>28</v>
      </c>
      <c r="S291" s="349"/>
      <c r="T291" s="349"/>
      <c r="U291" s="349"/>
      <c r="V291" s="349"/>
      <c r="W291" s="349"/>
      <c r="X291" s="349"/>
      <c r="Y291" s="349"/>
      <c r="Z291" s="349"/>
      <c r="AA291" s="349"/>
      <c r="AB291" s="349"/>
      <c r="AC291" s="349"/>
      <c r="AD291" s="349">
        <v>28</v>
      </c>
      <c r="AE291" s="349"/>
    </row>
    <row r="292" spans="1:31" ht="14.25">
      <c r="A292" s="336" t="str">
        <f t="shared" si="38"/>
        <v>26/06</v>
      </c>
      <c r="B292" s="348">
        <v>46182</v>
      </c>
      <c r="C292" s="349">
        <v>0</v>
      </c>
      <c r="D292" s="349">
        <v>0</v>
      </c>
      <c r="E292" s="349">
        <f t="shared" si="39"/>
        <v>0</v>
      </c>
      <c r="F292" s="349">
        <f t="shared" si="39"/>
        <v>0</v>
      </c>
      <c r="G292" s="349">
        <f t="shared" si="39"/>
        <v>0</v>
      </c>
      <c r="H292" s="349">
        <f t="shared" si="39"/>
        <v>0</v>
      </c>
      <c r="I292" s="349">
        <f t="shared" si="39"/>
        <v>0</v>
      </c>
      <c r="J292" s="349">
        <f t="shared" si="39"/>
        <v>0</v>
      </c>
      <c r="K292" s="349">
        <f t="shared" si="39"/>
        <v>0</v>
      </c>
      <c r="L292" s="350">
        <f t="shared" si="40"/>
        <v>0</v>
      </c>
      <c r="M292" s="351">
        <f t="shared" si="41"/>
        <v>21455</v>
      </c>
      <c r="N292" s="254">
        <f>C292+D292+F292+H292+I292+K292+J292</f>
        <v>0</v>
      </c>
      <c r="O292" s="254">
        <f t="shared" si="43"/>
        <v>0</v>
      </c>
      <c r="P292" s="350">
        <f t="shared" si="44"/>
        <v>27</v>
      </c>
      <c r="Q292" s="351">
        <f t="shared" si="45"/>
        <v>1768</v>
      </c>
      <c r="R292" s="350">
        <f t="shared" si="46"/>
        <v>27</v>
      </c>
      <c r="S292" s="349"/>
      <c r="T292" s="349"/>
      <c r="U292" s="349"/>
      <c r="V292" s="349"/>
      <c r="W292" s="349"/>
      <c r="X292" s="349"/>
      <c r="Y292" s="349"/>
      <c r="Z292" s="349"/>
      <c r="AA292" s="349"/>
      <c r="AB292" s="349"/>
      <c r="AC292" s="349"/>
      <c r="AD292" s="349">
        <v>27</v>
      </c>
      <c r="AE292" s="349"/>
    </row>
    <row r="293" spans="1:31" ht="14.25">
      <c r="A293" s="336" t="str">
        <f t="shared" si="38"/>
        <v>26/06</v>
      </c>
      <c r="B293" s="348">
        <v>46189</v>
      </c>
      <c r="C293" s="349">
        <v>0</v>
      </c>
      <c r="D293" s="349">
        <v>0</v>
      </c>
      <c r="E293" s="349">
        <f t="shared" si="39"/>
        <v>0</v>
      </c>
      <c r="F293" s="349">
        <f t="shared" si="39"/>
        <v>0</v>
      </c>
      <c r="G293" s="349">
        <f t="shared" si="39"/>
        <v>0</v>
      </c>
      <c r="H293" s="349">
        <f t="shared" si="39"/>
        <v>0</v>
      </c>
      <c r="I293" s="349">
        <f t="shared" si="39"/>
        <v>0</v>
      </c>
      <c r="J293" s="349">
        <f t="shared" si="39"/>
        <v>0</v>
      </c>
      <c r="K293" s="349">
        <f t="shared" si="39"/>
        <v>0</v>
      </c>
      <c r="L293" s="350">
        <f t="shared" si="40"/>
        <v>0</v>
      </c>
      <c r="M293" s="351">
        <f t="shared" si="41"/>
        <v>21455</v>
      </c>
      <c r="N293" s="254">
        <f t="shared" si="42"/>
        <v>0</v>
      </c>
      <c r="O293" s="254">
        <f>E293+G293</f>
        <v>0</v>
      </c>
      <c r="P293" s="350">
        <f t="shared" si="44"/>
        <v>27</v>
      </c>
      <c r="Q293" s="351">
        <f t="shared" si="45"/>
        <v>1795</v>
      </c>
      <c r="R293" s="350">
        <f t="shared" si="46"/>
        <v>27</v>
      </c>
      <c r="S293" s="349"/>
      <c r="T293" s="349"/>
      <c r="U293" s="349"/>
      <c r="V293" s="349"/>
      <c r="W293" s="349"/>
      <c r="X293" s="349"/>
      <c r="Y293" s="349"/>
      <c r="Z293" s="349"/>
      <c r="AA293" s="349"/>
      <c r="AB293" s="349"/>
      <c r="AC293" s="349"/>
      <c r="AD293" s="349">
        <v>27</v>
      </c>
      <c r="AE293" s="349"/>
    </row>
    <row r="294" spans="1:31" ht="14.25">
      <c r="A294" s="336" t="str">
        <f t="shared" si="38"/>
        <v>26/06</v>
      </c>
      <c r="B294" s="348">
        <v>46192</v>
      </c>
      <c r="C294" s="349">
        <v>0</v>
      </c>
      <c r="D294" s="349">
        <v>0</v>
      </c>
      <c r="E294" s="349">
        <f t="shared" si="39"/>
        <v>8</v>
      </c>
      <c r="F294" s="349">
        <f t="shared" si="39"/>
        <v>0</v>
      </c>
      <c r="G294" s="349">
        <f t="shared" si="39"/>
        <v>0</v>
      </c>
      <c r="H294" s="349">
        <f t="shared" si="39"/>
        <v>0</v>
      </c>
      <c r="I294" s="349">
        <f t="shared" si="39"/>
        <v>0</v>
      </c>
      <c r="J294" s="349">
        <f t="shared" si="39"/>
        <v>0</v>
      </c>
      <c r="K294" s="349">
        <f t="shared" si="39"/>
        <v>0</v>
      </c>
      <c r="L294" s="350">
        <f t="shared" si="40"/>
        <v>8</v>
      </c>
      <c r="M294" s="351">
        <f t="shared" si="41"/>
        <v>21463</v>
      </c>
      <c r="N294" s="254">
        <f t="shared" si="42"/>
        <v>0</v>
      </c>
      <c r="O294" s="254">
        <f t="shared" si="43"/>
        <v>8</v>
      </c>
      <c r="P294" s="350">
        <f t="shared" si="44"/>
        <v>0</v>
      </c>
      <c r="Q294" s="351">
        <f t="shared" si="45"/>
        <v>1795</v>
      </c>
      <c r="R294" s="350">
        <f t="shared" si="46"/>
        <v>8</v>
      </c>
      <c r="S294" s="349"/>
      <c r="T294" s="349">
        <v>4</v>
      </c>
      <c r="U294" s="349"/>
      <c r="V294" s="349"/>
      <c r="W294" s="349">
        <v>4</v>
      </c>
      <c r="X294" s="349"/>
      <c r="Y294" s="349"/>
      <c r="Z294" s="349"/>
      <c r="AA294" s="349"/>
      <c r="AB294" s="349"/>
      <c r="AC294" s="349"/>
      <c r="AD294" s="349"/>
      <c r="AE294" s="349"/>
    </row>
    <row r="295" spans="1:31" ht="14.25">
      <c r="A295" s="336" t="str">
        <f t="shared" si="38"/>
        <v>26/06</v>
      </c>
      <c r="B295" s="348">
        <v>46195</v>
      </c>
      <c r="C295" s="349">
        <v>0</v>
      </c>
      <c r="D295" s="349">
        <v>0</v>
      </c>
      <c r="E295" s="349">
        <f t="shared" si="39"/>
        <v>8</v>
      </c>
      <c r="F295" s="349">
        <f t="shared" si="39"/>
        <v>0</v>
      </c>
      <c r="G295" s="349">
        <f t="shared" si="39"/>
        <v>0</v>
      </c>
      <c r="H295" s="349">
        <f t="shared" si="39"/>
        <v>0</v>
      </c>
      <c r="I295" s="349">
        <f t="shared" si="39"/>
        <v>0</v>
      </c>
      <c r="J295" s="349">
        <f t="shared" si="39"/>
        <v>0</v>
      </c>
      <c r="K295" s="349">
        <f t="shared" si="39"/>
        <v>0</v>
      </c>
      <c r="L295" s="350">
        <f t="shared" si="40"/>
        <v>8</v>
      </c>
      <c r="M295" s="351">
        <f t="shared" si="41"/>
        <v>21471</v>
      </c>
      <c r="N295" s="254">
        <f t="shared" si="42"/>
        <v>0</v>
      </c>
      <c r="O295" s="254">
        <f t="shared" si="43"/>
        <v>8</v>
      </c>
      <c r="P295" s="350">
        <f t="shared" si="44"/>
        <v>0</v>
      </c>
      <c r="Q295" s="351">
        <f t="shared" si="45"/>
        <v>1795</v>
      </c>
      <c r="R295" s="350">
        <f t="shared" si="46"/>
        <v>8</v>
      </c>
      <c r="S295" s="349"/>
      <c r="T295" s="349">
        <v>4</v>
      </c>
      <c r="U295" s="349"/>
      <c r="V295" s="349"/>
      <c r="W295" s="349">
        <v>4</v>
      </c>
      <c r="X295" s="349"/>
      <c r="Y295" s="349"/>
      <c r="Z295" s="349"/>
      <c r="AA295" s="349"/>
      <c r="AB295" s="349"/>
      <c r="AC295" s="349"/>
      <c r="AD295" s="349"/>
      <c r="AE295" s="349"/>
    </row>
    <row r="296" spans="1:31" ht="14.25">
      <c r="A296" s="336" t="str">
        <f t="shared" si="38"/>
        <v>26/06</v>
      </c>
      <c r="B296" s="348">
        <v>46196</v>
      </c>
      <c r="C296" s="349">
        <v>0</v>
      </c>
      <c r="D296" s="349">
        <v>0</v>
      </c>
      <c r="E296" s="349">
        <f t="shared" si="39"/>
        <v>0</v>
      </c>
      <c r="F296" s="349">
        <f t="shared" si="39"/>
        <v>0</v>
      </c>
      <c r="G296" s="349">
        <f t="shared" si="39"/>
        <v>0</v>
      </c>
      <c r="H296" s="349">
        <f t="shared" si="39"/>
        <v>0</v>
      </c>
      <c r="I296" s="349">
        <f t="shared" si="39"/>
        <v>0</v>
      </c>
      <c r="J296" s="349">
        <f t="shared" si="39"/>
        <v>0</v>
      </c>
      <c r="K296" s="349">
        <f t="shared" si="39"/>
        <v>0</v>
      </c>
      <c r="L296" s="350">
        <f t="shared" si="40"/>
        <v>0</v>
      </c>
      <c r="M296" s="351">
        <f t="shared" si="41"/>
        <v>21471</v>
      </c>
      <c r="N296" s="254">
        <f t="shared" si="42"/>
        <v>0</v>
      </c>
      <c r="O296" s="254">
        <f t="shared" si="43"/>
        <v>0</v>
      </c>
      <c r="P296" s="350">
        <f t="shared" si="44"/>
        <v>28</v>
      </c>
      <c r="Q296" s="351">
        <f t="shared" si="45"/>
        <v>1823</v>
      </c>
      <c r="R296" s="350">
        <f t="shared" si="46"/>
        <v>28</v>
      </c>
      <c r="S296" s="349"/>
      <c r="T296" s="349"/>
      <c r="U296" s="349"/>
      <c r="V296" s="349"/>
      <c r="W296" s="349"/>
      <c r="X296" s="349"/>
      <c r="Y296" s="349"/>
      <c r="Z296" s="349"/>
      <c r="AA296" s="349"/>
      <c r="AB296" s="349"/>
      <c r="AC296" s="349"/>
      <c r="AD296" s="349">
        <v>28</v>
      </c>
      <c r="AE296" s="349"/>
    </row>
    <row r="297" spans="1:31" ht="14.25">
      <c r="A297" s="336" t="str">
        <f t="shared" si="38"/>
        <v>26/06</v>
      </c>
      <c r="B297" s="348">
        <v>46198</v>
      </c>
      <c r="C297" s="349">
        <v>0</v>
      </c>
      <c r="D297" s="349">
        <v>0</v>
      </c>
      <c r="E297" s="349">
        <f t="shared" si="39"/>
        <v>0</v>
      </c>
      <c r="F297" s="349">
        <f t="shared" si="39"/>
        <v>0</v>
      </c>
      <c r="G297" s="349">
        <f t="shared" si="39"/>
        <v>0</v>
      </c>
      <c r="H297" s="349">
        <f t="shared" si="39"/>
        <v>0</v>
      </c>
      <c r="I297" s="349">
        <f t="shared" si="39"/>
        <v>1</v>
      </c>
      <c r="J297" s="349">
        <f t="shared" si="39"/>
        <v>0</v>
      </c>
      <c r="K297" s="349">
        <f t="shared" si="39"/>
        <v>0</v>
      </c>
      <c r="L297" s="350">
        <f t="shared" si="40"/>
        <v>1</v>
      </c>
      <c r="M297" s="351">
        <f t="shared" si="41"/>
        <v>21472</v>
      </c>
      <c r="N297" s="254">
        <f t="shared" si="42"/>
        <v>1</v>
      </c>
      <c r="O297" s="254">
        <f t="shared" si="43"/>
        <v>0</v>
      </c>
      <c r="P297" s="350">
        <f t="shared" si="44"/>
        <v>0</v>
      </c>
      <c r="Q297" s="351">
        <f t="shared" si="45"/>
        <v>1823</v>
      </c>
      <c r="R297" s="350">
        <f t="shared" si="46"/>
        <v>1</v>
      </c>
      <c r="S297" s="349"/>
      <c r="T297" s="349"/>
      <c r="U297" s="349"/>
      <c r="V297" s="349"/>
      <c r="W297" s="349"/>
      <c r="X297" s="349"/>
      <c r="Y297" s="349"/>
      <c r="Z297" s="349"/>
      <c r="AA297" s="349">
        <v>1</v>
      </c>
      <c r="AB297" s="349"/>
      <c r="AC297" s="349"/>
      <c r="AD297" s="349"/>
      <c r="AE297" s="349"/>
    </row>
    <row r="298" spans="1:31" ht="15" thickBot="1">
      <c r="A298" s="336" t="str">
        <f t="shared" si="38"/>
        <v>26/06</v>
      </c>
      <c r="B298" s="353">
        <v>46203</v>
      </c>
      <c r="C298" s="354">
        <v>0</v>
      </c>
      <c r="D298" s="354">
        <v>0</v>
      </c>
      <c r="E298" s="354">
        <f t="shared" si="39"/>
        <v>0</v>
      </c>
      <c r="F298" s="354">
        <f t="shared" si="39"/>
        <v>0</v>
      </c>
      <c r="G298" s="354">
        <f t="shared" si="39"/>
        <v>0</v>
      </c>
      <c r="H298" s="354">
        <f t="shared" si="39"/>
        <v>0</v>
      </c>
      <c r="I298" s="354">
        <f t="shared" si="39"/>
        <v>0</v>
      </c>
      <c r="J298" s="354">
        <f t="shared" si="39"/>
        <v>0</v>
      </c>
      <c r="K298" s="354">
        <f t="shared" si="39"/>
        <v>0</v>
      </c>
      <c r="L298" s="355">
        <f t="shared" si="40"/>
        <v>0</v>
      </c>
      <c r="M298" s="356">
        <f t="shared" si="41"/>
        <v>21472</v>
      </c>
      <c r="N298" s="357">
        <f t="shared" si="42"/>
        <v>0</v>
      </c>
      <c r="O298" s="357">
        <f t="shared" si="43"/>
        <v>0</v>
      </c>
      <c r="P298" s="355">
        <f t="shared" si="44"/>
        <v>28</v>
      </c>
      <c r="Q298" s="356">
        <f t="shared" si="45"/>
        <v>1851</v>
      </c>
      <c r="R298" s="355">
        <f t="shared" si="46"/>
        <v>28</v>
      </c>
      <c r="S298" s="354"/>
      <c r="T298" s="354"/>
      <c r="U298" s="354"/>
      <c r="V298" s="354"/>
      <c r="W298" s="354"/>
      <c r="X298" s="354"/>
      <c r="Y298" s="354"/>
      <c r="Z298" s="354"/>
      <c r="AA298" s="354"/>
      <c r="AB298" s="354"/>
      <c r="AC298" s="354"/>
      <c r="AD298" s="354">
        <v>28</v>
      </c>
      <c r="AE298" s="354"/>
    </row>
    <row r="299" spans="1:31" ht="15" thickTop="1">
      <c r="A299" s="336" t="str">
        <f t="shared" si="38"/>
        <v>26/07</v>
      </c>
      <c r="B299" s="348">
        <v>46204</v>
      </c>
      <c r="C299" s="349">
        <v>0</v>
      </c>
      <c r="D299" s="349">
        <v>0</v>
      </c>
      <c r="E299" s="349">
        <f t="shared" si="39"/>
        <v>2</v>
      </c>
      <c r="F299" s="349">
        <f t="shared" si="39"/>
        <v>0</v>
      </c>
      <c r="G299" s="349">
        <f t="shared" si="39"/>
        <v>0</v>
      </c>
      <c r="H299" s="349">
        <f t="shared" si="39"/>
        <v>0</v>
      </c>
      <c r="I299" s="349">
        <f t="shared" si="39"/>
        <v>4</v>
      </c>
      <c r="J299" s="349">
        <f t="shared" si="39"/>
        <v>0</v>
      </c>
      <c r="K299" s="349">
        <f t="shared" si="39"/>
        <v>0</v>
      </c>
      <c r="L299" s="350">
        <f t="shared" si="40"/>
        <v>6</v>
      </c>
      <c r="M299" s="351">
        <f t="shared" si="41"/>
        <v>21478</v>
      </c>
      <c r="N299" s="254">
        <f t="shared" si="42"/>
        <v>4</v>
      </c>
      <c r="O299" s="254">
        <f t="shared" si="43"/>
        <v>2</v>
      </c>
      <c r="P299" s="350">
        <f t="shared" si="44"/>
        <v>0</v>
      </c>
      <c r="Q299" s="351">
        <f t="shared" si="45"/>
        <v>1851</v>
      </c>
      <c r="R299" s="350">
        <f t="shared" si="46"/>
        <v>6</v>
      </c>
      <c r="S299" s="349"/>
      <c r="T299" s="349">
        <v>2</v>
      </c>
      <c r="U299" s="349"/>
      <c r="V299" s="349"/>
      <c r="W299" s="349"/>
      <c r="X299" s="349"/>
      <c r="Y299" s="349"/>
      <c r="Z299" s="349"/>
      <c r="AA299" s="349">
        <v>4</v>
      </c>
      <c r="AB299" s="349"/>
      <c r="AC299" s="349"/>
      <c r="AD299" s="349"/>
      <c r="AE299" s="349"/>
    </row>
    <row r="300" spans="1:31" ht="14.25">
      <c r="A300" s="336" t="str">
        <f t="shared" si="38"/>
        <v>26/07</v>
      </c>
      <c r="B300" s="348">
        <v>46210</v>
      </c>
      <c r="C300" s="349">
        <v>0</v>
      </c>
      <c r="D300" s="349">
        <v>0</v>
      </c>
      <c r="E300" s="349">
        <f t="shared" si="39"/>
        <v>0</v>
      </c>
      <c r="F300" s="349">
        <f t="shared" si="39"/>
        <v>0</v>
      </c>
      <c r="G300" s="349">
        <f t="shared" si="39"/>
        <v>0</v>
      </c>
      <c r="H300" s="349">
        <f t="shared" si="39"/>
        <v>0</v>
      </c>
      <c r="I300" s="349">
        <f t="shared" si="39"/>
        <v>0</v>
      </c>
      <c r="J300" s="349">
        <f t="shared" si="39"/>
        <v>0</v>
      </c>
      <c r="K300" s="349">
        <f t="shared" si="39"/>
        <v>0</v>
      </c>
      <c r="L300" s="350">
        <f t="shared" si="40"/>
        <v>0</v>
      </c>
      <c r="M300" s="351">
        <f t="shared" si="41"/>
        <v>21478</v>
      </c>
      <c r="N300" s="254">
        <f t="shared" si="42"/>
        <v>0</v>
      </c>
      <c r="O300" s="254">
        <f t="shared" si="43"/>
        <v>0</v>
      </c>
      <c r="P300" s="350">
        <f t="shared" si="44"/>
        <v>27</v>
      </c>
      <c r="Q300" s="351">
        <f t="shared" si="45"/>
        <v>1878</v>
      </c>
      <c r="R300" s="350">
        <f t="shared" si="46"/>
        <v>27</v>
      </c>
      <c r="S300" s="349"/>
      <c r="T300" s="349"/>
      <c r="U300" s="349"/>
      <c r="V300" s="349"/>
      <c r="W300" s="349"/>
      <c r="X300" s="349"/>
      <c r="Y300" s="349"/>
      <c r="Z300" s="349"/>
      <c r="AA300" s="349"/>
      <c r="AB300" s="349"/>
      <c r="AC300" s="349"/>
      <c r="AD300" s="349">
        <v>27</v>
      </c>
      <c r="AE300" s="349"/>
    </row>
    <row r="301" spans="1:31" ht="14.25">
      <c r="A301" s="336" t="str">
        <f t="shared" si="38"/>
        <v>26/07</v>
      </c>
      <c r="B301" s="348">
        <v>46212</v>
      </c>
      <c r="C301" s="349">
        <v>0</v>
      </c>
      <c r="D301" s="349">
        <v>0</v>
      </c>
      <c r="E301" s="349">
        <f t="shared" si="39"/>
        <v>0</v>
      </c>
      <c r="F301" s="349">
        <f t="shared" si="39"/>
        <v>0</v>
      </c>
      <c r="G301" s="349">
        <f t="shared" si="39"/>
        <v>0</v>
      </c>
      <c r="H301" s="349">
        <f t="shared" si="39"/>
        <v>0</v>
      </c>
      <c r="I301" s="349">
        <f t="shared" si="39"/>
        <v>1</v>
      </c>
      <c r="J301" s="349">
        <f t="shared" si="39"/>
        <v>0</v>
      </c>
      <c r="K301" s="349">
        <f t="shared" si="39"/>
        <v>0</v>
      </c>
      <c r="L301" s="350">
        <f t="shared" si="40"/>
        <v>1</v>
      </c>
      <c r="M301" s="351">
        <f t="shared" si="41"/>
        <v>21479</v>
      </c>
      <c r="N301" s="254">
        <f t="shared" si="42"/>
        <v>1</v>
      </c>
      <c r="O301" s="254">
        <f t="shared" si="43"/>
        <v>0</v>
      </c>
      <c r="P301" s="350">
        <f t="shared" si="44"/>
        <v>0</v>
      </c>
      <c r="Q301" s="351">
        <f t="shared" si="45"/>
        <v>1878</v>
      </c>
      <c r="R301" s="350">
        <f t="shared" si="46"/>
        <v>1</v>
      </c>
      <c r="S301" s="349"/>
      <c r="T301" s="349"/>
      <c r="U301" s="349"/>
      <c r="V301" s="349"/>
      <c r="W301" s="349"/>
      <c r="X301" s="349"/>
      <c r="Y301" s="349"/>
      <c r="Z301" s="349"/>
      <c r="AA301" s="349">
        <v>1</v>
      </c>
      <c r="AB301" s="349"/>
      <c r="AC301" s="349"/>
      <c r="AD301" s="349"/>
      <c r="AE301" s="349"/>
    </row>
    <row r="302" spans="1:31" ht="14.25">
      <c r="A302" s="336" t="str">
        <f t="shared" si="38"/>
        <v>26/07</v>
      </c>
      <c r="B302" s="348">
        <v>46216</v>
      </c>
      <c r="C302" s="349">
        <v>0</v>
      </c>
      <c r="D302" s="349">
        <v>0</v>
      </c>
      <c r="E302" s="349">
        <f t="shared" si="39"/>
        <v>0</v>
      </c>
      <c r="F302" s="349">
        <f t="shared" si="39"/>
        <v>0</v>
      </c>
      <c r="G302" s="349">
        <f t="shared" si="39"/>
        <v>0</v>
      </c>
      <c r="H302" s="349">
        <f t="shared" si="39"/>
        <v>0</v>
      </c>
      <c r="I302" s="349">
        <f t="shared" si="39"/>
        <v>0</v>
      </c>
      <c r="J302" s="349">
        <f t="shared" si="39"/>
        <v>0</v>
      </c>
      <c r="K302" s="349">
        <f t="shared" si="39"/>
        <v>0</v>
      </c>
      <c r="L302" s="350">
        <f t="shared" si="40"/>
        <v>0</v>
      </c>
      <c r="M302" s="351">
        <f t="shared" si="41"/>
        <v>21479</v>
      </c>
      <c r="N302" s="254">
        <f t="shared" si="42"/>
        <v>0</v>
      </c>
      <c r="O302" s="254">
        <f t="shared" si="43"/>
        <v>0</v>
      </c>
      <c r="P302" s="350">
        <f t="shared" si="44"/>
        <v>27</v>
      </c>
      <c r="Q302" s="351">
        <f t="shared" si="45"/>
        <v>1905</v>
      </c>
      <c r="R302" s="350">
        <f t="shared" si="46"/>
        <v>27</v>
      </c>
      <c r="S302" s="349"/>
      <c r="T302" s="349"/>
      <c r="U302" s="349"/>
      <c r="V302" s="349"/>
      <c r="W302" s="349"/>
      <c r="X302" s="349"/>
      <c r="Y302" s="349"/>
      <c r="Z302" s="349"/>
      <c r="AA302" s="349"/>
      <c r="AB302" s="349"/>
      <c r="AC302" s="349"/>
      <c r="AD302" s="349">
        <v>27</v>
      </c>
      <c r="AE302" s="349"/>
    </row>
    <row r="303" spans="1:31" ht="15" thickBot="1">
      <c r="A303" s="336" t="str">
        <f t="shared" si="38"/>
        <v>26/07</v>
      </c>
      <c r="B303" s="353">
        <v>46231</v>
      </c>
      <c r="C303" s="354">
        <v>0</v>
      </c>
      <c r="D303" s="354">
        <v>0</v>
      </c>
      <c r="E303" s="354">
        <f t="shared" si="39"/>
        <v>0</v>
      </c>
      <c r="F303" s="354">
        <f t="shared" si="39"/>
        <v>0</v>
      </c>
      <c r="G303" s="354">
        <f t="shared" si="39"/>
        <v>0</v>
      </c>
      <c r="H303" s="354">
        <f t="shared" si="39"/>
        <v>0</v>
      </c>
      <c r="I303" s="354">
        <f t="shared" si="39"/>
        <v>0</v>
      </c>
      <c r="J303" s="354">
        <f t="shared" si="39"/>
        <v>0</v>
      </c>
      <c r="K303" s="354">
        <f t="shared" si="39"/>
        <v>0</v>
      </c>
      <c r="L303" s="355">
        <f t="shared" si="40"/>
        <v>0</v>
      </c>
      <c r="M303" s="356">
        <f t="shared" si="41"/>
        <v>21479</v>
      </c>
      <c r="N303" s="357">
        <f t="shared" si="42"/>
        <v>0</v>
      </c>
      <c r="O303" s="357">
        <f t="shared" si="43"/>
        <v>0</v>
      </c>
      <c r="P303" s="355">
        <f t="shared" si="44"/>
        <v>37</v>
      </c>
      <c r="Q303" s="356">
        <f t="shared" si="45"/>
        <v>1942</v>
      </c>
      <c r="R303" s="355">
        <f t="shared" si="46"/>
        <v>37</v>
      </c>
      <c r="S303" s="354"/>
      <c r="T303" s="354"/>
      <c r="U303" s="354"/>
      <c r="V303" s="354"/>
      <c r="W303" s="354"/>
      <c r="X303" s="354"/>
      <c r="Y303" s="354"/>
      <c r="Z303" s="354"/>
      <c r="AA303" s="354"/>
      <c r="AB303" s="354"/>
      <c r="AC303" s="354"/>
      <c r="AD303" s="354">
        <v>37</v>
      </c>
      <c r="AE303" s="354"/>
    </row>
    <row r="304" spans="1:31" ht="15" thickTop="1">
      <c r="A304" s="336" t="str">
        <f t="shared" si="38"/>
        <v>26/08</v>
      </c>
      <c r="B304" s="348">
        <v>46237</v>
      </c>
      <c r="C304" s="349">
        <v>0</v>
      </c>
      <c r="D304" s="349">
        <v>0</v>
      </c>
      <c r="E304" s="349">
        <f t="shared" si="39"/>
        <v>9</v>
      </c>
      <c r="F304" s="349">
        <f t="shared" si="39"/>
        <v>0</v>
      </c>
      <c r="G304" s="349">
        <f t="shared" si="39"/>
        <v>0</v>
      </c>
      <c r="H304" s="349">
        <f t="shared" si="39"/>
        <v>6</v>
      </c>
      <c r="I304" s="349">
        <f t="shared" si="39"/>
        <v>12</v>
      </c>
      <c r="J304" s="349">
        <f t="shared" si="39"/>
        <v>0</v>
      </c>
      <c r="K304" s="349">
        <f t="shared" si="39"/>
        <v>8</v>
      </c>
      <c r="L304" s="350">
        <f t="shared" si="40"/>
        <v>35</v>
      </c>
      <c r="M304" s="351">
        <f t="shared" si="41"/>
        <v>21514</v>
      </c>
      <c r="N304" s="254">
        <f t="shared" si="42"/>
        <v>26</v>
      </c>
      <c r="O304" s="254">
        <f t="shared" si="43"/>
        <v>9</v>
      </c>
      <c r="P304" s="350">
        <f t="shared" si="44"/>
        <v>0</v>
      </c>
      <c r="Q304" s="351">
        <f t="shared" si="45"/>
        <v>1942</v>
      </c>
      <c r="R304" s="350">
        <f t="shared" si="46"/>
        <v>35</v>
      </c>
      <c r="S304" s="349"/>
      <c r="T304" s="349">
        <v>9</v>
      </c>
      <c r="U304" s="349"/>
      <c r="V304" s="349"/>
      <c r="W304" s="349"/>
      <c r="X304" s="349"/>
      <c r="Y304" s="349">
        <v>7</v>
      </c>
      <c r="Z304" s="349">
        <v>6</v>
      </c>
      <c r="AA304" s="349">
        <v>5</v>
      </c>
      <c r="AB304" s="349"/>
      <c r="AC304" s="349">
        <v>8</v>
      </c>
      <c r="AD304" s="349"/>
      <c r="AE304" s="349"/>
    </row>
    <row r="305" spans="1:31" ht="14.25">
      <c r="A305" s="336" t="str">
        <f t="shared" si="38"/>
        <v>26/08</v>
      </c>
      <c r="B305" s="348">
        <v>46238</v>
      </c>
      <c r="C305" s="349">
        <v>0</v>
      </c>
      <c r="D305" s="349">
        <v>0</v>
      </c>
      <c r="E305" s="349">
        <f t="shared" ref="E305:K325" si="47">SUMIFS($S305:$AE305,$S$210:$AE$210,E$208)</f>
        <v>0</v>
      </c>
      <c r="F305" s="349">
        <f t="shared" si="47"/>
        <v>0</v>
      </c>
      <c r="G305" s="349">
        <f t="shared" si="47"/>
        <v>0</v>
      </c>
      <c r="H305" s="349">
        <f t="shared" si="47"/>
        <v>0</v>
      </c>
      <c r="I305" s="349">
        <f t="shared" si="47"/>
        <v>0</v>
      </c>
      <c r="J305" s="349">
        <f t="shared" si="47"/>
        <v>0</v>
      </c>
      <c r="K305" s="349">
        <f t="shared" si="47"/>
        <v>0</v>
      </c>
      <c r="L305" s="350">
        <f t="shared" si="40"/>
        <v>0</v>
      </c>
      <c r="M305" s="351">
        <f t="shared" si="41"/>
        <v>21514</v>
      </c>
      <c r="N305" s="254">
        <f t="shared" si="42"/>
        <v>0</v>
      </c>
      <c r="O305" s="254">
        <f t="shared" si="43"/>
        <v>0</v>
      </c>
      <c r="P305" s="350">
        <f t="shared" si="44"/>
        <v>37</v>
      </c>
      <c r="Q305" s="351">
        <f t="shared" si="45"/>
        <v>1979</v>
      </c>
      <c r="R305" s="350">
        <f t="shared" si="46"/>
        <v>37</v>
      </c>
      <c r="S305" s="349"/>
      <c r="T305" s="349"/>
      <c r="U305" s="349"/>
      <c r="V305" s="349"/>
      <c r="W305" s="349"/>
      <c r="X305" s="349"/>
      <c r="Y305" s="349"/>
      <c r="Z305" s="349"/>
      <c r="AA305" s="349"/>
      <c r="AB305" s="349"/>
      <c r="AC305" s="349"/>
      <c r="AD305" s="349">
        <v>37</v>
      </c>
      <c r="AE305" s="349"/>
    </row>
    <row r="306" spans="1:31" ht="14.25">
      <c r="A306" s="336" t="str">
        <f t="shared" si="38"/>
        <v>26/08</v>
      </c>
      <c r="B306" s="348">
        <v>46252</v>
      </c>
      <c r="C306" s="349">
        <v>0</v>
      </c>
      <c r="D306" s="349">
        <v>0</v>
      </c>
      <c r="E306" s="349">
        <f t="shared" si="47"/>
        <v>0</v>
      </c>
      <c r="F306" s="349">
        <f t="shared" si="47"/>
        <v>0</v>
      </c>
      <c r="G306" s="349">
        <f t="shared" si="47"/>
        <v>0</v>
      </c>
      <c r="H306" s="349">
        <f t="shared" si="47"/>
        <v>0</v>
      </c>
      <c r="I306" s="349">
        <f t="shared" si="47"/>
        <v>0</v>
      </c>
      <c r="J306" s="349">
        <f t="shared" si="47"/>
        <v>0</v>
      </c>
      <c r="K306" s="349">
        <f t="shared" si="47"/>
        <v>0</v>
      </c>
      <c r="L306" s="350">
        <f t="shared" si="40"/>
        <v>0</v>
      </c>
      <c r="M306" s="351">
        <f t="shared" si="41"/>
        <v>21514</v>
      </c>
      <c r="N306" s="254">
        <f t="shared" si="42"/>
        <v>0</v>
      </c>
      <c r="O306" s="254">
        <f t="shared" si="43"/>
        <v>0</v>
      </c>
      <c r="P306" s="350">
        <f t="shared" si="44"/>
        <v>36</v>
      </c>
      <c r="Q306" s="351">
        <f t="shared" si="45"/>
        <v>2015</v>
      </c>
      <c r="R306" s="350">
        <f t="shared" si="46"/>
        <v>36</v>
      </c>
      <c r="S306" s="349"/>
      <c r="T306" s="349"/>
      <c r="U306" s="349"/>
      <c r="V306" s="349"/>
      <c r="W306" s="349"/>
      <c r="X306" s="349"/>
      <c r="Y306" s="349"/>
      <c r="Z306" s="349"/>
      <c r="AA306" s="349"/>
      <c r="AB306" s="349"/>
      <c r="AC306" s="349"/>
      <c r="AD306" s="349">
        <v>36</v>
      </c>
      <c r="AE306" s="349"/>
    </row>
    <row r="307" spans="1:31" ht="15" thickBot="1">
      <c r="A307" s="336" t="str">
        <f t="shared" si="38"/>
        <v>26/08</v>
      </c>
      <c r="B307" s="353">
        <v>46259</v>
      </c>
      <c r="C307" s="354">
        <v>0</v>
      </c>
      <c r="D307" s="354">
        <v>0</v>
      </c>
      <c r="E307" s="354">
        <f t="shared" si="47"/>
        <v>0</v>
      </c>
      <c r="F307" s="354">
        <f t="shared" si="47"/>
        <v>0</v>
      </c>
      <c r="G307" s="354">
        <f t="shared" si="47"/>
        <v>0</v>
      </c>
      <c r="H307" s="354">
        <f t="shared" si="47"/>
        <v>0</v>
      </c>
      <c r="I307" s="354">
        <f t="shared" si="47"/>
        <v>0</v>
      </c>
      <c r="J307" s="354">
        <f t="shared" si="47"/>
        <v>0</v>
      </c>
      <c r="K307" s="354">
        <f t="shared" si="47"/>
        <v>0</v>
      </c>
      <c r="L307" s="355">
        <f t="shared" si="40"/>
        <v>0</v>
      </c>
      <c r="M307" s="356">
        <f t="shared" si="41"/>
        <v>21514</v>
      </c>
      <c r="N307" s="357">
        <f t="shared" si="42"/>
        <v>0</v>
      </c>
      <c r="O307" s="357">
        <f t="shared" si="43"/>
        <v>0</v>
      </c>
      <c r="P307" s="355">
        <f t="shared" si="44"/>
        <v>90</v>
      </c>
      <c r="Q307" s="356">
        <f t="shared" si="45"/>
        <v>2105</v>
      </c>
      <c r="R307" s="355">
        <f t="shared" si="46"/>
        <v>90</v>
      </c>
      <c r="S307" s="354"/>
      <c r="T307" s="354"/>
      <c r="U307" s="354"/>
      <c r="V307" s="354"/>
      <c r="W307" s="354"/>
      <c r="X307" s="354"/>
      <c r="Y307" s="354"/>
      <c r="Z307" s="354"/>
      <c r="AA307" s="354"/>
      <c r="AB307" s="354"/>
      <c r="AC307" s="354"/>
      <c r="AD307" s="354">
        <v>90</v>
      </c>
      <c r="AE307" s="354"/>
    </row>
    <row r="308" spans="1:31" ht="15" thickTop="1">
      <c r="A308" s="336" t="str">
        <f t="shared" si="38"/>
        <v>26/09</v>
      </c>
      <c r="B308" s="348">
        <v>46266</v>
      </c>
      <c r="C308" s="349">
        <v>0</v>
      </c>
      <c r="D308" s="349">
        <v>0</v>
      </c>
      <c r="E308" s="349">
        <f t="shared" si="47"/>
        <v>8</v>
      </c>
      <c r="F308" s="349">
        <f t="shared" si="47"/>
        <v>0</v>
      </c>
      <c r="G308" s="349">
        <f t="shared" si="47"/>
        <v>0</v>
      </c>
      <c r="H308" s="349">
        <f t="shared" si="47"/>
        <v>8</v>
      </c>
      <c r="I308" s="349">
        <f t="shared" si="47"/>
        <v>4</v>
      </c>
      <c r="J308" s="349">
        <f t="shared" si="47"/>
        <v>0</v>
      </c>
      <c r="K308" s="349">
        <f t="shared" si="47"/>
        <v>0</v>
      </c>
      <c r="L308" s="350">
        <f t="shared" si="40"/>
        <v>20</v>
      </c>
      <c r="M308" s="351">
        <f t="shared" si="41"/>
        <v>21534</v>
      </c>
      <c r="N308" s="254">
        <f t="shared" si="42"/>
        <v>12</v>
      </c>
      <c r="O308" s="254">
        <f t="shared" si="43"/>
        <v>8</v>
      </c>
      <c r="P308" s="350">
        <f t="shared" si="44"/>
        <v>41</v>
      </c>
      <c r="Q308" s="351">
        <f t="shared" si="45"/>
        <v>2146</v>
      </c>
      <c r="R308" s="350">
        <f t="shared" si="46"/>
        <v>61</v>
      </c>
      <c r="S308" s="349">
        <v>2</v>
      </c>
      <c r="T308" s="349">
        <v>8</v>
      </c>
      <c r="U308" s="349">
        <v>6</v>
      </c>
      <c r="V308" s="349"/>
      <c r="W308" s="349"/>
      <c r="X308" s="349"/>
      <c r="Y308" s="349"/>
      <c r="Z308" s="349"/>
      <c r="AA308" s="349">
        <v>4</v>
      </c>
      <c r="AB308" s="349"/>
      <c r="AC308" s="349"/>
      <c r="AD308" s="349"/>
      <c r="AE308" s="349">
        <v>41</v>
      </c>
    </row>
    <row r="309" spans="1:31" ht="15" thickBot="1">
      <c r="A309" s="336" t="str">
        <f t="shared" si="38"/>
        <v>26/09</v>
      </c>
      <c r="B309" s="353">
        <v>46282</v>
      </c>
      <c r="C309" s="354">
        <v>0</v>
      </c>
      <c r="D309" s="354">
        <v>0</v>
      </c>
      <c r="E309" s="354">
        <f t="shared" si="47"/>
        <v>0</v>
      </c>
      <c r="F309" s="354">
        <f t="shared" si="47"/>
        <v>0</v>
      </c>
      <c r="G309" s="354">
        <f t="shared" si="47"/>
        <v>0</v>
      </c>
      <c r="H309" s="354">
        <f t="shared" si="47"/>
        <v>0</v>
      </c>
      <c r="I309" s="354">
        <f t="shared" si="47"/>
        <v>0</v>
      </c>
      <c r="J309" s="354">
        <f t="shared" si="47"/>
        <v>0</v>
      </c>
      <c r="K309" s="354">
        <f t="shared" si="47"/>
        <v>0</v>
      </c>
      <c r="L309" s="355">
        <f t="shared" si="40"/>
        <v>0</v>
      </c>
      <c r="M309" s="356">
        <f t="shared" si="41"/>
        <v>21534</v>
      </c>
      <c r="N309" s="357">
        <f t="shared" si="42"/>
        <v>0</v>
      </c>
      <c r="O309" s="357">
        <f t="shared" si="43"/>
        <v>0</v>
      </c>
      <c r="P309" s="355">
        <f t="shared" si="44"/>
        <v>90</v>
      </c>
      <c r="Q309" s="356">
        <f t="shared" si="45"/>
        <v>2236</v>
      </c>
      <c r="R309" s="355">
        <f t="shared" si="46"/>
        <v>90</v>
      </c>
      <c r="S309" s="354"/>
      <c r="T309" s="354"/>
      <c r="U309" s="354"/>
      <c r="V309" s="354"/>
      <c r="W309" s="354"/>
      <c r="X309" s="354"/>
      <c r="Y309" s="354"/>
      <c r="Z309" s="354"/>
      <c r="AA309" s="354"/>
      <c r="AB309" s="354"/>
      <c r="AC309" s="354"/>
      <c r="AD309" s="354">
        <v>90</v>
      </c>
      <c r="AE309" s="354"/>
    </row>
    <row r="310" spans="1:31" ht="15" thickTop="1">
      <c r="A310" s="336" t="str">
        <f t="shared" si="38"/>
        <v>26/10</v>
      </c>
      <c r="B310" s="348">
        <v>46296</v>
      </c>
      <c r="C310" s="349">
        <v>0</v>
      </c>
      <c r="D310" s="349">
        <v>0</v>
      </c>
      <c r="E310" s="349">
        <f t="shared" si="47"/>
        <v>39</v>
      </c>
      <c r="F310" s="349">
        <f t="shared" si="47"/>
        <v>0</v>
      </c>
      <c r="G310" s="349">
        <f t="shared" si="47"/>
        <v>0</v>
      </c>
      <c r="H310" s="349">
        <f t="shared" si="47"/>
        <v>0</v>
      </c>
      <c r="I310" s="349">
        <f t="shared" si="47"/>
        <v>0</v>
      </c>
      <c r="J310" s="349">
        <f t="shared" si="47"/>
        <v>0</v>
      </c>
      <c r="K310" s="349">
        <f t="shared" si="47"/>
        <v>0</v>
      </c>
      <c r="L310" s="350">
        <f t="shared" si="40"/>
        <v>39</v>
      </c>
      <c r="M310" s="351">
        <f t="shared" si="41"/>
        <v>21573</v>
      </c>
      <c r="N310" s="254">
        <f t="shared" si="42"/>
        <v>0</v>
      </c>
      <c r="O310" s="254">
        <f t="shared" si="43"/>
        <v>39</v>
      </c>
      <c r="P310" s="350">
        <f t="shared" si="44"/>
        <v>0</v>
      </c>
      <c r="Q310" s="351">
        <f t="shared" si="45"/>
        <v>2236</v>
      </c>
      <c r="R310" s="350">
        <f t="shared" si="46"/>
        <v>39</v>
      </c>
      <c r="S310" s="349"/>
      <c r="T310" s="349">
        <v>17</v>
      </c>
      <c r="U310" s="349"/>
      <c r="V310" s="349">
        <v>10</v>
      </c>
      <c r="W310" s="349"/>
      <c r="X310" s="349"/>
      <c r="Y310" s="349"/>
      <c r="Z310" s="349"/>
      <c r="AA310" s="349"/>
      <c r="AB310" s="349">
        <v>12</v>
      </c>
      <c r="AC310" s="349"/>
      <c r="AD310" s="349"/>
      <c r="AE310" s="349"/>
    </row>
    <row r="311" spans="1:31" ht="15" thickBot="1">
      <c r="A311" s="336" t="str">
        <f t="shared" si="38"/>
        <v>26/10</v>
      </c>
      <c r="B311" s="353">
        <v>46318</v>
      </c>
      <c r="C311" s="354">
        <v>0</v>
      </c>
      <c r="D311" s="354">
        <v>0</v>
      </c>
      <c r="E311" s="354">
        <f t="shared" si="47"/>
        <v>0</v>
      </c>
      <c r="F311" s="354">
        <f t="shared" si="47"/>
        <v>0</v>
      </c>
      <c r="G311" s="354">
        <f t="shared" si="47"/>
        <v>0</v>
      </c>
      <c r="H311" s="354">
        <f t="shared" si="47"/>
        <v>0</v>
      </c>
      <c r="I311" s="354">
        <f t="shared" si="47"/>
        <v>0</v>
      </c>
      <c r="J311" s="354">
        <f t="shared" si="47"/>
        <v>0</v>
      </c>
      <c r="K311" s="354">
        <f t="shared" si="47"/>
        <v>0</v>
      </c>
      <c r="L311" s="355">
        <f t="shared" si="40"/>
        <v>0</v>
      </c>
      <c r="M311" s="356">
        <f t="shared" si="41"/>
        <v>21573</v>
      </c>
      <c r="N311" s="357">
        <f t="shared" si="42"/>
        <v>0</v>
      </c>
      <c r="O311" s="357">
        <f t="shared" si="43"/>
        <v>0</v>
      </c>
      <c r="P311" s="355">
        <f t="shared" si="44"/>
        <v>90</v>
      </c>
      <c r="Q311" s="356">
        <f t="shared" si="45"/>
        <v>2326</v>
      </c>
      <c r="R311" s="355">
        <f t="shared" si="46"/>
        <v>90</v>
      </c>
      <c r="S311" s="354"/>
      <c r="T311" s="354"/>
      <c r="U311" s="354"/>
      <c r="V311" s="354"/>
      <c r="W311" s="354"/>
      <c r="X311" s="354"/>
      <c r="Y311" s="354"/>
      <c r="Z311" s="354"/>
      <c r="AA311" s="354"/>
      <c r="AB311" s="354"/>
      <c r="AC311" s="354"/>
      <c r="AD311" s="354">
        <v>90</v>
      </c>
      <c r="AE311" s="354"/>
    </row>
    <row r="312" spans="1:31" ht="15" thickTop="1">
      <c r="A312" s="336" t="str">
        <f t="shared" si="38"/>
        <v>26/11</v>
      </c>
      <c r="B312" s="348">
        <v>46328</v>
      </c>
      <c r="C312" s="349">
        <v>0</v>
      </c>
      <c r="D312" s="349">
        <v>0</v>
      </c>
      <c r="E312" s="349">
        <f t="shared" si="47"/>
        <v>0</v>
      </c>
      <c r="F312" s="349">
        <f t="shared" si="47"/>
        <v>0</v>
      </c>
      <c r="G312" s="349">
        <f t="shared" si="47"/>
        <v>0</v>
      </c>
      <c r="H312" s="349">
        <f t="shared" si="47"/>
        <v>0</v>
      </c>
      <c r="I312" s="349">
        <f t="shared" si="47"/>
        <v>0</v>
      </c>
      <c r="J312" s="349">
        <f t="shared" si="47"/>
        <v>0</v>
      </c>
      <c r="K312" s="349">
        <f t="shared" si="47"/>
        <v>0</v>
      </c>
      <c r="L312" s="350">
        <f t="shared" si="40"/>
        <v>0</v>
      </c>
      <c r="M312" s="351">
        <f t="shared" si="41"/>
        <v>21573</v>
      </c>
      <c r="N312" s="254">
        <f t="shared" si="42"/>
        <v>0</v>
      </c>
      <c r="O312" s="254">
        <f t="shared" si="43"/>
        <v>0</v>
      </c>
      <c r="P312" s="350">
        <f t="shared" si="44"/>
        <v>50</v>
      </c>
      <c r="Q312" s="351">
        <f t="shared" si="45"/>
        <v>2376</v>
      </c>
      <c r="R312" s="350">
        <f t="shared" si="46"/>
        <v>50</v>
      </c>
      <c r="S312" s="349"/>
      <c r="T312" s="349"/>
      <c r="U312" s="349"/>
      <c r="V312" s="349"/>
      <c r="W312" s="349"/>
      <c r="X312" s="349"/>
      <c r="Y312" s="349"/>
      <c r="Z312" s="349"/>
      <c r="AA312" s="349"/>
      <c r="AB312" s="349"/>
      <c r="AC312" s="349"/>
      <c r="AD312" s="349"/>
      <c r="AE312" s="349">
        <v>50</v>
      </c>
    </row>
    <row r="313" spans="1:31" ht="14.25">
      <c r="A313" s="336" t="str">
        <f t="shared" si="38"/>
        <v>26/11</v>
      </c>
      <c r="B313" s="348">
        <v>46329</v>
      </c>
      <c r="C313" s="349">
        <v>0</v>
      </c>
      <c r="D313" s="349">
        <v>0</v>
      </c>
      <c r="E313" s="349">
        <f t="shared" si="47"/>
        <v>0</v>
      </c>
      <c r="F313" s="349">
        <f t="shared" si="47"/>
        <v>0</v>
      </c>
      <c r="G313" s="349">
        <f t="shared" si="47"/>
        <v>0</v>
      </c>
      <c r="H313" s="349">
        <f t="shared" si="47"/>
        <v>4</v>
      </c>
      <c r="I313" s="349">
        <f t="shared" si="47"/>
        <v>0</v>
      </c>
      <c r="J313" s="349">
        <f t="shared" si="47"/>
        <v>0</v>
      </c>
      <c r="K313" s="349">
        <f t="shared" si="47"/>
        <v>0</v>
      </c>
      <c r="L313" s="350">
        <f t="shared" si="40"/>
        <v>4</v>
      </c>
      <c r="M313" s="351">
        <f t="shared" si="41"/>
        <v>21577</v>
      </c>
      <c r="N313" s="254">
        <f t="shared" si="42"/>
        <v>4</v>
      </c>
      <c r="O313" s="254">
        <f t="shared" si="43"/>
        <v>0</v>
      </c>
      <c r="P313" s="350">
        <f t="shared" si="44"/>
        <v>0</v>
      </c>
      <c r="Q313" s="351">
        <f t="shared" si="45"/>
        <v>2376</v>
      </c>
      <c r="R313" s="350">
        <f t="shared" si="46"/>
        <v>4</v>
      </c>
      <c r="S313" s="349">
        <v>4</v>
      </c>
      <c r="T313" s="349"/>
      <c r="U313" s="349"/>
      <c r="V313" s="349"/>
      <c r="W313" s="349"/>
      <c r="X313" s="349"/>
      <c r="Y313" s="349"/>
      <c r="Z313" s="349"/>
      <c r="AA313" s="349"/>
      <c r="AB313" s="349"/>
      <c r="AC313" s="349"/>
      <c r="AD313" s="349"/>
      <c r="AE313" s="349"/>
    </row>
    <row r="314" spans="1:31" ht="14.25">
      <c r="A314" s="336" t="str">
        <f t="shared" si="38"/>
        <v>26/11</v>
      </c>
      <c r="B314" s="348">
        <v>46330</v>
      </c>
      <c r="C314" s="349">
        <v>0</v>
      </c>
      <c r="D314" s="349">
        <v>0</v>
      </c>
      <c r="E314" s="349">
        <f t="shared" si="47"/>
        <v>28</v>
      </c>
      <c r="F314" s="349">
        <f t="shared" si="47"/>
        <v>0</v>
      </c>
      <c r="G314" s="349">
        <f t="shared" si="47"/>
        <v>0</v>
      </c>
      <c r="H314" s="349">
        <f t="shared" si="47"/>
        <v>0</v>
      </c>
      <c r="I314" s="349">
        <f t="shared" si="47"/>
        <v>0</v>
      </c>
      <c r="J314" s="349">
        <f t="shared" si="47"/>
        <v>0</v>
      </c>
      <c r="K314" s="349">
        <f t="shared" si="47"/>
        <v>0</v>
      </c>
      <c r="L314" s="350">
        <f t="shared" si="40"/>
        <v>28</v>
      </c>
      <c r="M314" s="351">
        <f t="shared" si="41"/>
        <v>21605</v>
      </c>
      <c r="N314" s="254">
        <f t="shared" si="42"/>
        <v>0</v>
      </c>
      <c r="O314" s="254">
        <f t="shared" si="43"/>
        <v>28</v>
      </c>
      <c r="P314" s="350">
        <f t="shared" si="44"/>
        <v>0</v>
      </c>
      <c r="Q314" s="351">
        <f t="shared" si="45"/>
        <v>2376</v>
      </c>
      <c r="R314" s="350">
        <f t="shared" si="46"/>
        <v>28</v>
      </c>
      <c r="S314" s="349"/>
      <c r="T314" s="349">
        <v>18</v>
      </c>
      <c r="U314" s="349"/>
      <c r="V314" s="349">
        <v>10</v>
      </c>
      <c r="W314" s="349"/>
      <c r="X314" s="349"/>
      <c r="Y314" s="349"/>
      <c r="Z314" s="349"/>
      <c r="AA314" s="349"/>
      <c r="AB314" s="349"/>
      <c r="AC314" s="349"/>
      <c r="AD314" s="349"/>
      <c r="AE314" s="349"/>
    </row>
    <row r="315" spans="1:31" ht="15" thickBot="1">
      <c r="A315" s="336" t="str">
        <f t="shared" si="38"/>
        <v>26/11</v>
      </c>
      <c r="B315" s="353">
        <v>46350</v>
      </c>
      <c r="C315" s="354">
        <v>0</v>
      </c>
      <c r="D315" s="354">
        <v>0</v>
      </c>
      <c r="E315" s="354">
        <f t="shared" si="47"/>
        <v>0</v>
      </c>
      <c r="F315" s="354">
        <f t="shared" si="47"/>
        <v>0</v>
      </c>
      <c r="G315" s="354">
        <f t="shared" si="47"/>
        <v>0</v>
      </c>
      <c r="H315" s="354">
        <f t="shared" si="47"/>
        <v>0</v>
      </c>
      <c r="I315" s="354">
        <f t="shared" si="47"/>
        <v>0</v>
      </c>
      <c r="J315" s="354">
        <f t="shared" si="47"/>
        <v>0</v>
      </c>
      <c r="K315" s="354">
        <f t="shared" si="47"/>
        <v>0</v>
      </c>
      <c r="L315" s="355">
        <f t="shared" si="40"/>
        <v>0</v>
      </c>
      <c r="M315" s="356">
        <f t="shared" si="41"/>
        <v>21605</v>
      </c>
      <c r="N315" s="357">
        <f t="shared" si="42"/>
        <v>0</v>
      </c>
      <c r="O315" s="357">
        <f t="shared" si="43"/>
        <v>0</v>
      </c>
      <c r="P315" s="355">
        <f t="shared" si="44"/>
        <v>85</v>
      </c>
      <c r="Q315" s="356">
        <f t="shared" si="45"/>
        <v>2461</v>
      </c>
      <c r="R315" s="355">
        <f t="shared" si="46"/>
        <v>85</v>
      </c>
      <c r="S315" s="354"/>
      <c r="T315" s="354"/>
      <c r="U315" s="354"/>
      <c r="V315" s="354"/>
      <c r="W315" s="354"/>
      <c r="X315" s="354"/>
      <c r="Y315" s="354"/>
      <c r="Z315" s="354"/>
      <c r="AA315" s="354"/>
      <c r="AB315" s="354"/>
      <c r="AC315" s="354"/>
      <c r="AD315" s="354">
        <v>85</v>
      </c>
      <c r="AE315" s="354"/>
    </row>
    <row r="316" spans="1:31" ht="15" thickTop="1">
      <c r="A316" s="336" t="str">
        <f t="shared" si="38"/>
        <v>26/12</v>
      </c>
      <c r="B316" s="348">
        <v>46357</v>
      </c>
      <c r="C316" s="349">
        <v>0</v>
      </c>
      <c r="D316" s="349">
        <v>0</v>
      </c>
      <c r="E316" s="349">
        <f t="shared" si="47"/>
        <v>20</v>
      </c>
      <c r="F316" s="349">
        <f t="shared" si="47"/>
        <v>0</v>
      </c>
      <c r="G316" s="349">
        <f t="shared" si="47"/>
        <v>0</v>
      </c>
      <c r="H316" s="349">
        <f t="shared" si="47"/>
        <v>6</v>
      </c>
      <c r="I316" s="349">
        <f t="shared" si="47"/>
        <v>1</v>
      </c>
      <c r="J316" s="349">
        <f t="shared" si="47"/>
        <v>0</v>
      </c>
      <c r="K316" s="349">
        <f t="shared" si="47"/>
        <v>0</v>
      </c>
      <c r="L316" s="350">
        <f t="shared" si="40"/>
        <v>27</v>
      </c>
      <c r="M316" s="351">
        <f t="shared" si="41"/>
        <v>21632</v>
      </c>
      <c r="N316" s="254">
        <f t="shared" si="42"/>
        <v>7</v>
      </c>
      <c r="O316" s="254">
        <f t="shared" si="43"/>
        <v>20</v>
      </c>
      <c r="P316" s="350">
        <f t="shared" si="44"/>
        <v>0</v>
      </c>
      <c r="Q316" s="351">
        <f t="shared" si="45"/>
        <v>2461</v>
      </c>
      <c r="R316" s="350">
        <f t="shared" si="46"/>
        <v>27</v>
      </c>
      <c r="S316" s="349">
        <v>3</v>
      </c>
      <c r="T316" s="349"/>
      <c r="U316" s="349"/>
      <c r="V316" s="349">
        <v>20</v>
      </c>
      <c r="W316" s="349"/>
      <c r="X316" s="349">
        <v>3</v>
      </c>
      <c r="Y316" s="349"/>
      <c r="Z316" s="349"/>
      <c r="AA316" s="349">
        <v>1</v>
      </c>
      <c r="AB316" s="349"/>
      <c r="AC316" s="349"/>
      <c r="AD316" s="349"/>
      <c r="AE316" s="349"/>
    </row>
    <row r="317" spans="1:31" ht="15" thickBot="1">
      <c r="A317" s="336" t="str">
        <f t="shared" si="38"/>
        <v>26/12</v>
      </c>
      <c r="B317" s="353">
        <v>46373</v>
      </c>
      <c r="C317" s="354">
        <v>0</v>
      </c>
      <c r="D317" s="354">
        <v>0</v>
      </c>
      <c r="E317" s="354">
        <f t="shared" si="47"/>
        <v>0</v>
      </c>
      <c r="F317" s="354">
        <f t="shared" si="47"/>
        <v>0</v>
      </c>
      <c r="G317" s="354">
        <f t="shared" si="47"/>
        <v>0</v>
      </c>
      <c r="H317" s="354">
        <f t="shared" si="47"/>
        <v>0</v>
      </c>
      <c r="I317" s="354">
        <f t="shared" si="47"/>
        <v>0</v>
      </c>
      <c r="J317" s="354">
        <f t="shared" si="47"/>
        <v>0</v>
      </c>
      <c r="K317" s="354">
        <f t="shared" si="47"/>
        <v>0</v>
      </c>
      <c r="L317" s="355">
        <f t="shared" si="40"/>
        <v>0</v>
      </c>
      <c r="M317" s="356">
        <f t="shared" si="41"/>
        <v>21632</v>
      </c>
      <c r="N317" s="357">
        <f t="shared" si="42"/>
        <v>0</v>
      </c>
      <c r="O317" s="357">
        <f t="shared" si="43"/>
        <v>0</v>
      </c>
      <c r="P317" s="355">
        <f t="shared" si="44"/>
        <v>75</v>
      </c>
      <c r="Q317" s="356">
        <f t="shared" si="45"/>
        <v>2536</v>
      </c>
      <c r="R317" s="355">
        <f t="shared" si="46"/>
        <v>75</v>
      </c>
      <c r="S317" s="354"/>
      <c r="T317" s="354"/>
      <c r="U317" s="354"/>
      <c r="V317" s="354"/>
      <c r="W317" s="354"/>
      <c r="X317" s="354"/>
      <c r="Y317" s="354"/>
      <c r="Z317" s="354"/>
      <c r="AA317" s="354"/>
      <c r="AB317" s="354"/>
      <c r="AC317" s="354"/>
      <c r="AD317" s="354">
        <v>75</v>
      </c>
      <c r="AE317" s="354"/>
    </row>
    <row r="318" spans="1:31" ht="15" thickTop="1">
      <c r="A318" s="336" t="str">
        <f t="shared" si="38"/>
        <v>27/01</v>
      </c>
      <c r="B318" s="348">
        <v>46388</v>
      </c>
      <c r="C318" s="349">
        <v>0</v>
      </c>
      <c r="D318" s="349">
        <v>0</v>
      </c>
      <c r="E318" s="349">
        <f t="shared" si="47"/>
        <v>0</v>
      </c>
      <c r="F318" s="349">
        <f t="shared" si="47"/>
        <v>0</v>
      </c>
      <c r="G318" s="349">
        <f t="shared" si="47"/>
        <v>0</v>
      </c>
      <c r="H318" s="349">
        <f t="shared" si="47"/>
        <v>11</v>
      </c>
      <c r="I318" s="349">
        <f t="shared" si="47"/>
        <v>0</v>
      </c>
      <c r="J318" s="349">
        <f t="shared" si="47"/>
        <v>0</v>
      </c>
      <c r="K318" s="349">
        <f t="shared" si="47"/>
        <v>0</v>
      </c>
      <c r="L318" s="350">
        <f t="shared" si="40"/>
        <v>11</v>
      </c>
      <c r="M318" s="351">
        <f t="shared" si="41"/>
        <v>21643</v>
      </c>
      <c r="N318" s="254">
        <f t="shared" si="42"/>
        <v>11</v>
      </c>
      <c r="O318" s="254">
        <f t="shared" si="43"/>
        <v>0</v>
      </c>
      <c r="P318" s="350">
        <f t="shared" si="44"/>
        <v>0</v>
      </c>
      <c r="Q318" s="351">
        <f t="shared" si="45"/>
        <v>2536</v>
      </c>
      <c r="R318" s="350">
        <f t="shared" si="46"/>
        <v>11</v>
      </c>
      <c r="S318" s="349"/>
      <c r="T318" s="349"/>
      <c r="U318" s="349"/>
      <c r="V318" s="349"/>
      <c r="W318" s="349"/>
      <c r="X318" s="349">
        <v>11</v>
      </c>
      <c r="Y318" s="349"/>
      <c r="Z318" s="349"/>
      <c r="AA318" s="349"/>
      <c r="AB318" s="349"/>
      <c r="AC318" s="349"/>
      <c r="AD318" s="349"/>
      <c r="AE318" s="349"/>
    </row>
    <row r="319" spans="1:31" ht="14.25">
      <c r="A319" s="336" t="str">
        <f t="shared" si="38"/>
        <v>27/01</v>
      </c>
      <c r="B319" s="348">
        <v>46391</v>
      </c>
      <c r="C319" s="349">
        <v>0</v>
      </c>
      <c r="D319" s="349">
        <v>0</v>
      </c>
      <c r="E319" s="349">
        <f t="shared" si="47"/>
        <v>36</v>
      </c>
      <c r="F319" s="349">
        <f t="shared" si="47"/>
        <v>0</v>
      </c>
      <c r="G319" s="349">
        <f t="shared" si="47"/>
        <v>0</v>
      </c>
      <c r="H319" s="349">
        <f t="shared" si="47"/>
        <v>35</v>
      </c>
      <c r="I319" s="349">
        <f t="shared" si="47"/>
        <v>0</v>
      </c>
      <c r="J319" s="349">
        <f t="shared" si="47"/>
        <v>0</v>
      </c>
      <c r="K319" s="349">
        <f t="shared" si="47"/>
        <v>0</v>
      </c>
      <c r="L319" s="350">
        <f t="shared" si="40"/>
        <v>71</v>
      </c>
      <c r="M319" s="351">
        <f t="shared" si="41"/>
        <v>21714</v>
      </c>
      <c r="N319" s="254">
        <f t="shared" si="42"/>
        <v>35</v>
      </c>
      <c r="O319" s="254">
        <f t="shared" si="43"/>
        <v>36</v>
      </c>
      <c r="P319" s="350">
        <f t="shared" si="44"/>
        <v>0</v>
      </c>
      <c r="Q319" s="351">
        <f t="shared" si="45"/>
        <v>2536</v>
      </c>
      <c r="R319" s="350">
        <f t="shared" si="46"/>
        <v>71</v>
      </c>
      <c r="S319" s="349">
        <v>35</v>
      </c>
      <c r="T319" s="349">
        <v>2</v>
      </c>
      <c r="U319" s="349"/>
      <c r="V319" s="349">
        <v>20</v>
      </c>
      <c r="W319" s="349"/>
      <c r="X319" s="349"/>
      <c r="Y319" s="349"/>
      <c r="Z319" s="349"/>
      <c r="AA319" s="349"/>
      <c r="AB319" s="349">
        <v>14</v>
      </c>
      <c r="AC319" s="349"/>
      <c r="AD319" s="349"/>
      <c r="AE319" s="349"/>
    </row>
    <row r="320" spans="1:31" ht="14.25">
      <c r="A320" s="336" t="str">
        <f t="shared" si="38"/>
        <v>27/01</v>
      </c>
      <c r="B320" s="348">
        <v>46392</v>
      </c>
      <c r="C320" s="349">
        <v>0</v>
      </c>
      <c r="D320" s="349">
        <v>0</v>
      </c>
      <c r="E320" s="349">
        <f t="shared" si="47"/>
        <v>0</v>
      </c>
      <c r="F320" s="349">
        <f t="shared" si="47"/>
        <v>0</v>
      </c>
      <c r="G320" s="349">
        <f t="shared" si="47"/>
        <v>0</v>
      </c>
      <c r="H320" s="349">
        <f t="shared" si="47"/>
        <v>0</v>
      </c>
      <c r="I320" s="349">
        <f t="shared" si="47"/>
        <v>1</v>
      </c>
      <c r="J320" s="349">
        <f t="shared" si="47"/>
        <v>0</v>
      </c>
      <c r="K320" s="349">
        <f t="shared" si="47"/>
        <v>0</v>
      </c>
      <c r="L320" s="350">
        <f t="shared" si="40"/>
        <v>1</v>
      </c>
      <c r="M320" s="351">
        <f t="shared" si="41"/>
        <v>21715</v>
      </c>
      <c r="N320" s="254">
        <f t="shared" si="42"/>
        <v>1</v>
      </c>
      <c r="O320" s="254">
        <f t="shared" si="43"/>
        <v>0</v>
      </c>
      <c r="P320" s="350">
        <f t="shared" si="44"/>
        <v>0</v>
      </c>
      <c r="Q320" s="351">
        <f t="shared" si="45"/>
        <v>2536</v>
      </c>
      <c r="R320" s="350">
        <f t="shared" si="46"/>
        <v>1</v>
      </c>
      <c r="S320" s="349"/>
      <c r="T320" s="349"/>
      <c r="U320" s="349"/>
      <c r="V320" s="349"/>
      <c r="W320" s="349"/>
      <c r="X320" s="349"/>
      <c r="Y320" s="349"/>
      <c r="Z320" s="349"/>
      <c r="AA320" s="349">
        <v>1</v>
      </c>
      <c r="AB320" s="349"/>
      <c r="AC320" s="349"/>
      <c r="AD320" s="349"/>
      <c r="AE320" s="349"/>
    </row>
    <row r="321" spans="1:31" ht="15" thickBot="1">
      <c r="A321" s="336" t="str">
        <f t="shared" si="38"/>
        <v>27/01</v>
      </c>
      <c r="B321" s="353">
        <v>46413</v>
      </c>
      <c r="C321" s="354">
        <v>0</v>
      </c>
      <c r="D321" s="354">
        <v>0</v>
      </c>
      <c r="E321" s="354">
        <f t="shared" si="47"/>
        <v>0</v>
      </c>
      <c r="F321" s="354">
        <f t="shared" si="47"/>
        <v>0</v>
      </c>
      <c r="G321" s="354">
        <f t="shared" si="47"/>
        <v>0</v>
      </c>
      <c r="H321" s="354">
        <f t="shared" si="47"/>
        <v>0</v>
      </c>
      <c r="I321" s="354">
        <f t="shared" si="47"/>
        <v>0</v>
      </c>
      <c r="J321" s="354">
        <f t="shared" si="47"/>
        <v>0</v>
      </c>
      <c r="K321" s="354">
        <f t="shared" si="47"/>
        <v>0</v>
      </c>
      <c r="L321" s="355">
        <f t="shared" si="40"/>
        <v>0</v>
      </c>
      <c r="M321" s="356">
        <f t="shared" si="41"/>
        <v>21715</v>
      </c>
      <c r="N321" s="357">
        <f t="shared" si="42"/>
        <v>0</v>
      </c>
      <c r="O321" s="357">
        <f t="shared" si="43"/>
        <v>0</v>
      </c>
      <c r="P321" s="355">
        <f t="shared" si="44"/>
        <v>40</v>
      </c>
      <c r="Q321" s="356">
        <f t="shared" si="45"/>
        <v>2576</v>
      </c>
      <c r="R321" s="355">
        <f t="shared" si="46"/>
        <v>40</v>
      </c>
      <c r="S321" s="354"/>
      <c r="T321" s="354"/>
      <c r="U321" s="354"/>
      <c r="V321" s="354"/>
      <c r="W321" s="354"/>
      <c r="X321" s="354"/>
      <c r="Y321" s="354"/>
      <c r="Z321" s="354"/>
      <c r="AA321" s="354"/>
      <c r="AB321" s="354"/>
      <c r="AC321" s="354"/>
      <c r="AD321" s="354">
        <v>40</v>
      </c>
      <c r="AE321" s="354"/>
    </row>
    <row r="322" spans="1:31" ht="15" thickTop="1">
      <c r="A322" s="336" t="str">
        <f t="shared" si="38"/>
        <v>27/02</v>
      </c>
      <c r="B322" s="348">
        <v>46419</v>
      </c>
      <c r="C322" s="349">
        <v>0</v>
      </c>
      <c r="D322" s="349">
        <v>0</v>
      </c>
      <c r="E322" s="349">
        <f t="shared" si="47"/>
        <v>60</v>
      </c>
      <c r="F322" s="349">
        <f t="shared" si="47"/>
        <v>0</v>
      </c>
      <c r="G322" s="349">
        <f t="shared" si="47"/>
        <v>0</v>
      </c>
      <c r="H322" s="349">
        <f t="shared" si="47"/>
        <v>0</v>
      </c>
      <c r="I322" s="349">
        <f t="shared" si="47"/>
        <v>0</v>
      </c>
      <c r="J322" s="349">
        <f t="shared" si="47"/>
        <v>0</v>
      </c>
      <c r="K322" s="349">
        <f t="shared" si="47"/>
        <v>0</v>
      </c>
      <c r="L322" s="350">
        <f t="shared" si="40"/>
        <v>60</v>
      </c>
      <c r="M322" s="351">
        <f t="shared" si="41"/>
        <v>21775</v>
      </c>
      <c r="N322" s="254">
        <f t="shared" si="42"/>
        <v>0</v>
      </c>
      <c r="O322" s="254">
        <f t="shared" si="43"/>
        <v>60</v>
      </c>
      <c r="P322" s="350">
        <f t="shared" si="44"/>
        <v>50</v>
      </c>
      <c r="Q322" s="351">
        <f t="shared" si="45"/>
        <v>2626</v>
      </c>
      <c r="R322" s="350">
        <f t="shared" si="46"/>
        <v>110</v>
      </c>
      <c r="S322" s="349"/>
      <c r="T322" s="349">
        <v>39</v>
      </c>
      <c r="U322" s="349"/>
      <c r="V322" s="349">
        <v>20</v>
      </c>
      <c r="W322" s="349"/>
      <c r="X322" s="349"/>
      <c r="Y322" s="349"/>
      <c r="Z322" s="349"/>
      <c r="AA322" s="349"/>
      <c r="AB322" s="349">
        <v>1</v>
      </c>
      <c r="AC322" s="349"/>
      <c r="AD322" s="349"/>
      <c r="AE322" s="349">
        <v>50</v>
      </c>
    </row>
    <row r="323" spans="1:31" ht="15" thickBot="1">
      <c r="A323" s="336" t="str">
        <f t="shared" si="38"/>
        <v>27/02</v>
      </c>
      <c r="B323" s="353">
        <v>46442</v>
      </c>
      <c r="C323" s="354">
        <v>0</v>
      </c>
      <c r="D323" s="354">
        <v>0</v>
      </c>
      <c r="E323" s="354">
        <f t="shared" si="47"/>
        <v>0</v>
      </c>
      <c r="F323" s="354">
        <f t="shared" si="47"/>
        <v>0</v>
      </c>
      <c r="G323" s="354">
        <f t="shared" si="47"/>
        <v>0</v>
      </c>
      <c r="H323" s="354">
        <f t="shared" si="47"/>
        <v>0</v>
      </c>
      <c r="I323" s="354">
        <f t="shared" si="47"/>
        <v>0</v>
      </c>
      <c r="J323" s="354">
        <f t="shared" si="47"/>
        <v>0</v>
      </c>
      <c r="K323" s="354">
        <f t="shared" si="47"/>
        <v>0</v>
      </c>
      <c r="L323" s="355">
        <f t="shared" si="40"/>
        <v>0</v>
      </c>
      <c r="M323" s="356">
        <f t="shared" si="41"/>
        <v>21775</v>
      </c>
      <c r="N323" s="357">
        <f t="shared" si="42"/>
        <v>0</v>
      </c>
      <c r="O323" s="357">
        <f t="shared" si="43"/>
        <v>0</v>
      </c>
      <c r="P323" s="355">
        <f t="shared" si="44"/>
        <v>10</v>
      </c>
      <c r="Q323" s="356">
        <f t="shared" si="45"/>
        <v>2636</v>
      </c>
      <c r="R323" s="355">
        <f t="shared" si="46"/>
        <v>10</v>
      </c>
      <c r="S323" s="354"/>
      <c r="T323" s="354"/>
      <c r="U323" s="354"/>
      <c r="V323" s="354"/>
      <c r="W323" s="354"/>
      <c r="X323" s="354"/>
      <c r="Y323" s="354"/>
      <c r="Z323" s="354"/>
      <c r="AA323" s="354"/>
      <c r="AB323" s="354"/>
      <c r="AC323" s="354"/>
      <c r="AD323" s="354">
        <v>10</v>
      </c>
      <c r="AE323" s="354"/>
    </row>
    <row r="324" spans="1:31" ht="15.75" thickTop="1" thickBot="1">
      <c r="A324" s="336" t="str">
        <f t="shared" si="38"/>
        <v>27/03</v>
      </c>
      <c r="B324" s="372">
        <v>46447</v>
      </c>
      <c r="C324" s="373">
        <v>0</v>
      </c>
      <c r="D324" s="373">
        <v>0</v>
      </c>
      <c r="E324" s="373">
        <f t="shared" si="47"/>
        <v>25</v>
      </c>
      <c r="F324" s="373">
        <f t="shared" si="47"/>
        <v>0</v>
      </c>
      <c r="G324" s="373">
        <f t="shared" si="47"/>
        <v>0</v>
      </c>
      <c r="H324" s="373">
        <f t="shared" si="47"/>
        <v>0</v>
      </c>
      <c r="I324" s="373">
        <f t="shared" si="47"/>
        <v>0</v>
      </c>
      <c r="J324" s="373">
        <f t="shared" si="47"/>
        <v>0</v>
      </c>
      <c r="K324" s="373">
        <f t="shared" si="47"/>
        <v>0</v>
      </c>
      <c r="L324" s="374">
        <f t="shared" si="40"/>
        <v>25</v>
      </c>
      <c r="M324" s="375">
        <f t="shared" si="41"/>
        <v>21800</v>
      </c>
      <c r="N324" s="376">
        <f t="shared" si="42"/>
        <v>0</v>
      </c>
      <c r="O324" s="376">
        <f t="shared" si="43"/>
        <v>25</v>
      </c>
      <c r="P324" s="374">
        <f t="shared" si="44"/>
        <v>0</v>
      </c>
      <c r="Q324" s="375">
        <f t="shared" si="45"/>
        <v>2636</v>
      </c>
      <c r="R324" s="374">
        <f t="shared" si="46"/>
        <v>25</v>
      </c>
      <c r="S324" s="373"/>
      <c r="T324" s="373"/>
      <c r="U324" s="373"/>
      <c r="V324" s="373">
        <v>25</v>
      </c>
      <c r="W324" s="373"/>
      <c r="X324" s="373"/>
      <c r="Y324" s="373"/>
      <c r="Z324" s="373"/>
      <c r="AA324" s="373"/>
      <c r="AB324" s="373"/>
      <c r="AC324" s="373"/>
      <c r="AD324" s="373"/>
      <c r="AE324" s="373"/>
    </row>
    <row r="325" spans="1:31" ht="15.75" thickTop="1" thickBot="1">
      <c r="A325" s="336" t="str">
        <f t="shared" si="38"/>
        <v>27/04</v>
      </c>
      <c r="B325" s="372">
        <v>46483</v>
      </c>
      <c r="C325" s="373">
        <v>0</v>
      </c>
      <c r="D325" s="373">
        <v>0</v>
      </c>
      <c r="E325" s="373">
        <f t="shared" si="47"/>
        <v>25</v>
      </c>
      <c r="F325" s="373">
        <f t="shared" si="47"/>
        <v>0</v>
      </c>
      <c r="G325" s="373">
        <f t="shared" si="47"/>
        <v>0</v>
      </c>
      <c r="H325" s="373">
        <f t="shared" si="47"/>
        <v>0</v>
      </c>
      <c r="I325" s="373">
        <f t="shared" si="47"/>
        <v>0</v>
      </c>
      <c r="J325" s="373">
        <f t="shared" si="47"/>
        <v>0</v>
      </c>
      <c r="K325" s="373">
        <f t="shared" si="47"/>
        <v>0</v>
      </c>
      <c r="L325" s="374">
        <f t="shared" si="40"/>
        <v>25</v>
      </c>
      <c r="M325" s="375">
        <f t="shared" si="41"/>
        <v>21825</v>
      </c>
      <c r="N325" s="376">
        <f t="shared" si="42"/>
        <v>0</v>
      </c>
      <c r="O325" s="376">
        <f t="shared" si="43"/>
        <v>25</v>
      </c>
      <c r="P325" s="374">
        <f t="shared" si="44"/>
        <v>0</v>
      </c>
      <c r="Q325" s="375">
        <f t="shared" si="45"/>
        <v>2636</v>
      </c>
      <c r="R325" s="374">
        <f t="shared" si="46"/>
        <v>25</v>
      </c>
      <c r="S325" s="373"/>
      <c r="T325" s="373"/>
      <c r="U325" s="373"/>
      <c r="V325" s="373">
        <v>25</v>
      </c>
      <c r="W325" s="373"/>
      <c r="X325" s="373"/>
      <c r="Y325" s="373"/>
      <c r="Z325" s="373"/>
      <c r="AA325" s="373"/>
      <c r="AB325" s="373"/>
      <c r="AC325" s="373"/>
      <c r="AD325" s="373"/>
      <c r="AE325" s="373"/>
    </row>
    <row r="326" spans="1:31" ht="15" thickTop="1">
      <c r="B326" s="348" t="s">
        <v>823</v>
      </c>
      <c r="C326" s="349">
        <f t="shared" ref="C326:L326" si="48">SUM(C212:C325)</f>
        <v>0</v>
      </c>
      <c r="D326" s="349">
        <f t="shared" si="48"/>
        <v>0</v>
      </c>
      <c r="E326" s="349">
        <f t="shared" si="48"/>
        <v>315</v>
      </c>
      <c r="F326" s="349">
        <f t="shared" si="48"/>
        <v>0</v>
      </c>
      <c r="G326" s="349">
        <f t="shared" si="48"/>
        <v>0</v>
      </c>
      <c r="H326" s="349">
        <f t="shared" si="48"/>
        <v>106</v>
      </c>
      <c r="I326" s="349">
        <f t="shared" si="48"/>
        <v>45</v>
      </c>
      <c r="J326" s="349">
        <f t="shared" si="48"/>
        <v>0</v>
      </c>
      <c r="K326" s="349">
        <f t="shared" si="48"/>
        <v>26</v>
      </c>
      <c r="L326" s="350">
        <f t="shared" si="48"/>
        <v>492</v>
      </c>
      <c r="M326" s="352"/>
      <c r="N326" s="254">
        <f>SUM(N212:N325)</f>
        <v>177</v>
      </c>
      <c r="O326" s="254">
        <f>SUM(O212:O325)</f>
        <v>315</v>
      </c>
      <c r="P326" s="350">
        <f>SUM(P212:P325)</f>
        <v>1195</v>
      </c>
      <c r="Q326" s="352"/>
      <c r="R326" s="350">
        <f t="shared" si="46"/>
        <v>1687</v>
      </c>
      <c r="S326" s="349">
        <v>69</v>
      </c>
      <c r="T326" s="349">
        <v>129</v>
      </c>
      <c r="U326" s="349">
        <v>7</v>
      </c>
      <c r="V326" s="349">
        <v>130</v>
      </c>
      <c r="W326" s="349">
        <v>25</v>
      </c>
      <c r="X326" s="349">
        <v>14</v>
      </c>
      <c r="Y326" s="349">
        <v>9</v>
      </c>
      <c r="Z326" s="349">
        <v>21</v>
      </c>
      <c r="AA326" s="349">
        <v>36</v>
      </c>
      <c r="AB326" s="349">
        <v>32</v>
      </c>
      <c r="AC326" s="349">
        <v>26</v>
      </c>
      <c r="AD326" s="349">
        <v>987</v>
      </c>
      <c r="AE326" s="349">
        <v>208</v>
      </c>
    </row>
  </sheetData>
  <phoneticPr fontId="6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21"/>
  <sheetViews>
    <sheetView topLeftCell="Y1" workbookViewId="0">
      <selection activeCell="AH6" sqref="AH6:AH20"/>
    </sheetView>
  </sheetViews>
  <sheetFormatPr defaultRowHeight="13.5"/>
  <cols>
    <col min="1" max="1" width="10.25" bestFit="1" customWidth="1"/>
    <col min="2" max="2" width="15.625" bestFit="1" customWidth="1"/>
    <col min="3" max="5" width="15.5" bestFit="1" customWidth="1"/>
    <col min="6" max="7" width="15.875" bestFit="1" customWidth="1"/>
    <col min="8" max="10" width="15.5" bestFit="1" customWidth="1"/>
    <col min="11" max="12" width="15.625" bestFit="1" customWidth="1"/>
    <col min="13" max="13" width="15.5" bestFit="1" customWidth="1"/>
    <col min="14" max="15" width="15.875" bestFit="1" customWidth="1"/>
    <col min="16" max="16" width="16" bestFit="1" customWidth="1"/>
    <col min="17" max="18" width="15.875" bestFit="1" customWidth="1"/>
    <col min="19" max="20" width="16" bestFit="1" customWidth="1"/>
    <col min="21" max="22" width="15.875" bestFit="1" customWidth="1"/>
    <col min="23" max="24" width="16" bestFit="1" customWidth="1"/>
    <col min="25" max="25" width="15.875" bestFit="1" customWidth="1"/>
    <col min="26" max="27" width="17.75" bestFit="1" customWidth="1"/>
    <col min="28" max="28" width="18.125" bestFit="1" customWidth="1"/>
    <col min="29" max="29" width="18" bestFit="1" customWidth="1"/>
    <col min="30" max="30" width="17.625" bestFit="1" customWidth="1"/>
    <col min="31" max="34" width="17.875" bestFit="1" customWidth="1"/>
  </cols>
  <sheetData>
    <row r="3" spans="1:34">
      <c r="A3" s="519" t="s">
        <v>822</v>
      </c>
      <c r="B3" s="518" t="s">
        <v>1379</v>
      </c>
      <c r="C3" s="530" t="s">
        <v>1380</v>
      </c>
      <c r="D3" s="530" t="s">
        <v>1381</v>
      </c>
      <c r="E3" s="530" t="s">
        <v>1382</v>
      </c>
      <c r="F3" s="530" t="s">
        <v>1383</v>
      </c>
      <c r="G3" s="530" t="s">
        <v>1384</v>
      </c>
      <c r="H3" s="530" t="s">
        <v>1385</v>
      </c>
      <c r="I3" s="530" t="s">
        <v>1386</v>
      </c>
      <c r="J3" s="530" t="s">
        <v>1387</v>
      </c>
      <c r="K3" s="530" t="s">
        <v>1388</v>
      </c>
      <c r="L3" s="530" t="s">
        <v>1389</v>
      </c>
      <c r="M3" s="530" t="s">
        <v>1390</v>
      </c>
      <c r="N3" s="530" t="s">
        <v>1391</v>
      </c>
      <c r="O3" s="530" t="s">
        <v>1392</v>
      </c>
      <c r="P3" s="530" t="s">
        <v>1393</v>
      </c>
      <c r="Q3" s="530" t="s">
        <v>1394</v>
      </c>
      <c r="R3" s="530" t="s">
        <v>1395</v>
      </c>
      <c r="S3" s="530" t="s">
        <v>1396</v>
      </c>
      <c r="T3" s="530" t="s">
        <v>1398</v>
      </c>
      <c r="U3" s="530" t="s">
        <v>1397</v>
      </c>
      <c r="V3" s="530" t="s">
        <v>1399</v>
      </c>
      <c r="W3" s="530" t="s">
        <v>1400</v>
      </c>
      <c r="X3" s="530" t="s">
        <v>1401</v>
      </c>
      <c r="Y3" s="530" t="s">
        <v>1402</v>
      </c>
      <c r="Z3" s="530" t="s">
        <v>1403</v>
      </c>
      <c r="AA3" s="530" t="s">
        <v>1404</v>
      </c>
      <c r="AB3" s="530" t="s">
        <v>1405</v>
      </c>
      <c r="AC3" s="530" t="s">
        <v>1406</v>
      </c>
      <c r="AD3" s="530" t="s">
        <v>1407</v>
      </c>
      <c r="AE3" s="530" t="s">
        <v>1408</v>
      </c>
      <c r="AF3" s="530" t="s">
        <v>1409</v>
      </c>
      <c r="AG3" s="530" t="s">
        <v>1410</v>
      </c>
      <c r="AH3" s="523" t="s">
        <v>1411</v>
      </c>
    </row>
    <row r="4" spans="1:34">
      <c r="A4" s="520" t="s">
        <v>913</v>
      </c>
      <c r="B4" s="524">
        <v>6</v>
      </c>
      <c r="C4" s="531">
        <v>6</v>
      </c>
      <c r="D4" s="531">
        <v>0</v>
      </c>
      <c r="E4" s="531">
        <v>0</v>
      </c>
      <c r="F4" s="531">
        <v>6</v>
      </c>
      <c r="G4" s="531">
        <v>0</v>
      </c>
      <c r="H4" s="531">
        <v>6</v>
      </c>
      <c r="I4" s="531">
        <v>0</v>
      </c>
      <c r="J4" s="531">
        <v>0</v>
      </c>
      <c r="K4" s="531">
        <v>0</v>
      </c>
      <c r="L4" s="531">
        <v>4</v>
      </c>
      <c r="M4" s="531">
        <v>2</v>
      </c>
      <c r="N4" s="531">
        <v>6</v>
      </c>
      <c r="O4" s="531">
        <v>0</v>
      </c>
      <c r="P4" s="531">
        <v>0</v>
      </c>
      <c r="Q4" s="531">
        <v>6</v>
      </c>
      <c r="R4" s="531">
        <v>0</v>
      </c>
      <c r="S4" s="531">
        <v>0</v>
      </c>
      <c r="T4" s="531">
        <v>0</v>
      </c>
      <c r="U4" s="531">
        <v>6</v>
      </c>
      <c r="V4" s="531">
        <v>0</v>
      </c>
      <c r="W4" s="531">
        <v>0</v>
      </c>
      <c r="X4" s="531">
        <v>0</v>
      </c>
      <c r="Y4" s="531">
        <v>6</v>
      </c>
      <c r="Z4" s="531">
        <v>0</v>
      </c>
      <c r="AA4" s="531">
        <v>0</v>
      </c>
      <c r="AB4" s="531">
        <v>0</v>
      </c>
      <c r="AC4" s="531">
        <v>0</v>
      </c>
      <c r="AD4" s="531">
        <v>0</v>
      </c>
      <c r="AE4" s="531">
        <v>0</v>
      </c>
      <c r="AF4" s="531">
        <v>0</v>
      </c>
      <c r="AG4" s="531">
        <v>0</v>
      </c>
      <c r="AH4" s="525">
        <v>0</v>
      </c>
    </row>
    <row r="5" spans="1:34">
      <c r="A5" s="521" t="s">
        <v>1366</v>
      </c>
      <c r="B5" s="526">
        <v>60</v>
      </c>
      <c r="C5" s="532">
        <v>41</v>
      </c>
      <c r="D5" s="532">
        <v>0</v>
      </c>
      <c r="E5" s="532">
        <v>0</v>
      </c>
      <c r="F5" s="532">
        <v>64</v>
      </c>
      <c r="G5" s="532">
        <v>0</v>
      </c>
      <c r="H5" s="532">
        <v>31</v>
      </c>
      <c r="I5" s="532">
        <v>2</v>
      </c>
      <c r="J5" s="532">
        <v>8</v>
      </c>
      <c r="K5" s="532">
        <v>5</v>
      </c>
      <c r="L5" s="532">
        <v>19</v>
      </c>
      <c r="M5" s="532">
        <v>17</v>
      </c>
      <c r="N5" s="532">
        <v>29</v>
      </c>
      <c r="O5" s="532">
        <v>0</v>
      </c>
      <c r="P5" s="532">
        <v>8</v>
      </c>
      <c r="Q5" s="532">
        <v>29</v>
      </c>
      <c r="R5" s="532">
        <v>0</v>
      </c>
      <c r="S5" s="532">
        <v>0</v>
      </c>
      <c r="T5" s="532">
        <v>8</v>
      </c>
      <c r="U5" s="532">
        <v>42</v>
      </c>
      <c r="V5" s="532">
        <v>0</v>
      </c>
      <c r="W5" s="532">
        <v>0</v>
      </c>
      <c r="X5" s="532">
        <v>8</v>
      </c>
      <c r="Y5" s="532">
        <v>36</v>
      </c>
      <c r="Z5" s="532">
        <v>61</v>
      </c>
      <c r="AA5" s="532">
        <v>61</v>
      </c>
      <c r="AB5" s="532">
        <v>61</v>
      </c>
      <c r="AC5" s="532">
        <v>61</v>
      </c>
      <c r="AD5" s="532">
        <v>61</v>
      </c>
      <c r="AE5" s="532">
        <v>64</v>
      </c>
      <c r="AF5" s="532">
        <v>61</v>
      </c>
      <c r="AG5" s="532">
        <v>61</v>
      </c>
      <c r="AH5" s="527">
        <v>11</v>
      </c>
    </row>
    <row r="6" spans="1:34">
      <c r="A6" s="521" t="s">
        <v>1367</v>
      </c>
      <c r="B6" s="526">
        <v>9</v>
      </c>
      <c r="C6" s="532">
        <v>8</v>
      </c>
      <c r="D6" s="532">
        <v>0</v>
      </c>
      <c r="E6" s="532">
        <v>0</v>
      </c>
      <c r="F6" s="532">
        <v>54</v>
      </c>
      <c r="G6" s="532">
        <v>0</v>
      </c>
      <c r="H6" s="532">
        <v>6</v>
      </c>
      <c r="I6" s="532">
        <v>2</v>
      </c>
      <c r="J6" s="532">
        <v>1</v>
      </c>
      <c r="K6" s="532">
        <v>0</v>
      </c>
      <c r="L6" s="532">
        <v>9</v>
      </c>
      <c r="M6" s="532">
        <v>2</v>
      </c>
      <c r="N6" s="532">
        <v>5</v>
      </c>
      <c r="O6" s="532">
        <v>0</v>
      </c>
      <c r="P6" s="532">
        <v>1</v>
      </c>
      <c r="Q6" s="532">
        <v>11</v>
      </c>
      <c r="R6" s="532">
        <v>0</v>
      </c>
      <c r="S6" s="532">
        <v>0</v>
      </c>
      <c r="T6" s="532">
        <v>1</v>
      </c>
      <c r="U6" s="532">
        <v>9</v>
      </c>
      <c r="V6" s="532">
        <v>0</v>
      </c>
      <c r="W6" s="532">
        <v>0</v>
      </c>
      <c r="X6" s="532">
        <v>1</v>
      </c>
      <c r="Y6" s="532">
        <v>6</v>
      </c>
      <c r="Z6" s="532">
        <v>25</v>
      </c>
      <c r="AA6" s="532">
        <v>30</v>
      </c>
      <c r="AB6" s="532">
        <v>25</v>
      </c>
      <c r="AC6" s="532">
        <v>25</v>
      </c>
      <c r="AD6" s="532">
        <v>25</v>
      </c>
      <c r="AE6" s="532">
        <v>31</v>
      </c>
      <c r="AF6" s="532">
        <v>33</v>
      </c>
      <c r="AG6" s="532">
        <v>30</v>
      </c>
      <c r="AH6" s="527">
        <v>8</v>
      </c>
    </row>
    <row r="7" spans="1:34">
      <c r="A7" s="521" t="s">
        <v>1368</v>
      </c>
      <c r="B7" s="526">
        <v>18</v>
      </c>
      <c r="C7" s="532">
        <v>16</v>
      </c>
      <c r="D7" s="532">
        <v>0</v>
      </c>
      <c r="E7" s="532">
        <v>0</v>
      </c>
      <c r="F7" s="532">
        <v>18</v>
      </c>
      <c r="G7" s="532">
        <v>0</v>
      </c>
      <c r="H7" s="532">
        <v>7</v>
      </c>
      <c r="I7" s="532">
        <v>5</v>
      </c>
      <c r="J7" s="532">
        <v>4</v>
      </c>
      <c r="K7" s="532">
        <v>0</v>
      </c>
      <c r="L7" s="532">
        <v>9</v>
      </c>
      <c r="M7" s="532">
        <v>7</v>
      </c>
      <c r="N7" s="532">
        <v>12</v>
      </c>
      <c r="O7" s="532">
        <v>0</v>
      </c>
      <c r="P7" s="532">
        <v>4</v>
      </c>
      <c r="Q7" s="532">
        <v>12</v>
      </c>
      <c r="R7" s="532">
        <v>0</v>
      </c>
      <c r="S7" s="532">
        <v>0</v>
      </c>
      <c r="T7" s="532">
        <v>4</v>
      </c>
      <c r="U7" s="532">
        <v>12</v>
      </c>
      <c r="V7" s="532">
        <v>0</v>
      </c>
      <c r="W7" s="532">
        <v>0</v>
      </c>
      <c r="X7" s="532">
        <v>4</v>
      </c>
      <c r="Y7" s="532">
        <v>16</v>
      </c>
      <c r="Z7" s="532">
        <v>14</v>
      </c>
      <c r="AA7" s="532">
        <v>14</v>
      </c>
      <c r="AB7" s="532">
        <v>14</v>
      </c>
      <c r="AC7" s="532">
        <v>14</v>
      </c>
      <c r="AD7" s="532">
        <v>14</v>
      </c>
      <c r="AE7" s="532">
        <v>14</v>
      </c>
      <c r="AF7" s="532">
        <v>14</v>
      </c>
      <c r="AG7" s="532">
        <v>14</v>
      </c>
      <c r="AH7" s="527">
        <v>14</v>
      </c>
    </row>
    <row r="8" spans="1:34">
      <c r="A8" s="521" t="s">
        <v>1369</v>
      </c>
      <c r="B8" s="526">
        <v>13</v>
      </c>
      <c r="C8" s="532">
        <v>13</v>
      </c>
      <c r="D8" s="532">
        <v>0</v>
      </c>
      <c r="E8" s="532">
        <v>0</v>
      </c>
      <c r="F8" s="532">
        <v>13</v>
      </c>
      <c r="G8" s="532">
        <v>0</v>
      </c>
      <c r="H8" s="532">
        <v>1</v>
      </c>
      <c r="I8" s="532">
        <v>7</v>
      </c>
      <c r="J8" s="532">
        <v>5</v>
      </c>
      <c r="K8" s="532">
        <v>0</v>
      </c>
      <c r="L8" s="532">
        <v>13</v>
      </c>
      <c r="M8" s="532">
        <v>0</v>
      </c>
      <c r="N8" s="532">
        <v>8</v>
      </c>
      <c r="O8" s="532">
        <v>0</v>
      </c>
      <c r="P8" s="532">
        <v>5</v>
      </c>
      <c r="Q8" s="532">
        <v>8</v>
      </c>
      <c r="R8" s="532">
        <v>0</v>
      </c>
      <c r="S8" s="532">
        <v>0</v>
      </c>
      <c r="T8" s="532">
        <v>5</v>
      </c>
      <c r="U8" s="532">
        <v>8</v>
      </c>
      <c r="V8" s="532">
        <v>0</v>
      </c>
      <c r="W8" s="532">
        <v>0</v>
      </c>
      <c r="X8" s="532">
        <v>5</v>
      </c>
      <c r="Y8" s="532">
        <v>13</v>
      </c>
      <c r="Z8" s="532">
        <v>68</v>
      </c>
      <c r="AA8" s="532">
        <v>68</v>
      </c>
      <c r="AB8" s="532">
        <v>68</v>
      </c>
      <c r="AC8" s="532">
        <v>68</v>
      </c>
      <c r="AD8" s="532">
        <v>68</v>
      </c>
      <c r="AE8" s="532">
        <v>68</v>
      </c>
      <c r="AF8" s="532">
        <v>68</v>
      </c>
      <c r="AG8" s="532">
        <v>68</v>
      </c>
      <c r="AH8" s="527">
        <v>68</v>
      </c>
    </row>
    <row r="9" spans="1:34">
      <c r="A9" s="521" t="s">
        <v>1370</v>
      </c>
      <c r="B9" s="526">
        <v>33</v>
      </c>
      <c r="C9" s="532">
        <v>33</v>
      </c>
      <c r="D9" s="532">
        <v>0</v>
      </c>
      <c r="E9" s="532">
        <v>0</v>
      </c>
      <c r="F9" s="532">
        <v>33</v>
      </c>
      <c r="G9" s="532">
        <v>0</v>
      </c>
      <c r="H9" s="532">
        <v>30</v>
      </c>
      <c r="I9" s="532">
        <v>3</v>
      </c>
      <c r="J9" s="532">
        <v>0</v>
      </c>
      <c r="K9" s="532">
        <v>9</v>
      </c>
      <c r="L9" s="532">
        <v>3</v>
      </c>
      <c r="M9" s="532">
        <v>21</v>
      </c>
      <c r="N9" s="532">
        <v>28</v>
      </c>
      <c r="O9" s="532">
        <v>0</v>
      </c>
      <c r="P9" s="532">
        <v>5</v>
      </c>
      <c r="Q9" s="532">
        <v>28</v>
      </c>
      <c r="R9" s="532">
        <v>0</v>
      </c>
      <c r="S9" s="532">
        <v>0</v>
      </c>
      <c r="T9" s="532">
        <v>5</v>
      </c>
      <c r="U9" s="532">
        <v>28</v>
      </c>
      <c r="V9" s="532">
        <v>0</v>
      </c>
      <c r="W9" s="532">
        <v>0</v>
      </c>
      <c r="X9" s="532">
        <v>5</v>
      </c>
      <c r="Y9" s="532">
        <v>33</v>
      </c>
      <c r="Z9" s="532">
        <v>104</v>
      </c>
      <c r="AA9" s="532">
        <v>104</v>
      </c>
      <c r="AB9" s="532">
        <v>104</v>
      </c>
      <c r="AC9" s="532">
        <v>104</v>
      </c>
      <c r="AD9" s="532">
        <v>104</v>
      </c>
      <c r="AE9" s="532">
        <v>104</v>
      </c>
      <c r="AF9" s="532">
        <v>104</v>
      </c>
      <c r="AG9" s="532">
        <v>104</v>
      </c>
      <c r="AH9" s="527">
        <v>104</v>
      </c>
    </row>
    <row r="10" spans="1:34">
      <c r="A10" s="521" t="s">
        <v>1371</v>
      </c>
      <c r="B10" s="526">
        <v>35</v>
      </c>
      <c r="C10" s="532">
        <v>35</v>
      </c>
      <c r="D10" s="532">
        <v>0</v>
      </c>
      <c r="E10" s="532">
        <v>0</v>
      </c>
      <c r="F10" s="532">
        <v>35</v>
      </c>
      <c r="G10" s="532">
        <v>0</v>
      </c>
      <c r="H10" s="532">
        <v>32</v>
      </c>
      <c r="I10" s="532">
        <v>3</v>
      </c>
      <c r="J10" s="532">
        <v>0</v>
      </c>
      <c r="K10" s="532">
        <v>16</v>
      </c>
      <c r="L10" s="532">
        <v>3</v>
      </c>
      <c r="M10" s="532">
        <v>16</v>
      </c>
      <c r="N10" s="532">
        <v>35</v>
      </c>
      <c r="O10" s="532">
        <v>0</v>
      </c>
      <c r="P10" s="532">
        <v>0</v>
      </c>
      <c r="Q10" s="532">
        <v>35</v>
      </c>
      <c r="R10" s="532">
        <v>0</v>
      </c>
      <c r="S10" s="532">
        <v>0</v>
      </c>
      <c r="T10" s="532">
        <v>0</v>
      </c>
      <c r="U10" s="532">
        <v>35</v>
      </c>
      <c r="V10" s="532">
        <v>0</v>
      </c>
      <c r="W10" s="532">
        <v>0</v>
      </c>
      <c r="X10" s="532">
        <v>0</v>
      </c>
      <c r="Y10" s="532">
        <v>35</v>
      </c>
      <c r="Z10" s="532">
        <v>138</v>
      </c>
      <c r="AA10" s="532">
        <v>138</v>
      </c>
      <c r="AB10" s="532">
        <v>138</v>
      </c>
      <c r="AC10" s="532">
        <v>138</v>
      </c>
      <c r="AD10" s="532">
        <v>138</v>
      </c>
      <c r="AE10" s="532">
        <v>138</v>
      </c>
      <c r="AF10" s="532">
        <v>138</v>
      </c>
      <c r="AG10" s="532">
        <v>138</v>
      </c>
      <c r="AH10" s="527">
        <v>138</v>
      </c>
    </row>
    <row r="11" spans="1:34">
      <c r="A11" s="521" t="s">
        <v>1372</v>
      </c>
      <c r="B11" s="526">
        <v>7</v>
      </c>
      <c r="C11" s="532">
        <v>7</v>
      </c>
      <c r="D11" s="532">
        <v>0</v>
      </c>
      <c r="E11" s="532">
        <v>0</v>
      </c>
      <c r="F11" s="532">
        <v>7</v>
      </c>
      <c r="G11" s="532">
        <v>0</v>
      </c>
      <c r="H11" s="532">
        <v>2</v>
      </c>
      <c r="I11" s="532">
        <v>5</v>
      </c>
      <c r="J11" s="532">
        <v>0</v>
      </c>
      <c r="K11" s="532">
        <v>0</v>
      </c>
      <c r="L11" s="532">
        <v>5</v>
      </c>
      <c r="M11" s="532">
        <v>2</v>
      </c>
      <c r="N11" s="532">
        <v>7</v>
      </c>
      <c r="O11" s="532">
        <v>0</v>
      </c>
      <c r="P11" s="532">
        <v>0</v>
      </c>
      <c r="Q11" s="532">
        <v>7</v>
      </c>
      <c r="R11" s="532">
        <v>0</v>
      </c>
      <c r="S11" s="532">
        <v>0</v>
      </c>
      <c r="T11" s="532">
        <v>0</v>
      </c>
      <c r="U11" s="532">
        <v>7</v>
      </c>
      <c r="V11" s="532">
        <v>0</v>
      </c>
      <c r="W11" s="532">
        <v>0</v>
      </c>
      <c r="X11" s="532">
        <v>0</v>
      </c>
      <c r="Y11" s="532">
        <v>7</v>
      </c>
      <c r="Z11" s="532">
        <v>91</v>
      </c>
      <c r="AA11" s="532">
        <v>91</v>
      </c>
      <c r="AB11" s="532">
        <v>91</v>
      </c>
      <c r="AC11" s="532">
        <v>91</v>
      </c>
      <c r="AD11" s="532">
        <v>91</v>
      </c>
      <c r="AE11" s="532">
        <v>91</v>
      </c>
      <c r="AF11" s="532">
        <v>91</v>
      </c>
      <c r="AG11" s="532">
        <v>91</v>
      </c>
      <c r="AH11" s="527">
        <v>91</v>
      </c>
    </row>
    <row r="12" spans="1:34">
      <c r="A12" s="521" t="s">
        <v>1373</v>
      </c>
      <c r="B12" s="526">
        <v>35</v>
      </c>
      <c r="C12" s="532">
        <v>35</v>
      </c>
      <c r="D12" s="532">
        <v>0</v>
      </c>
      <c r="E12" s="532">
        <v>0</v>
      </c>
      <c r="F12" s="532">
        <v>35</v>
      </c>
      <c r="G12" s="532">
        <v>0</v>
      </c>
      <c r="H12" s="532">
        <v>15</v>
      </c>
      <c r="I12" s="532">
        <v>12</v>
      </c>
      <c r="J12" s="532">
        <v>8</v>
      </c>
      <c r="K12" s="532">
        <v>0</v>
      </c>
      <c r="L12" s="532">
        <v>26</v>
      </c>
      <c r="M12" s="532">
        <v>9</v>
      </c>
      <c r="N12" s="532">
        <v>27</v>
      </c>
      <c r="O12" s="532">
        <v>0</v>
      </c>
      <c r="P12" s="532">
        <v>8</v>
      </c>
      <c r="Q12" s="532">
        <v>27</v>
      </c>
      <c r="R12" s="532">
        <v>0</v>
      </c>
      <c r="S12" s="532">
        <v>0</v>
      </c>
      <c r="T12" s="532">
        <v>8</v>
      </c>
      <c r="U12" s="532">
        <v>27</v>
      </c>
      <c r="V12" s="532">
        <v>0</v>
      </c>
      <c r="W12" s="532">
        <v>0</v>
      </c>
      <c r="X12" s="532">
        <v>8</v>
      </c>
      <c r="Y12" s="532">
        <v>35</v>
      </c>
      <c r="Z12" s="532">
        <v>163</v>
      </c>
      <c r="AA12" s="532">
        <v>163</v>
      </c>
      <c r="AB12" s="532">
        <v>163</v>
      </c>
      <c r="AC12" s="532">
        <v>163</v>
      </c>
      <c r="AD12" s="532">
        <v>163</v>
      </c>
      <c r="AE12" s="532">
        <v>163</v>
      </c>
      <c r="AF12" s="532">
        <v>163</v>
      </c>
      <c r="AG12" s="532">
        <v>163</v>
      </c>
      <c r="AH12" s="527">
        <v>163</v>
      </c>
    </row>
    <row r="13" spans="1:34">
      <c r="A13" s="521" t="s">
        <v>1374</v>
      </c>
      <c r="B13" s="526">
        <v>20</v>
      </c>
      <c r="C13" s="532">
        <v>20</v>
      </c>
      <c r="D13" s="532">
        <v>0</v>
      </c>
      <c r="E13" s="532">
        <v>0</v>
      </c>
      <c r="F13" s="532">
        <v>20</v>
      </c>
      <c r="G13" s="532">
        <v>0</v>
      </c>
      <c r="H13" s="532">
        <v>16</v>
      </c>
      <c r="I13" s="532">
        <v>4</v>
      </c>
      <c r="J13" s="532">
        <v>0</v>
      </c>
      <c r="K13" s="532">
        <v>0</v>
      </c>
      <c r="L13" s="532">
        <v>4</v>
      </c>
      <c r="M13" s="532">
        <v>16</v>
      </c>
      <c r="N13" s="532">
        <v>20</v>
      </c>
      <c r="O13" s="532">
        <v>0</v>
      </c>
      <c r="P13" s="532">
        <v>0</v>
      </c>
      <c r="Q13" s="532">
        <v>20</v>
      </c>
      <c r="R13" s="532">
        <v>0</v>
      </c>
      <c r="S13" s="532">
        <v>0</v>
      </c>
      <c r="T13" s="532">
        <v>0</v>
      </c>
      <c r="U13" s="532">
        <v>20</v>
      </c>
      <c r="V13" s="532">
        <v>0</v>
      </c>
      <c r="W13" s="532">
        <v>0</v>
      </c>
      <c r="X13" s="532">
        <v>0</v>
      </c>
      <c r="Y13" s="532">
        <v>20</v>
      </c>
      <c r="Z13" s="532">
        <v>131</v>
      </c>
      <c r="AA13" s="532">
        <v>131</v>
      </c>
      <c r="AB13" s="532">
        <v>131</v>
      </c>
      <c r="AC13" s="532">
        <v>131</v>
      </c>
      <c r="AD13" s="532">
        <v>131</v>
      </c>
      <c r="AE13" s="532">
        <v>131</v>
      </c>
      <c r="AF13" s="532">
        <v>131</v>
      </c>
      <c r="AG13" s="532">
        <v>131</v>
      </c>
      <c r="AH13" s="527">
        <v>90</v>
      </c>
    </row>
    <row r="14" spans="1:34">
      <c r="A14" s="521" t="s">
        <v>929</v>
      </c>
      <c r="B14" s="526">
        <v>39</v>
      </c>
      <c r="C14" s="532">
        <v>39</v>
      </c>
      <c r="D14" s="532">
        <v>0</v>
      </c>
      <c r="E14" s="532">
        <v>0</v>
      </c>
      <c r="F14" s="532">
        <v>39</v>
      </c>
      <c r="G14" s="532">
        <v>0</v>
      </c>
      <c r="H14" s="532">
        <v>39</v>
      </c>
      <c r="I14" s="532">
        <v>0</v>
      </c>
      <c r="J14" s="532">
        <v>0</v>
      </c>
      <c r="K14" s="532">
        <v>0</v>
      </c>
      <c r="L14" s="532">
        <v>10</v>
      </c>
      <c r="M14" s="532">
        <v>29</v>
      </c>
      <c r="N14" s="532">
        <v>27</v>
      </c>
      <c r="O14" s="532">
        <v>0</v>
      </c>
      <c r="P14" s="532">
        <v>12</v>
      </c>
      <c r="Q14" s="532">
        <v>27</v>
      </c>
      <c r="R14" s="532">
        <v>0</v>
      </c>
      <c r="S14" s="532">
        <v>0</v>
      </c>
      <c r="T14" s="532">
        <v>12</v>
      </c>
      <c r="U14" s="532">
        <v>27</v>
      </c>
      <c r="V14" s="532">
        <v>0</v>
      </c>
      <c r="W14" s="532">
        <v>0</v>
      </c>
      <c r="X14" s="532">
        <v>12</v>
      </c>
      <c r="Y14" s="532">
        <v>39</v>
      </c>
      <c r="Z14" s="532">
        <v>90</v>
      </c>
      <c r="AA14" s="532">
        <v>90</v>
      </c>
      <c r="AB14" s="532">
        <v>90</v>
      </c>
      <c r="AC14" s="532">
        <v>90</v>
      </c>
      <c r="AD14" s="532">
        <v>90</v>
      </c>
      <c r="AE14" s="532">
        <v>90</v>
      </c>
      <c r="AF14" s="532">
        <v>90</v>
      </c>
      <c r="AG14" s="532">
        <v>90</v>
      </c>
      <c r="AH14" s="527">
        <v>90</v>
      </c>
    </row>
    <row r="15" spans="1:34">
      <c r="A15" s="521" t="s">
        <v>930</v>
      </c>
      <c r="B15" s="526">
        <v>32</v>
      </c>
      <c r="C15" s="532">
        <v>32</v>
      </c>
      <c r="D15" s="532">
        <v>0</v>
      </c>
      <c r="E15" s="532">
        <v>0</v>
      </c>
      <c r="F15" s="532">
        <v>32</v>
      </c>
      <c r="G15" s="532">
        <v>0</v>
      </c>
      <c r="H15" s="532">
        <v>32</v>
      </c>
      <c r="I15" s="532">
        <v>0</v>
      </c>
      <c r="J15" s="532">
        <v>0</v>
      </c>
      <c r="K15" s="532">
        <v>0</v>
      </c>
      <c r="L15" s="532">
        <v>10</v>
      </c>
      <c r="M15" s="532">
        <v>22</v>
      </c>
      <c r="N15" s="532">
        <v>32</v>
      </c>
      <c r="O15" s="532">
        <v>0</v>
      </c>
      <c r="P15" s="532">
        <v>0</v>
      </c>
      <c r="Q15" s="532">
        <v>32</v>
      </c>
      <c r="R15" s="532">
        <v>0</v>
      </c>
      <c r="S15" s="532">
        <v>0</v>
      </c>
      <c r="T15" s="532">
        <v>0</v>
      </c>
      <c r="U15" s="532">
        <v>32</v>
      </c>
      <c r="V15" s="532">
        <v>0</v>
      </c>
      <c r="W15" s="532">
        <v>0</v>
      </c>
      <c r="X15" s="532">
        <v>0</v>
      </c>
      <c r="Y15" s="532">
        <v>32</v>
      </c>
      <c r="Z15" s="532">
        <v>135</v>
      </c>
      <c r="AA15" s="532">
        <v>135</v>
      </c>
      <c r="AB15" s="532">
        <v>135</v>
      </c>
      <c r="AC15" s="532">
        <v>135</v>
      </c>
      <c r="AD15" s="532">
        <v>135</v>
      </c>
      <c r="AE15" s="532">
        <v>135</v>
      </c>
      <c r="AF15" s="532">
        <v>135</v>
      </c>
      <c r="AG15" s="532">
        <v>135</v>
      </c>
      <c r="AH15" s="527">
        <v>85</v>
      </c>
    </row>
    <row r="16" spans="1:34">
      <c r="A16" s="521" t="s">
        <v>931</v>
      </c>
      <c r="B16" s="526">
        <v>27</v>
      </c>
      <c r="C16" s="532">
        <v>27</v>
      </c>
      <c r="D16" s="532">
        <v>0</v>
      </c>
      <c r="E16" s="532">
        <v>0</v>
      </c>
      <c r="F16" s="532">
        <v>27</v>
      </c>
      <c r="G16" s="532">
        <v>0</v>
      </c>
      <c r="H16" s="532">
        <v>26</v>
      </c>
      <c r="I16" s="532">
        <v>1</v>
      </c>
      <c r="J16" s="532">
        <v>0</v>
      </c>
      <c r="K16" s="532">
        <v>0</v>
      </c>
      <c r="L16" s="532">
        <v>24</v>
      </c>
      <c r="M16" s="532">
        <v>3</v>
      </c>
      <c r="N16" s="532">
        <v>27</v>
      </c>
      <c r="O16" s="532">
        <v>0</v>
      </c>
      <c r="P16" s="532">
        <v>0</v>
      </c>
      <c r="Q16" s="532">
        <v>27</v>
      </c>
      <c r="R16" s="532">
        <v>0</v>
      </c>
      <c r="S16" s="532">
        <v>0</v>
      </c>
      <c r="T16" s="532">
        <v>0</v>
      </c>
      <c r="U16" s="532">
        <v>27</v>
      </c>
      <c r="V16" s="532">
        <v>0</v>
      </c>
      <c r="W16" s="532">
        <v>0</v>
      </c>
      <c r="X16" s="532">
        <v>0</v>
      </c>
      <c r="Y16" s="532">
        <v>27</v>
      </c>
      <c r="Z16" s="532">
        <v>75</v>
      </c>
      <c r="AA16" s="532">
        <v>75</v>
      </c>
      <c r="AB16" s="532">
        <v>75</v>
      </c>
      <c r="AC16" s="532">
        <v>75</v>
      </c>
      <c r="AD16" s="532">
        <v>75</v>
      </c>
      <c r="AE16" s="532">
        <v>75</v>
      </c>
      <c r="AF16" s="532">
        <v>75</v>
      </c>
      <c r="AG16" s="532">
        <v>75</v>
      </c>
      <c r="AH16" s="527">
        <v>75</v>
      </c>
    </row>
    <row r="17" spans="1:34">
      <c r="A17" s="521" t="s">
        <v>1375</v>
      </c>
      <c r="B17" s="526">
        <v>83</v>
      </c>
      <c r="C17" s="532">
        <v>83</v>
      </c>
      <c r="D17" s="532">
        <v>0</v>
      </c>
      <c r="E17" s="532">
        <v>0</v>
      </c>
      <c r="F17" s="532">
        <v>83</v>
      </c>
      <c r="G17" s="532">
        <v>0</v>
      </c>
      <c r="H17" s="532">
        <v>82</v>
      </c>
      <c r="I17" s="532">
        <v>1</v>
      </c>
      <c r="J17" s="532">
        <v>0</v>
      </c>
      <c r="K17" s="532">
        <v>0</v>
      </c>
      <c r="L17" s="532">
        <v>32</v>
      </c>
      <c r="M17" s="532">
        <v>51</v>
      </c>
      <c r="N17" s="532">
        <v>69</v>
      </c>
      <c r="O17" s="532">
        <v>0</v>
      </c>
      <c r="P17" s="532">
        <v>14</v>
      </c>
      <c r="Q17" s="532">
        <v>69</v>
      </c>
      <c r="R17" s="532">
        <v>0</v>
      </c>
      <c r="S17" s="532">
        <v>0</v>
      </c>
      <c r="T17" s="532">
        <v>14</v>
      </c>
      <c r="U17" s="532">
        <v>69</v>
      </c>
      <c r="V17" s="532">
        <v>0</v>
      </c>
      <c r="W17" s="532">
        <v>0</v>
      </c>
      <c r="X17" s="532">
        <v>14</v>
      </c>
      <c r="Y17" s="532">
        <v>83</v>
      </c>
      <c r="Z17" s="532">
        <v>40</v>
      </c>
      <c r="AA17" s="532">
        <v>40</v>
      </c>
      <c r="AB17" s="532">
        <v>40</v>
      </c>
      <c r="AC17" s="532">
        <v>40</v>
      </c>
      <c r="AD17" s="532">
        <v>40</v>
      </c>
      <c r="AE17" s="532">
        <v>40</v>
      </c>
      <c r="AF17" s="532">
        <v>40</v>
      </c>
      <c r="AG17" s="532">
        <v>40</v>
      </c>
      <c r="AH17" s="527">
        <v>40</v>
      </c>
    </row>
    <row r="18" spans="1:34">
      <c r="A18" s="521" t="s">
        <v>1376</v>
      </c>
      <c r="B18" s="526">
        <v>60</v>
      </c>
      <c r="C18" s="532">
        <v>60</v>
      </c>
      <c r="D18" s="532">
        <v>0</v>
      </c>
      <c r="E18" s="532">
        <v>0</v>
      </c>
      <c r="F18" s="532">
        <v>60</v>
      </c>
      <c r="G18" s="532">
        <v>0</v>
      </c>
      <c r="H18" s="532">
        <v>60</v>
      </c>
      <c r="I18" s="532">
        <v>0</v>
      </c>
      <c r="J18" s="532">
        <v>0</v>
      </c>
      <c r="K18" s="532">
        <v>0</v>
      </c>
      <c r="L18" s="532">
        <v>20</v>
      </c>
      <c r="M18" s="532">
        <v>40</v>
      </c>
      <c r="N18" s="532">
        <v>59</v>
      </c>
      <c r="O18" s="532">
        <v>0</v>
      </c>
      <c r="P18" s="532">
        <v>1</v>
      </c>
      <c r="Q18" s="532">
        <v>59</v>
      </c>
      <c r="R18" s="532">
        <v>0</v>
      </c>
      <c r="S18" s="532">
        <v>0</v>
      </c>
      <c r="T18" s="532">
        <v>1</v>
      </c>
      <c r="U18" s="532">
        <v>59</v>
      </c>
      <c r="V18" s="532">
        <v>0</v>
      </c>
      <c r="W18" s="532">
        <v>0</v>
      </c>
      <c r="X18" s="532">
        <v>1</v>
      </c>
      <c r="Y18" s="532">
        <v>60</v>
      </c>
      <c r="Z18" s="532">
        <v>60</v>
      </c>
      <c r="AA18" s="532">
        <v>60</v>
      </c>
      <c r="AB18" s="532">
        <v>60</v>
      </c>
      <c r="AC18" s="532">
        <v>60</v>
      </c>
      <c r="AD18" s="532">
        <v>60</v>
      </c>
      <c r="AE18" s="532">
        <v>60</v>
      </c>
      <c r="AF18" s="532">
        <v>60</v>
      </c>
      <c r="AG18" s="532">
        <v>60</v>
      </c>
      <c r="AH18" s="527">
        <v>10</v>
      </c>
    </row>
    <row r="19" spans="1:34">
      <c r="A19" s="521" t="s">
        <v>1377</v>
      </c>
      <c r="B19" s="526">
        <v>25</v>
      </c>
      <c r="C19" s="532">
        <v>25</v>
      </c>
      <c r="D19" s="532">
        <v>0</v>
      </c>
      <c r="E19" s="532">
        <v>0</v>
      </c>
      <c r="F19" s="532">
        <v>25</v>
      </c>
      <c r="G19" s="532">
        <v>0</v>
      </c>
      <c r="H19" s="532">
        <v>25</v>
      </c>
      <c r="I19" s="532">
        <v>0</v>
      </c>
      <c r="J19" s="532">
        <v>0</v>
      </c>
      <c r="K19" s="532">
        <v>0</v>
      </c>
      <c r="L19" s="532">
        <v>25</v>
      </c>
      <c r="M19" s="532">
        <v>0</v>
      </c>
      <c r="N19" s="532">
        <v>25</v>
      </c>
      <c r="O19" s="532">
        <v>0</v>
      </c>
      <c r="P19" s="532">
        <v>0</v>
      </c>
      <c r="Q19" s="532">
        <v>25</v>
      </c>
      <c r="R19" s="532">
        <v>0</v>
      </c>
      <c r="S19" s="532">
        <v>0</v>
      </c>
      <c r="T19" s="532">
        <v>0</v>
      </c>
      <c r="U19" s="532">
        <v>25</v>
      </c>
      <c r="V19" s="532">
        <v>0</v>
      </c>
      <c r="W19" s="532">
        <v>0</v>
      </c>
      <c r="X19" s="532">
        <v>0</v>
      </c>
      <c r="Y19" s="532">
        <v>25</v>
      </c>
      <c r="Z19" s="532">
        <v>0</v>
      </c>
      <c r="AA19" s="532">
        <v>0</v>
      </c>
      <c r="AB19" s="532">
        <v>0</v>
      </c>
      <c r="AC19" s="532">
        <v>0</v>
      </c>
      <c r="AD19" s="532">
        <v>0</v>
      </c>
      <c r="AE19" s="532">
        <v>0</v>
      </c>
      <c r="AF19" s="532">
        <v>0</v>
      </c>
      <c r="AG19" s="532">
        <v>0</v>
      </c>
      <c r="AH19" s="527">
        <v>0</v>
      </c>
    </row>
    <row r="20" spans="1:34">
      <c r="A20" s="521" t="s">
        <v>1378</v>
      </c>
      <c r="B20" s="526">
        <v>25</v>
      </c>
      <c r="C20" s="532">
        <v>25</v>
      </c>
      <c r="D20" s="532">
        <v>0</v>
      </c>
      <c r="E20" s="532">
        <v>0</v>
      </c>
      <c r="F20" s="532">
        <v>25</v>
      </c>
      <c r="G20" s="532">
        <v>0</v>
      </c>
      <c r="H20" s="532">
        <v>25</v>
      </c>
      <c r="I20" s="532">
        <v>0</v>
      </c>
      <c r="J20" s="532">
        <v>0</v>
      </c>
      <c r="K20" s="532">
        <v>0</v>
      </c>
      <c r="L20" s="532">
        <v>25</v>
      </c>
      <c r="M20" s="532">
        <v>0</v>
      </c>
      <c r="N20" s="532">
        <v>25</v>
      </c>
      <c r="O20" s="532">
        <v>0</v>
      </c>
      <c r="P20" s="532">
        <v>0</v>
      </c>
      <c r="Q20" s="532">
        <v>25</v>
      </c>
      <c r="R20" s="532">
        <v>0</v>
      </c>
      <c r="S20" s="532">
        <v>0</v>
      </c>
      <c r="T20" s="532">
        <v>0</v>
      </c>
      <c r="U20" s="532">
        <v>25</v>
      </c>
      <c r="V20" s="532">
        <v>0</v>
      </c>
      <c r="W20" s="532">
        <v>0</v>
      </c>
      <c r="X20" s="532">
        <v>0</v>
      </c>
      <c r="Y20" s="532">
        <v>25</v>
      </c>
      <c r="Z20" s="532">
        <v>0</v>
      </c>
      <c r="AA20" s="532">
        <v>0</v>
      </c>
      <c r="AB20" s="532">
        <v>0</v>
      </c>
      <c r="AC20" s="532">
        <v>0</v>
      </c>
      <c r="AD20" s="532">
        <v>0</v>
      </c>
      <c r="AE20" s="532">
        <v>0</v>
      </c>
      <c r="AF20" s="532">
        <v>0</v>
      </c>
      <c r="AG20" s="532">
        <v>0</v>
      </c>
      <c r="AH20" s="527">
        <v>0</v>
      </c>
    </row>
    <row r="21" spans="1:34">
      <c r="A21" s="522" t="s">
        <v>823</v>
      </c>
      <c r="B21" s="528">
        <v>527</v>
      </c>
      <c r="C21" s="533">
        <v>505</v>
      </c>
      <c r="D21" s="533">
        <v>0</v>
      </c>
      <c r="E21" s="533">
        <v>0</v>
      </c>
      <c r="F21" s="533">
        <v>576</v>
      </c>
      <c r="G21" s="533">
        <v>0</v>
      </c>
      <c r="H21" s="533">
        <v>435</v>
      </c>
      <c r="I21" s="533">
        <v>45</v>
      </c>
      <c r="J21" s="533">
        <v>26</v>
      </c>
      <c r="K21" s="533">
        <v>30</v>
      </c>
      <c r="L21" s="533">
        <v>241</v>
      </c>
      <c r="M21" s="533">
        <v>237</v>
      </c>
      <c r="N21" s="533">
        <v>441</v>
      </c>
      <c r="O21" s="533">
        <v>0</v>
      </c>
      <c r="P21" s="533">
        <v>58</v>
      </c>
      <c r="Q21" s="533">
        <v>447</v>
      </c>
      <c r="R21" s="533">
        <v>0</v>
      </c>
      <c r="S21" s="533">
        <v>0</v>
      </c>
      <c r="T21" s="533">
        <v>58</v>
      </c>
      <c r="U21" s="533">
        <v>458</v>
      </c>
      <c r="V21" s="533">
        <v>0</v>
      </c>
      <c r="W21" s="533">
        <v>0</v>
      </c>
      <c r="X21" s="533">
        <v>58</v>
      </c>
      <c r="Y21" s="533">
        <v>498</v>
      </c>
      <c r="Z21" s="533">
        <v>1195</v>
      </c>
      <c r="AA21" s="533">
        <v>1200</v>
      </c>
      <c r="AB21" s="533">
        <v>1195</v>
      </c>
      <c r="AC21" s="533">
        <v>1195</v>
      </c>
      <c r="AD21" s="533">
        <v>1195</v>
      </c>
      <c r="AE21" s="533">
        <v>1204</v>
      </c>
      <c r="AF21" s="533">
        <v>1203</v>
      </c>
      <c r="AG21" s="533">
        <v>1200</v>
      </c>
      <c r="AH21" s="529">
        <v>987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V410"/>
  <sheetViews>
    <sheetView zoomScale="80" workbookViewId="0">
      <pane xSplit="5" ySplit="4" topLeftCell="F188" activePane="bottomRight" state="frozen"/>
      <selection pane="topRight"/>
      <selection pane="bottomLeft"/>
      <selection pane="bottomRight" activeCell="B309" sqref="B309"/>
    </sheetView>
  </sheetViews>
  <sheetFormatPr defaultRowHeight="15.95" customHeight="1"/>
  <cols>
    <col min="1" max="1" width="4.625" style="15" customWidth="1"/>
    <col min="2" max="2" width="13.125" style="27" customWidth="1"/>
    <col min="3" max="3" width="18.75" customWidth="1"/>
    <col min="4" max="4" width="23.375" customWidth="1"/>
    <col min="5" max="5" width="17.375" customWidth="1"/>
    <col min="6" max="6" width="19.5" customWidth="1"/>
    <col min="7" max="7" width="17.5" customWidth="1"/>
    <col min="8" max="8" width="10.5" customWidth="1"/>
    <col min="9" max="9" width="6.375" style="6" customWidth="1"/>
    <col min="10" max="10" width="5.25" style="6" customWidth="1"/>
    <col min="11" max="11" width="24.75" customWidth="1"/>
    <col min="12" max="12" width="5.25" style="15" customWidth="1"/>
    <col min="13" max="13" width="8.75" style="7" customWidth="1"/>
    <col min="14" max="14" width="9.375" style="7" customWidth="1"/>
    <col min="15" max="15" width="7" style="7" customWidth="1"/>
    <col min="16" max="16" width="7.625" style="7" customWidth="1"/>
    <col min="17" max="17" width="7" style="7" customWidth="1"/>
    <col min="18" max="18" width="10.125" style="6" customWidth="1"/>
    <col min="19" max="19" width="10.25" style="6" customWidth="1"/>
    <col min="20" max="20" width="7.625" style="6" customWidth="1"/>
    <col min="21" max="21" width="8" style="6" customWidth="1"/>
    <col min="22" max="22" width="8.375" style="6" customWidth="1"/>
    <col min="23" max="23" width="8.375" customWidth="1"/>
    <col min="24" max="24" width="7.625" customWidth="1"/>
    <col min="25" max="26" width="7.75" style="6" customWidth="1"/>
    <col min="27" max="33" width="5.625" customWidth="1"/>
    <col min="34" max="34" width="5.25" customWidth="1"/>
    <col min="35" max="42" width="8" style="23" customWidth="1"/>
    <col min="43" max="58" width="8.875" style="23" customWidth="1"/>
    <col min="59" max="66" width="9.375" style="23" customWidth="1"/>
    <col min="67" max="67" width="10.25" style="23" customWidth="1"/>
    <col min="68" max="68" width="9" style="23" customWidth="1"/>
    <col min="69" max="71" width="8.875" style="23" customWidth="1"/>
    <col min="72" max="73" width="9" style="23" customWidth="1"/>
    <col min="74" max="79" width="8.875" style="23" customWidth="1"/>
    <col min="80" max="91" width="9" style="23" customWidth="1"/>
    <col min="92" max="93" width="10.875" style="23" customWidth="1"/>
    <col min="94" max="96" width="10.75" style="23" customWidth="1"/>
    <col min="97" max="100" width="10.875" style="23" customWidth="1"/>
  </cols>
  <sheetData>
    <row r="1" spans="1:100" ht="15.95" customHeight="1">
      <c r="A1" s="12"/>
      <c r="B1" s="9"/>
      <c r="C1" s="1"/>
      <c r="D1" s="1"/>
      <c r="E1" s="1"/>
      <c r="F1" s="1"/>
      <c r="G1" s="1"/>
      <c r="H1" s="1"/>
      <c r="I1" s="2"/>
      <c r="J1" s="2"/>
      <c r="K1" s="1"/>
      <c r="L1" s="12"/>
      <c r="M1" s="2"/>
      <c r="N1" s="3"/>
      <c r="O1" s="2"/>
      <c r="P1" s="2"/>
      <c r="Q1" s="2"/>
      <c r="R1" s="2"/>
      <c r="S1" s="2"/>
      <c r="T1" s="2"/>
      <c r="U1" s="2"/>
      <c r="V1" s="2"/>
      <c r="W1" s="1"/>
      <c r="X1" s="1"/>
      <c r="Y1" s="2"/>
      <c r="Z1" s="2"/>
      <c r="AA1" s="1"/>
      <c r="AB1" s="1"/>
      <c r="AC1" s="1"/>
      <c r="AD1" s="1"/>
      <c r="AE1" s="1"/>
      <c r="AF1" s="1"/>
      <c r="AG1" s="1"/>
      <c r="AH1" s="1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22" t="s">
        <v>0</v>
      </c>
      <c r="BP1" s="22">
        <f t="shared" ref="BP1:CV1" si="0">SUM(BP5:BP410)</f>
        <v>527</v>
      </c>
      <c r="BQ1" s="22">
        <f t="shared" si="0"/>
        <v>505</v>
      </c>
      <c r="BR1" s="22">
        <f t="shared" si="0"/>
        <v>0</v>
      </c>
      <c r="BS1" s="22">
        <f t="shared" si="0"/>
        <v>0</v>
      </c>
      <c r="BT1" s="22">
        <f t="shared" si="0"/>
        <v>576</v>
      </c>
      <c r="BU1" s="22">
        <f t="shared" si="0"/>
        <v>0</v>
      </c>
      <c r="BV1" s="22">
        <f t="shared" si="0"/>
        <v>435</v>
      </c>
      <c r="BW1" s="22">
        <f t="shared" si="0"/>
        <v>45</v>
      </c>
      <c r="BX1" s="22">
        <f t="shared" si="0"/>
        <v>26</v>
      </c>
      <c r="BY1" s="22">
        <f t="shared" si="0"/>
        <v>30</v>
      </c>
      <c r="BZ1" s="22">
        <f t="shared" si="0"/>
        <v>241</v>
      </c>
      <c r="CA1" s="22">
        <f t="shared" si="0"/>
        <v>237</v>
      </c>
      <c r="CB1" s="22">
        <f t="shared" si="0"/>
        <v>441</v>
      </c>
      <c r="CC1" s="22">
        <f t="shared" si="0"/>
        <v>0</v>
      </c>
      <c r="CD1" s="22">
        <f t="shared" si="0"/>
        <v>58</v>
      </c>
      <c r="CE1" s="22">
        <f t="shared" si="0"/>
        <v>447</v>
      </c>
      <c r="CF1" s="22">
        <f t="shared" si="0"/>
        <v>0</v>
      </c>
      <c r="CG1" s="22">
        <f t="shared" si="0"/>
        <v>0</v>
      </c>
      <c r="CH1" s="22">
        <f t="shared" si="0"/>
        <v>58</v>
      </c>
      <c r="CI1" s="22">
        <f t="shared" si="0"/>
        <v>458</v>
      </c>
      <c r="CJ1" s="22">
        <f t="shared" si="0"/>
        <v>0</v>
      </c>
      <c r="CK1" s="22">
        <f t="shared" si="0"/>
        <v>0</v>
      </c>
      <c r="CL1" s="22">
        <f t="shared" si="0"/>
        <v>58</v>
      </c>
      <c r="CM1" s="22">
        <f t="shared" si="0"/>
        <v>498</v>
      </c>
      <c r="CN1" s="22">
        <f t="shared" si="0"/>
        <v>1195</v>
      </c>
      <c r="CO1" s="22">
        <f t="shared" si="0"/>
        <v>1200</v>
      </c>
      <c r="CP1" s="22">
        <f t="shared" si="0"/>
        <v>1195</v>
      </c>
      <c r="CQ1" s="22">
        <f t="shared" si="0"/>
        <v>1195</v>
      </c>
      <c r="CR1" s="22">
        <f t="shared" si="0"/>
        <v>1195</v>
      </c>
      <c r="CS1" s="22">
        <f t="shared" si="0"/>
        <v>1204</v>
      </c>
      <c r="CT1" s="22">
        <f t="shared" si="0"/>
        <v>1203</v>
      </c>
      <c r="CU1" s="22">
        <f t="shared" si="0"/>
        <v>1200</v>
      </c>
      <c r="CV1" s="22">
        <f t="shared" si="0"/>
        <v>987</v>
      </c>
    </row>
    <row r="2" spans="1:100" ht="15.95" customHeight="1">
      <c r="A2" s="12"/>
      <c r="B2" s="9"/>
      <c r="C2" s="1"/>
      <c r="D2" s="1"/>
      <c r="E2" s="1"/>
      <c r="F2" s="1"/>
      <c r="G2" s="1"/>
      <c r="H2" s="1"/>
      <c r="I2" s="2"/>
      <c r="J2" s="2"/>
      <c r="K2" s="1"/>
      <c r="L2" s="12"/>
      <c r="M2" s="8"/>
      <c r="N2" s="3"/>
      <c r="O2" s="8"/>
      <c r="P2" s="8"/>
      <c r="Q2" s="8"/>
      <c r="R2" s="2"/>
      <c r="S2" s="2"/>
      <c r="T2" s="2"/>
      <c r="U2" s="2"/>
      <c r="V2" s="2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.95" customHeight="1">
      <c r="A3" s="13"/>
      <c r="B3" s="9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13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17" t="s">
        <v>1</v>
      </c>
      <c r="AJ3" s="17" t="s">
        <v>2</v>
      </c>
      <c r="AK3" s="17" t="s">
        <v>3</v>
      </c>
      <c r="AL3" s="17" t="s">
        <v>4</v>
      </c>
      <c r="AM3" s="17" t="s">
        <v>5</v>
      </c>
      <c r="AN3" s="17" t="s">
        <v>6</v>
      </c>
      <c r="AO3" s="17" t="s">
        <v>7</v>
      </c>
      <c r="AP3" s="17" t="s">
        <v>8</v>
      </c>
      <c r="AQ3" s="17" t="s">
        <v>9</v>
      </c>
      <c r="AR3" s="17" t="s">
        <v>10</v>
      </c>
      <c r="AS3" s="17" t="s">
        <v>11</v>
      </c>
      <c r="AT3" s="17" t="s">
        <v>12</v>
      </c>
      <c r="AU3" s="17" t="s">
        <v>13</v>
      </c>
      <c r="AV3" s="17" t="s">
        <v>14</v>
      </c>
      <c r="AW3" s="17" t="s">
        <v>15</v>
      </c>
      <c r="AX3" s="17" t="s">
        <v>16</v>
      </c>
      <c r="AY3" s="17" t="s">
        <v>17</v>
      </c>
      <c r="AZ3" s="17" t="s">
        <v>18</v>
      </c>
      <c r="BA3" s="17" t="s">
        <v>19</v>
      </c>
      <c r="BB3" s="17" t="s">
        <v>20</v>
      </c>
      <c r="BC3" s="17" t="s">
        <v>21</v>
      </c>
      <c r="BD3" s="17" t="s">
        <v>22</v>
      </c>
      <c r="BE3" s="17" t="s">
        <v>23</v>
      </c>
      <c r="BF3" s="17" t="s">
        <v>24</v>
      </c>
      <c r="BG3" s="18" t="s">
        <v>25</v>
      </c>
      <c r="BH3" s="18" t="s">
        <v>26</v>
      </c>
      <c r="BI3" s="18" t="s">
        <v>27</v>
      </c>
      <c r="BJ3" s="18" t="s">
        <v>28</v>
      </c>
      <c r="BK3" s="18" t="s">
        <v>29</v>
      </c>
      <c r="BL3" s="18" t="s">
        <v>30</v>
      </c>
      <c r="BM3" s="18" t="s">
        <v>31</v>
      </c>
      <c r="BN3" s="18" t="s">
        <v>32</v>
      </c>
      <c r="BO3" s="18" t="s">
        <v>33</v>
      </c>
      <c r="BP3" s="17" t="s">
        <v>34</v>
      </c>
      <c r="BQ3" s="17" t="s">
        <v>34</v>
      </c>
      <c r="BR3" s="17" t="s">
        <v>34</v>
      </c>
      <c r="BS3" s="17" t="s">
        <v>34</v>
      </c>
      <c r="BT3" s="17" t="s">
        <v>34</v>
      </c>
      <c r="BU3" s="17" t="s">
        <v>34</v>
      </c>
      <c r="BV3" s="17" t="s">
        <v>34</v>
      </c>
      <c r="BW3" s="17" t="s">
        <v>34</v>
      </c>
      <c r="BX3" s="17" t="s">
        <v>34</v>
      </c>
      <c r="BY3" s="17" t="s">
        <v>34</v>
      </c>
      <c r="BZ3" s="17" t="s">
        <v>34</v>
      </c>
      <c r="CA3" s="17" t="s">
        <v>34</v>
      </c>
      <c r="CB3" s="17" t="s">
        <v>34</v>
      </c>
      <c r="CC3" s="17" t="s">
        <v>34</v>
      </c>
      <c r="CD3" s="17" t="s">
        <v>34</v>
      </c>
      <c r="CE3" s="17" t="s">
        <v>34</v>
      </c>
      <c r="CF3" s="17" t="s">
        <v>34</v>
      </c>
      <c r="CG3" s="17" t="s">
        <v>34</v>
      </c>
      <c r="CH3" s="17" t="s">
        <v>34</v>
      </c>
      <c r="CI3" s="17" t="s">
        <v>34</v>
      </c>
      <c r="CJ3" s="17" t="s">
        <v>34</v>
      </c>
      <c r="CK3" s="17" t="s">
        <v>34</v>
      </c>
      <c r="CL3" s="17" t="s">
        <v>34</v>
      </c>
      <c r="CM3" s="17" t="s">
        <v>34</v>
      </c>
      <c r="CN3" s="19" t="s">
        <v>35</v>
      </c>
      <c r="CO3" s="19" t="s">
        <v>35</v>
      </c>
      <c r="CP3" s="19" t="s">
        <v>35</v>
      </c>
      <c r="CQ3" s="19" t="s">
        <v>35</v>
      </c>
      <c r="CR3" s="19" t="s">
        <v>35</v>
      </c>
      <c r="CS3" s="19" t="s">
        <v>35</v>
      </c>
      <c r="CT3" s="19" t="s">
        <v>35</v>
      </c>
      <c r="CU3" s="19" t="s">
        <v>35</v>
      </c>
      <c r="CV3" s="19" t="s">
        <v>35</v>
      </c>
    </row>
    <row r="4" spans="1:100" ht="39" customHeight="1">
      <c r="A4" s="14" t="s">
        <v>36</v>
      </c>
      <c r="B4" s="11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5" t="s">
        <v>45</v>
      </c>
      <c r="K4" s="24" t="s">
        <v>46</v>
      </c>
      <c r="L4" s="25" t="s">
        <v>47</v>
      </c>
      <c r="M4" s="26" t="s">
        <v>48</v>
      </c>
      <c r="N4" s="26" t="s">
        <v>49</v>
      </c>
      <c r="O4" s="26" t="s">
        <v>50</v>
      </c>
      <c r="P4" s="26" t="s">
        <v>51</v>
      </c>
      <c r="Q4" s="26" t="s">
        <v>52</v>
      </c>
      <c r="R4" s="10" t="s">
        <v>53</v>
      </c>
      <c r="S4" s="24" t="s">
        <v>54</v>
      </c>
      <c r="T4" s="24" t="s">
        <v>55</v>
      </c>
      <c r="U4" s="10" t="s">
        <v>56</v>
      </c>
      <c r="V4" s="5" t="s">
        <v>57</v>
      </c>
      <c r="W4" s="10" t="s">
        <v>58</v>
      </c>
      <c r="X4" s="10" t="s">
        <v>59</v>
      </c>
      <c r="Y4" s="24" t="s">
        <v>60</v>
      </c>
      <c r="Z4" s="24" t="s">
        <v>61</v>
      </c>
      <c r="AA4" s="24" t="s">
        <v>62</v>
      </c>
      <c r="AB4" s="24" t="s">
        <v>63</v>
      </c>
      <c r="AC4" s="24" t="s">
        <v>64</v>
      </c>
      <c r="AD4" s="24" t="s">
        <v>65</v>
      </c>
      <c r="AE4" s="24" t="s">
        <v>66</v>
      </c>
      <c r="AF4" s="24" t="s">
        <v>67</v>
      </c>
      <c r="AG4" s="24" t="s">
        <v>68</v>
      </c>
      <c r="AH4" s="10" t="s">
        <v>69</v>
      </c>
      <c r="AI4" s="20" t="s">
        <v>70</v>
      </c>
      <c r="AJ4" s="20" t="s">
        <v>71</v>
      </c>
      <c r="AK4" s="20" t="s">
        <v>72</v>
      </c>
      <c r="AL4" s="20" t="s">
        <v>73</v>
      </c>
      <c r="AM4" s="20" t="s">
        <v>74</v>
      </c>
      <c r="AN4" s="20" t="s">
        <v>75</v>
      </c>
      <c r="AO4" s="20" t="s">
        <v>76</v>
      </c>
      <c r="AP4" s="20" t="s">
        <v>77</v>
      </c>
      <c r="AQ4" s="20" t="s">
        <v>78</v>
      </c>
      <c r="AR4" s="20" t="s">
        <v>79</v>
      </c>
      <c r="AS4" s="20" t="s">
        <v>80</v>
      </c>
      <c r="AT4" s="20" t="s">
        <v>81</v>
      </c>
      <c r="AU4" s="20" t="s">
        <v>82</v>
      </c>
      <c r="AV4" s="20" t="s">
        <v>83</v>
      </c>
      <c r="AW4" s="20" t="s">
        <v>84</v>
      </c>
      <c r="AX4" s="20" t="s">
        <v>85</v>
      </c>
      <c r="AY4" s="20" t="s">
        <v>86</v>
      </c>
      <c r="AZ4" s="20" t="s">
        <v>87</v>
      </c>
      <c r="BA4" s="20" t="s">
        <v>88</v>
      </c>
      <c r="BB4" s="20" t="s">
        <v>89</v>
      </c>
      <c r="BC4" s="20" t="s">
        <v>90</v>
      </c>
      <c r="BD4" s="20" t="s">
        <v>91</v>
      </c>
      <c r="BE4" s="20" t="s">
        <v>92</v>
      </c>
      <c r="BF4" s="20" t="s">
        <v>93</v>
      </c>
      <c r="BG4" s="21" t="s">
        <v>94</v>
      </c>
      <c r="BH4" s="21" t="s">
        <v>71</v>
      </c>
      <c r="BI4" s="21" t="s">
        <v>74</v>
      </c>
      <c r="BJ4" s="21" t="s">
        <v>95</v>
      </c>
      <c r="BK4" s="21" t="s">
        <v>81</v>
      </c>
      <c r="BL4" s="21" t="s">
        <v>82</v>
      </c>
      <c r="BM4" s="21" t="s">
        <v>85</v>
      </c>
      <c r="BN4" s="21" t="s">
        <v>89</v>
      </c>
      <c r="BO4" s="21" t="s">
        <v>93</v>
      </c>
      <c r="BP4" s="20" t="s">
        <v>96</v>
      </c>
      <c r="BQ4" s="20" t="s">
        <v>97</v>
      </c>
      <c r="BR4" s="20" t="s">
        <v>98</v>
      </c>
      <c r="BS4" s="20" t="s">
        <v>99</v>
      </c>
      <c r="BT4" s="20" t="s">
        <v>100</v>
      </c>
      <c r="BU4" s="20" t="s">
        <v>101</v>
      </c>
      <c r="BV4" s="20" t="s">
        <v>102</v>
      </c>
      <c r="BW4" s="20" t="s">
        <v>103</v>
      </c>
      <c r="BX4" s="20" t="s">
        <v>104</v>
      </c>
      <c r="BY4" s="20" t="s">
        <v>105</v>
      </c>
      <c r="BZ4" s="20" t="s">
        <v>106</v>
      </c>
      <c r="CA4" s="20" t="s">
        <v>107</v>
      </c>
      <c r="CB4" s="20" t="s">
        <v>108</v>
      </c>
      <c r="CC4" s="20" t="s">
        <v>109</v>
      </c>
      <c r="CD4" s="20" t="s">
        <v>110</v>
      </c>
      <c r="CE4" s="20" t="s">
        <v>111</v>
      </c>
      <c r="CF4" s="20" t="s">
        <v>112</v>
      </c>
      <c r="CG4" s="20" t="s">
        <v>113</v>
      </c>
      <c r="CH4" s="20" t="s">
        <v>114</v>
      </c>
      <c r="CI4" s="20" t="s">
        <v>115</v>
      </c>
      <c r="CJ4" s="20" t="s">
        <v>116</v>
      </c>
      <c r="CK4" s="20" t="s">
        <v>117</v>
      </c>
      <c r="CL4" s="20" t="s">
        <v>118</v>
      </c>
      <c r="CM4" s="20" t="s">
        <v>119</v>
      </c>
      <c r="CN4" s="21" t="s">
        <v>120</v>
      </c>
      <c r="CO4" s="21" t="s">
        <v>121</v>
      </c>
      <c r="CP4" s="21" t="s">
        <v>122</v>
      </c>
      <c r="CQ4" s="21" t="s">
        <v>123</v>
      </c>
      <c r="CR4" s="21" t="s">
        <v>124</v>
      </c>
      <c r="CS4" s="21" t="s">
        <v>125</v>
      </c>
      <c r="CT4" s="21" t="s">
        <v>126</v>
      </c>
      <c r="CU4" s="21" t="s">
        <v>127</v>
      </c>
      <c r="CV4" s="21" t="s">
        <v>128</v>
      </c>
    </row>
    <row r="5" spans="1:100" ht="13.5">
      <c r="A5" s="15">
        <v>31</v>
      </c>
      <c r="B5" s="27" t="s">
        <v>205</v>
      </c>
      <c r="C5" t="s">
        <v>164</v>
      </c>
      <c r="D5" t="s">
        <v>203</v>
      </c>
      <c r="E5" t="s">
        <v>204</v>
      </c>
      <c r="F5" t="s">
        <v>186</v>
      </c>
      <c r="G5" t="s">
        <v>187</v>
      </c>
      <c r="H5" t="s">
        <v>188</v>
      </c>
      <c r="I5" s="6" t="s">
        <v>147</v>
      </c>
      <c r="J5" s="6">
        <v>1</v>
      </c>
      <c r="K5" t="s">
        <v>189</v>
      </c>
      <c r="L5" s="15">
        <v>1</v>
      </c>
      <c r="M5" s="7">
        <v>45995</v>
      </c>
      <c r="N5" s="7">
        <v>46007</v>
      </c>
      <c r="O5" s="7">
        <v>46006</v>
      </c>
      <c r="P5" s="7">
        <v>46009</v>
      </c>
      <c r="R5" s="6" t="s">
        <v>206</v>
      </c>
      <c r="S5" s="6" t="s">
        <v>190</v>
      </c>
      <c r="U5" s="6" t="s">
        <v>191</v>
      </c>
      <c r="V5" s="6" t="str">
        <f t="shared" ref="V5:V68" si="1">TEXT(N5,"YY/MM")</f>
        <v>25/12</v>
      </c>
      <c r="W5">
        <v>21326</v>
      </c>
      <c r="Y5" s="6" t="s">
        <v>192</v>
      </c>
      <c r="Z5" s="6" t="s">
        <v>193</v>
      </c>
      <c r="AD5">
        <v>8201</v>
      </c>
      <c r="AI5" s="23">
        <v>1</v>
      </c>
      <c r="AJ5" s="23">
        <v>1</v>
      </c>
      <c r="AK5" s="23">
        <v>0</v>
      </c>
      <c r="AL5" s="23">
        <v>0</v>
      </c>
      <c r="AM5" s="23">
        <v>1</v>
      </c>
      <c r="AN5" s="23">
        <v>0</v>
      </c>
      <c r="AO5" s="23">
        <v>1</v>
      </c>
      <c r="AP5" s="23">
        <v>0</v>
      </c>
      <c r="AQ5" s="23">
        <v>0</v>
      </c>
      <c r="AR5" s="23">
        <v>0</v>
      </c>
      <c r="AS5" s="23">
        <v>1</v>
      </c>
      <c r="AT5" s="23">
        <v>0</v>
      </c>
      <c r="AU5" s="23">
        <v>1</v>
      </c>
      <c r="AV5" s="23">
        <v>0</v>
      </c>
      <c r="AW5" s="23">
        <v>0</v>
      </c>
      <c r="AX5" s="23">
        <v>1</v>
      </c>
      <c r="AY5" s="23">
        <v>0</v>
      </c>
      <c r="AZ5" s="23">
        <v>0</v>
      </c>
      <c r="BA5" s="23">
        <v>0</v>
      </c>
      <c r="BB5" s="23">
        <v>1</v>
      </c>
      <c r="BC5" s="23">
        <v>0</v>
      </c>
      <c r="BD5" s="23">
        <v>0</v>
      </c>
      <c r="BE5" s="23">
        <v>0</v>
      </c>
      <c r="BF5" s="23">
        <v>1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f t="shared" ref="BP5:BP68" si="2">$L5*AI5</f>
        <v>1</v>
      </c>
      <c r="BQ5" s="23">
        <f t="shared" ref="BQ5:BQ68" si="3">$L5*AJ5</f>
        <v>1</v>
      </c>
      <c r="BR5" s="23">
        <f t="shared" ref="BR5:BR68" si="4">$L5*AK5</f>
        <v>0</v>
      </c>
      <c r="BS5" s="23">
        <f t="shared" ref="BS5:BS68" si="5">$L5*AL5</f>
        <v>0</v>
      </c>
      <c r="BT5" s="23">
        <f t="shared" ref="BT5:BT68" si="6">$L5*AM5</f>
        <v>1</v>
      </c>
      <c r="BU5" s="23">
        <f t="shared" ref="BU5:BU68" si="7">$L5*AN5</f>
        <v>0</v>
      </c>
      <c r="BV5" s="23">
        <f t="shared" ref="BV5:BV68" si="8">$L5*AO5</f>
        <v>1</v>
      </c>
      <c r="BW5" s="23">
        <f t="shared" ref="BW5:BW68" si="9">$L5*AP5</f>
        <v>0</v>
      </c>
      <c r="BX5" s="23">
        <f t="shared" ref="BX5:BX68" si="10">$L5*AQ5</f>
        <v>0</v>
      </c>
      <c r="BY5" s="23">
        <f t="shared" ref="BY5:BY68" si="11">$L5*AR5</f>
        <v>0</v>
      </c>
      <c r="BZ5" s="23">
        <f t="shared" ref="BZ5:BZ68" si="12">$L5*AS5</f>
        <v>1</v>
      </c>
      <c r="CA5" s="23">
        <f t="shared" ref="CA5:CA68" si="13">$L5*AT5</f>
        <v>0</v>
      </c>
      <c r="CB5" s="23">
        <f t="shared" ref="CB5:CB68" si="14">$L5*AU5</f>
        <v>1</v>
      </c>
      <c r="CC5" s="23">
        <f t="shared" ref="CC5:CC68" si="15">$L5*AV5</f>
        <v>0</v>
      </c>
      <c r="CD5" s="23">
        <f t="shared" ref="CD5:CD68" si="16">$L5*AW5</f>
        <v>0</v>
      </c>
      <c r="CE5" s="23">
        <f t="shared" ref="CE5:CE68" si="17">$L5*AX5</f>
        <v>1</v>
      </c>
      <c r="CF5" s="23">
        <f t="shared" ref="CF5:CF68" si="18">$L5*AY5</f>
        <v>0</v>
      </c>
      <c r="CG5" s="23">
        <f t="shared" ref="CG5:CG68" si="19">$L5*AZ5</f>
        <v>0</v>
      </c>
      <c r="CH5" s="23">
        <f t="shared" ref="CH5:CH68" si="20">$L5*BA5</f>
        <v>0</v>
      </c>
      <c r="CI5" s="23">
        <f t="shared" ref="CI5:CI68" si="21">$L5*BB5</f>
        <v>1</v>
      </c>
      <c r="CJ5" s="23">
        <f t="shared" ref="CJ5:CJ68" si="22">$L5*BC5</f>
        <v>0</v>
      </c>
      <c r="CK5" s="23">
        <f t="shared" ref="CK5:CK68" si="23">$L5*BD5</f>
        <v>0</v>
      </c>
      <c r="CL5" s="23">
        <f t="shared" ref="CL5:CL68" si="24">$L5*BE5</f>
        <v>0</v>
      </c>
      <c r="CM5" s="23">
        <f t="shared" ref="CM5:CM68" si="25">$L5*BF5</f>
        <v>1</v>
      </c>
      <c r="CN5" s="23">
        <f t="shared" ref="CN5:CN68" si="26">$L5*BG5</f>
        <v>0</v>
      </c>
      <c r="CO5" s="23">
        <f t="shared" ref="CO5:CO68" si="27">$L5*BH5</f>
        <v>0</v>
      </c>
      <c r="CP5" s="23">
        <f t="shared" ref="CP5:CP68" si="28">$L5*BI5</f>
        <v>0</v>
      </c>
      <c r="CQ5" s="23">
        <f t="shared" ref="CQ5:CQ68" si="29">$L5*BJ5</f>
        <v>0</v>
      </c>
      <c r="CR5" s="23">
        <f t="shared" ref="CR5:CR68" si="30">$L5*BK5</f>
        <v>0</v>
      </c>
      <c r="CS5" s="23">
        <f t="shared" ref="CS5:CS68" si="31">$L5*BL5</f>
        <v>0</v>
      </c>
      <c r="CT5" s="23">
        <f t="shared" ref="CT5:CT68" si="32">$L5*BM5</f>
        <v>0</v>
      </c>
      <c r="CU5" s="23">
        <f t="shared" ref="CU5:CU68" si="33">$L5*BN5</f>
        <v>0</v>
      </c>
      <c r="CV5" s="23">
        <f t="shared" ref="CV5:CV68" si="34">$L5*BO5</f>
        <v>0</v>
      </c>
    </row>
    <row r="6" spans="1:100" ht="13.5">
      <c r="A6" s="15">
        <v>25</v>
      </c>
      <c r="B6" s="27" t="s">
        <v>207</v>
      </c>
      <c r="C6" t="s">
        <v>208</v>
      </c>
      <c r="E6" t="s">
        <v>134</v>
      </c>
      <c r="F6" t="s">
        <v>133</v>
      </c>
      <c r="G6" t="s">
        <v>134</v>
      </c>
      <c r="H6" t="s">
        <v>209</v>
      </c>
      <c r="I6" s="6" t="s">
        <v>136</v>
      </c>
      <c r="J6" s="6">
        <v>1</v>
      </c>
      <c r="L6" s="15">
        <v>1</v>
      </c>
      <c r="M6" s="7">
        <v>45999</v>
      </c>
      <c r="N6" s="7">
        <v>46009</v>
      </c>
      <c r="O6" s="7">
        <v>46008</v>
      </c>
      <c r="P6" s="7">
        <v>46008</v>
      </c>
      <c r="R6" s="6" t="s">
        <v>210</v>
      </c>
      <c r="S6" s="6" t="s">
        <v>134</v>
      </c>
      <c r="U6" s="6" t="s">
        <v>191</v>
      </c>
      <c r="V6" s="6" t="str">
        <f t="shared" si="1"/>
        <v>25/12</v>
      </c>
      <c r="W6">
        <v>21328</v>
      </c>
      <c r="Y6" s="6" t="s">
        <v>211</v>
      </c>
      <c r="Z6" s="6" t="s">
        <v>212</v>
      </c>
      <c r="AA6">
        <v>3217</v>
      </c>
      <c r="AI6" s="23">
        <v>1</v>
      </c>
      <c r="AJ6" s="23">
        <v>1</v>
      </c>
      <c r="AK6" s="23">
        <v>0</v>
      </c>
      <c r="AL6" s="23">
        <v>0</v>
      </c>
      <c r="AM6" s="23">
        <v>1</v>
      </c>
      <c r="AN6" s="23">
        <v>0</v>
      </c>
      <c r="AO6" s="23">
        <v>1</v>
      </c>
      <c r="AP6" s="23">
        <v>0</v>
      </c>
      <c r="AQ6" s="23">
        <v>0</v>
      </c>
      <c r="AR6" s="23">
        <v>0</v>
      </c>
      <c r="AS6" s="23">
        <v>0</v>
      </c>
      <c r="AT6" s="23">
        <v>1</v>
      </c>
      <c r="AU6" s="23">
        <v>1</v>
      </c>
      <c r="AV6" s="23">
        <v>0</v>
      </c>
      <c r="AW6" s="23">
        <v>0</v>
      </c>
      <c r="AX6" s="23">
        <v>1</v>
      </c>
      <c r="AY6" s="23">
        <v>0</v>
      </c>
      <c r="AZ6" s="23">
        <v>0</v>
      </c>
      <c r="BA6" s="23">
        <v>0</v>
      </c>
      <c r="BB6" s="23">
        <v>1</v>
      </c>
      <c r="BC6" s="23">
        <v>0</v>
      </c>
      <c r="BD6" s="23">
        <v>0</v>
      </c>
      <c r="BE6" s="23">
        <v>0</v>
      </c>
      <c r="BF6" s="23">
        <v>1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f t="shared" si="2"/>
        <v>1</v>
      </c>
      <c r="BQ6" s="23">
        <f t="shared" si="3"/>
        <v>1</v>
      </c>
      <c r="BR6" s="23">
        <f t="shared" si="4"/>
        <v>0</v>
      </c>
      <c r="BS6" s="23">
        <f t="shared" si="5"/>
        <v>0</v>
      </c>
      <c r="BT6" s="23">
        <f t="shared" si="6"/>
        <v>1</v>
      </c>
      <c r="BU6" s="23">
        <f t="shared" si="7"/>
        <v>0</v>
      </c>
      <c r="BV6" s="23">
        <f t="shared" si="8"/>
        <v>1</v>
      </c>
      <c r="BW6" s="23">
        <f t="shared" si="9"/>
        <v>0</v>
      </c>
      <c r="BX6" s="23">
        <f t="shared" si="10"/>
        <v>0</v>
      </c>
      <c r="BY6" s="23">
        <f t="shared" si="11"/>
        <v>0</v>
      </c>
      <c r="BZ6" s="23">
        <f t="shared" si="12"/>
        <v>0</v>
      </c>
      <c r="CA6" s="23">
        <f t="shared" si="13"/>
        <v>1</v>
      </c>
      <c r="CB6" s="23">
        <f t="shared" si="14"/>
        <v>1</v>
      </c>
      <c r="CC6" s="23">
        <f t="shared" si="15"/>
        <v>0</v>
      </c>
      <c r="CD6" s="23">
        <f t="shared" si="16"/>
        <v>0</v>
      </c>
      <c r="CE6" s="23">
        <f t="shared" si="17"/>
        <v>1</v>
      </c>
      <c r="CF6" s="23">
        <f t="shared" si="18"/>
        <v>0</v>
      </c>
      <c r="CG6" s="23">
        <f t="shared" si="19"/>
        <v>0</v>
      </c>
      <c r="CH6" s="23">
        <f t="shared" si="20"/>
        <v>0</v>
      </c>
      <c r="CI6" s="23">
        <f t="shared" si="21"/>
        <v>1</v>
      </c>
      <c r="CJ6" s="23">
        <f t="shared" si="22"/>
        <v>0</v>
      </c>
      <c r="CK6" s="23">
        <f t="shared" si="23"/>
        <v>0</v>
      </c>
      <c r="CL6" s="23">
        <f t="shared" si="24"/>
        <v>0</v>
      </c>
      <c r="CM6" s="23">
        <f t="shared" si="25"/>
        <v>1</v>
      </c>
      <c r="CN6" s="23">
        <f t="shared" si="26"/>
        <v>0</v>
      </c>
      <c r="CO6" s="23">
        <f t="shared" si="27"/>
        <v>0</v>
      </c>
      <c r="CP6" s="23">
        <f t="shared" si="28"/>
        <v>0</v>
      </c>
      <c r="CQ6" s="23">
        <f t="shared" si="29"/>
        <v>0</v>
      </c>
      <c r="CR6" s="23">
        <f t="shared" si="30"/>
        <v>0</v>
      </c>
      <c r="CS6" s="23">
        <f t="shared" si="31"/>
        <v>0</v>
      </c>
      <c r="CT6" s="23">
        <f t="shared" si="32"/>
        <v>0</v>
      </c>
      <c r="CU6" s="23">
        <f t="shared" si="33"/>
        <v>0</v>
      </c>
      <c r="CV6" s="23">
        <f t="shared" si="34"/>
        <v>0</v>
      </c>
    </row>
    <row r="7" spans="1:100" ht="13.5">
      <c r="A7" s="15">
        <v>43</v>
      </c>
      <c r="B7" s="27" t="s">
        <v>213</v>
      </c>
      <c r="C7" t="s">
        <v>144</v>
      </c>
      <c r="D7" t="s">
        <v>214</v>
      </c>
      <c r="E7" t="s">
        <v>215</v>
      </c>
      <c r="F7" t="s">
        <v>171</v>
      </c>
      <c r="G7" t="s">
        <v>176</v>
      </c>
      <c r="H7" t="s">
        <v>177</v>
      </c>
      <c r="I7" s="6" t="s">
        <v>147</v>
      </c>
      <c r="J7" s="6">
        <v>1</v>
      </c>
      <c r="K7" t="s">
        <v>178</v>
      </c>
      <c r="L7" s="15">
        <v>1</v>
      </c>
      <c r="M7" s="7">
        <v>46000</v>
      </c>
      <c r="N7" s="7">
        <v>46010</v>
      </c>
      <c r="O7" s="7">
        <v>46009</v>
      </c>
      <c r="P7" s="7">
        <v>46014</v>
      </c>
      <c r="R7" s="6" t="s">
        <v>216</v>
      </c>
      <c r="S7" s="6" t="s">
        <v>197</v>
      </c>
      <c r="U7" s="6" t="s">
        <v>191</v>
      </c>
      <c r="V7" s="6" t="str">
        <f t="shared" si="1"/>
        <v>25/12</v>
      </c>
      <c r="W7">
        <v>21330</v>
      </c>
      <c r="Y7" s="6" t="s">
        <v>192</v>
      </c>
      <c r="Z7" s="6" t="s">
        <v>193</v>
      </c>
      <c r="AD7">
        <v>8202</v>
      </c>
      <c r="AI7" s="23">
        <v>1</v>
      </c>
      <c r="AJ7" s="23">
        <v>1</v>
      </c>
      <c r="AK7" s="23">
        <v>0</v>
      </c>
      <c r="AL7" s="23">
        <v>0</v>
      </c>
      <c r="AM7" s="23">
        <v>1</v>
      </c>
      <c r="AN7" s="23">
        <v>0</v>
      </c>
      <c r="AO7" s="23">
        <v>1</v>
      </c>
      <c r="AP7" s="23">
        <v>0</v>
      </c>
      <c r="AQ7" s="23">
        <v>0</v>
      </c>
      <c r="AR7" s="23">
        <v>0</v>
      </c>
      <c r="AS7" s="23">
        <v>0</v>
      </c>
      <c r="AT7" s="23">
        <v>1</v>
      </c>
      <c r="AU7" s="23">
        <v>1</v>
      </c>
      <c r="AV7" s="23">
        <v>0</v>
      </c>
      <c r="AW7" s="23">
        <v>0</v>
      </c>
      <c r="AX7" s="23">
        <v>1</v>
      </c>
      <c r="AY7" s="23">
        <v>0</v>
      </c>
      <c r="AZ7" s="23">
        <v>0</v>
      </c>
      <c r="BA7" s="23">
        <v>0</v>
      </c>
      <c r="BB7" s="23">
        <v>1</v>
      </c>
      <c r="BC7" s="23">
        <v>0</v>
      </c>
      <c r="BD7" s="23">
        <v>0</v>
      </c>
      <c r="BE7" s="23">
        <v>0</v>
      </c>
      <c r="BF7" s="23">
        <v>1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0</v>
      </c>
      <c r="BO7" s="23">
        <v>0</v>
      </c>
      <c r="BP7" s="23">
        <f t="shared" si="2"/>
        <v>1</v>
      </c>
      <c r="BQ7" s="23">
        <f t="shared" si="3"/>
        <v>1</v>
      </c>
      <c r="BR7" s="23">
        <f t="shared" si="4"/>
        <v>0</v>
      </c>
      <c r="BS7" s="23">
        <f t="shared" si="5"/>
        <v>0</v>
      </c>
      <c r="BT7" s="23">
        <f t="shared" si="6"/>
        <v>1</v>
      </c>
      <c r="BU7" s="23">
        <f t="shared" si="7"/>
        <v>0</v>
      </c>
      <c r="BV7" s="23">
        <f t="shared" si="8"/>
        <v>1</v>
      </c>
      <c r="BW7" s="23">
        <f t="shared" si="9"/>
        <v>0</v>
      </c>
      <c r="BX7" s="23">
        <f t="shared" si="10"/>
        <v>0</v>
      </c>
      <c r="BY7" s="23">
        <f t="shared" si="11"/>
        <v>0</v>
      </c>
      <c r="BZ7" s="23">
        <f t="shared" si="12"/>
        <v>0</v>
      </c>
      <c r="CA7" s="23">
        <f t="shared" si="13"/>
        <v>1</v>
      </c>
      <c r="CB7" s="23">
        <f t="shared" si="14"/>
        <v>1</v>
      </c>
      <c r="CC7" s="23">
        <f t="shared" si="15"/>
        <v>0</v>
      </c>
      <c r="CD7" s="23">
        <f t="shared" si="16"/>
        <v>0</v>
      </c>
      <c r="CE7" s="23">
        <f t="shared" si="17"/>
        <v>1</v>
      </c>
      <c r="CF7" s="23">
        <f t="shared" si="18"/>
        <v>0</v>
      </c>
      <c r="CG7" s="23">
        <f t="shared" si="19"/>
        <v>0</v>
      </c>
      <c r="CH7" s="23">
        <f t="shared" si="20"/>
        <v>0</v>
      </c>
      <c r="CI7" s="23">
        <f t="shared" si="21"/>
        <v>1</v>
      </c>
      <c r="CJ7" s="23">
        <f t="shared" si="22"/>
        <v>0</v>
      </c>
      <c r="CK7" s="23">
        <f t="shared" si="23"/>
        <v>0</v>
      </c>
      <c r="CL7" s="23">
        <f t="shared" si="24"/>
        <v>0</v>
      </c>
      <c r="CM7" s="23">
        <f t="shared" si="25"/>
        <v>1</v>
      </c>
      <c r="CN7" s="23">
        <f t="shared" si="26"/>
        <v>0</v>
      </c>
      <c r="CO7" s="23">
        <f t="shared" si="27"/>
        <v>0</v>
      </c>
      <c r="CP7" s="23">
        <f t="shared" si="28"/>
        <v>0</v>
      </c>
      <c r="CQ7" s="23">
        <f t="shared" si="29"/>
        <v>0</v>
      </c>
      <c r="CR7" s="23">
        <f t="shared" si="30"/>
        <v>0</v>
      </c>
      <c r="CS7" s="23">
        <f t="shared" si="31"/>
        <v>0</v>
      </c>
      <c r="CT7" s="23">
        <f t="shared" si="32"/>
        <v>0</v>
      </c>
      <c r="CU7" s="23">
        <f t="shared" si="33"/>
        <v>0</v>
      </c>
      <c r="CV7" s="23">
        <f t="shared" si="34"/>
        <v>0</v>
      </c>
    </row>
    <row r="8" spans="1:100" ht="13.5">
      <c r="A8" s="15">
        <v>52</v>
      </c>
      <c r="B8" s="27" t="s">
        <v>217</v>
      </c>
      <c r="C8" t="s">
        <v>164</v>
      </c>
      <c r="D8" t="s">
        <v>218</v>
      </c>
      <c r="F8" t="s">
        <v>186</v>
      </c>
      <c r="G8" t="s">
        <v>187</v>
      </c>
      <c r="H8" t="s">
        <v>188</v>
      </c>
      <c r="I8" s="6" t="s">
        <v>147</v>
      </c>
      <c r="J8" s="6">
        <v>1</v>
      </c>
      <c r="K8" t="s">
        <v>189</v>
      </c>
      <c r="L8" s="15">
        <v>1</v>
      </c>
      <c r="M8" s="7">
        <v>46002</v>
      </c>
      <c r="N8" s="7">
        <v>46014</v>
      </c>
      <c r="O8" s="7">
        <v>46013</v>
      </c>
      <c r="P8" s="7">
        <v>46016</v>
      </c>
      <c r="R8" s="6" t="s">
        <v>219</v>
      </c>
      <c r="S8" s="6" t="s">
        <v>190</v>
      </c>
      <c r="U8" s="6" t="s">
        <v>191</v>
      </c>
      <c r="V8" s="6" t="str">
        <f t="shared" si="1"/>
        <v>25/12</v>
      </c>
      <c r="W8">
        <v>21331</v>
      </c>
      <c r="Y8" s="6" t="s">
        <v>192</v>
      </c>
      <c r="Z8" s="6" t="s">
        <v>193</v>
      </c>
      <c r="AD8">
        <v>8203</v>
      </c>
      <c r="AI8" s="23">
        <v>1</v>
      </c>
      <c r="AJ8" s="23">
        <v>1</v>
      </c>
      <c r="AK8" s="23">
        <v>0</v>
      </c>
      <c r="AL8" s="23">
        <v>0</v>
      </c>
      <c r="AM8" s="23">
        <v>1</v>
      </c>
      <c r="AN8" s="23">
        <v>0</v>
      </c>
      <c r="AO8" s="23">
        <v>1</v>
      </c>
      <c r="AP8" s="23">
        <v>0</v>
      </c>
      <c r="AQ8" s="23">
        <v>0</v>
      </c>
      <c r="AR8" s="23">
        <v>0</v>
      </c>
      <c r="AS8" s="23">
        <v>1</v>
      </c>
      <c r="AT8" s="23">
        <v>0</v>
      </c>
      <c r="AU8" s="23">
        <v>1</v>
      </c>
      <c r="AV8" s="23">
        <v>0</v>
      </c>
      <c r="AW8" s="23">
        <v>0</v>
      </c>
      <c r="AX8" s="23">
        <v>1</v>
      </c>
      <c r="AY8" s="23">
        <v>0</v>
      </c>
      <c r="AZ8" s="23">
        <v>0</v>
      </c>
      <c r="BA8" s="23">
        <v>0</v>
      </c>
      <c r="BB8" s="23">
        <v>1</v>
      </c>
      <c r="BC8" s="23">
        <v>0</v>
      </c>
      <c r="BD8" s="23">
        <v>0</v>
      </c>
      <c r="BE8" s="23">
        <v>0</v>
      </c>
      <c r="BF8" s="23">
        <v>1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f t="shared" si="2"/>
        <v>1</v>
      </c>
      <c r="BQ8" s="23">
        <f t="shared" si="3"/>
        <v>1</v>
      </c>
      <c r="BR8" s="23">
        <f t="shared" si="4"/>
        <v>0</v>
      </c>
      <c r="BS8" s="23">
        <f t="shared" si="5"/>
        <v>0</v>
      </c>
      <c r="BT8" s="23">
        <f t="shared" si="6"/>
        <v>1</v>
      </c>
      <c r="BU8" s="23">
        <f t="shared" si="7"/>
        <v>0</v>
      </c>
      <c r="BV8" s="23">
        <f t="shared" si="8"/>
        <v>1</v>
      </c>
      <c r="BW8" s="23">
        <f t="shared" si="9"/>
        <v>0</v>
      </c>
      <c r="BX8" s="23">
        <f t="shared" si="10"/>
        <v>0</v>
      </c>
      <c r="BY8" s="23">
        <f t="shared" si="11"/>
        <v>0</v>
      </c>
      <c r="BZ8" s="23">
        <f t="shared" si="12"/>
        <v>1</v>
      </c>
      <c r="CA8" s="23">
        <f t="shared" si="13"/>
        <v>0</v>
      </c>
      <c r="CB8" s="23">
        <f t="shared" si="14"/>
        <v>1</v>
      </c>
      <c r="CC8" s="23">
        <f t="shared" si="15"/>
        <v>0</v>
      </c>
      <c r="CD8" s="23">
        <f t="shared" si="16"/>
        <v>0</v>
      </c>
      <c r="CE8" s="23">
        <f t="shared" si="17"/>
        <v>1</v>
      </c>
      <c r="CF8" s="23">
        <f t="shared" si="18"/>
        <v>0</v>
      </c>
      <c r="CG8" s="23">
        <f t="shared" si="19"/>
        <v>0</v>
      </c>
      <c r="CH8" s="23">
        <f t="shared" si="20"/>
        <v>0</v>
      </c>
      <c r="CI8" s="23">
        <f t="shared" si="21"/>
        <v>1</v>
      </c>
      <c r="CJ8" s="23">
        <f t="shared" si="22"/>
        <v>0</v>
      </c>
      <c r="CK8" s="23">
        <f t="shared" si="23"/>
        <v>0</v>
      </c>
      <c r="CL8" s="23">
        <f t="shared" si="24"/>
        <v>0</v>
      </c>
      <c r="CM8" s="23">
        <f t="shared" si="25"/>
        <v>1</v>
      </c>
      <c r="CN8" s="23">
        <f t="shared" si="26"/>
        <v>0</v>
      </c>
      <c r="CO8" s="23">
        <f t="shared" si="27"/>
        <v>0</v>
      </c>
      <c r="CP8" s="23">
        <f t="shared" si="28"/>
        <v>0</v>
      </c>
      <c r="CQ8" s="23">
        <f t="shared" si="29"/>
        <v>0</v>
      </c>
      <c r="CR8" s="23">
        <f t="shared" si="30"/>
        <v>0</v>
      </c>
      <c r="CS8" s="23">
        <f t="shared" si="31"/>
        <v>0</v>
      </c>
      <c r="CT8" s="23">
        <f t="shared" si="32"/>
        <v>0</v>
      </c>
      <c r="CU8" s="23">
        <f t="shared" si="33"/>
        <v>0</v>
      </c>
      <c r="CV8" s="23">
        <f t="shared" si="34"/>
        <v>0</v>
      </c>
    </row>
    <row r="9" spans="1:100" ht="13.5">
      <c r="A9" s="15">
        <v>56</v>
      </c>
      <c r="B9" s="27" t="s">
        <v>220</v>
      </c>
      <c r="C9" t="s">
        <v>164</v>
      </c>
      <c r="D9" t="s">
        <v>221</v>
      </c>
      <c r="F9" t="s">
        <v>194</v>
      </c>
      <c r="G9" t="s">
        <v>195</v>
      </c>
      <c r="H9" t="s">
        <v>196</v>
      </c>
      <c r="I9" s="6" t="s">
        <v>147</v>
      </c>
      <c r="J9" s="6">
        <v>1</v>
      </c>
      <c r="L9" s="15">
        <v>1</v>
      </c>
      <c r="M9" s="7">
        <v>46003</v>
      </c>
      <c r="N9" s="7">
        <v>46015</v>
      </c>
      <c r="O9" s="7">
        <v>46014</v>
      </c>
      <c r="P9" s="7">
        <v>46017</v>
      </c>
      <c r="R9" s="6" t="s">
        <v>222</v>
      </c>
      <c r="S9" s="6" t="s">
        <v>190</v>
      </c>
      <c r="U9" s="6" t="s">
        <v>191</v>
      </c>
      <c r="V9" s="6" t="str">
        <f t="shared" si="1"/>
        <v>25/12</v>
      </c>
      <c r="W9">
        <v>21332</v>
      </c>
      <c r="Y9" s="6" t="s">
        <v>192</v>
      </c>
      <c r="Z9" s="6" t="s">
        <v>193</v>
      </c>
      <c r="AD9">
        <v>8204</v>
      </c>
      <c r="AI9" s="23">
        <v>1</v>
      </c>
      <c r="AJ9" s="23">
        <v>1</v>
      </c>
      <c r="AK9" s="23">
        <v>0</v>
      </c>
      <c r="AL9" s="23">
        <v>0</v>
      </c>
      <c r="AM9" s="23">
        <v>1</v>
      </c>
      <c r="AN9" s="23">
        <v>0</v>
      </c>
      <c r="AO9" s="23">
        <v>1</v>
      </c>
      <c r="AP9" s="23">
        <v>0</v>
      </c>
      <c r="AQ9" s="23">
        <v>0</v>
      </c>
      <c r="AR9" s="23">
        <v>0</v>
      </c>
      <c r="AS9" s="23">
        <v>1</v>
      </c>
      <c r="AT9" s="23">
        <v>0</v>
      </c>
      <c r="AU9" s="23">
        <v>1</v>
      </c>
      <c r="AV9" s="23">
        <v>0</v>
      </c>
      <c r="AW9" s="23">
        <v>0</v>
      </c>
      <c r="AX9" s="23">
        <v>1</v>
      </c>
      <c r="AY9" s="23">
        <v>0</v>
      </c>
      <c r="AZ9" s="23">
        <v>0</v>
      </c>
      <c r="BA9" s="23">
        <v>0</v>
      </c>
      <c r="BB9" s="23">
        <v>1</v>
      </c>
      <c r="BC9" s="23">
        <v>0</v>
      </c>
      <c r="BD9" s="23">
        <v>0</v>
      </c>
      <c r="BE9" s="23">
        <v>0</v>
      </c>
      <c r="BF9" s="23">
        <v>1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f t="shared" si="2"/>
        <v>1</v>
      </c>
      <c r="BQ9" s="23">
        <f t="shared" si="3"/>
        <v>1</v>
      </c>
      <c r="BR9" s="23">
        <f t="shared" si="4"/>
        <v>0</v>
      </c>
      <c r="BS9" s="23">
        <f t="shared" si="5"/>
        <v>0</v>
      </c>
      <c r="BT9" s="23">
        <f t="shared" si="6"/>
        <v>1</v>
      </c>
      <c r="BU9" s="23">
        <f t="shared" si="7"/>
        <v>0</v>
      </c>
      <c r="BV9" s="23">
        <f t="shared" si="8"/>
        <v>1</v>
      </c>
      <c r="BW9" s="23">
        <f t="shared" si="9"/>
        <v>0</v>
      </c>
      <c r="BX9" s="23">
        <f t="shared" si="10"/>
        <v>0</v>
      </c>
      <c r="BY9" s="23">
        <f t="shared" si="11"/>
        <v>0</v>
      </c>
      <c r="BZ9" s="23">
        <f t="shared" si="12"/>
        <v>1</v>
      </c>
      <c r="CA9" s="23">
        <f t="shared" si="13"/>
        <v>0</v>
      </c>
      <c r="CB9" s="23">
        <f t="shared" si="14"/>
        <v>1</v>
      </c>
      <c r="CC9" s="23">
        <f t="shared" si="15"/>
        <v>0</v>
      </c>
      <c r="CD9" s="23">
        <f t="shared" si="16"/>
        <v>0</v>
      </c>
      <c r="CE9" s="23">
        <f t="shared" si="17"/>
        <v>1</v>
      </c>
      <c r="CF9" s="23">
        <f t="shared" si="18"/>
        <v>0</v>
      </c>
      <c r="CG9" s="23">
        <f t="shared" si="19"/>
        <v>0</v>
      </c>
      <c r="CH9" s="23">
        <f t="shared" si="20"/>
        <v>0</v>
      </c>
      <c r="CI9" s="23">
        <f t="shared" si="21"/>
        <v>1</v>
      </c>
      <c r="CJ9" s="23">
        <f t="shared" si="22"/>
        <v>0</v>
      </c>
      <c r="CK9" s="23">
        <f t="shared" si="23"/>
        <v>0</v>
      </c>
      <c r="CL9" s="23">
        <f t="shared" si="24"/>
        <v>0</v>
      </c>
      <c r="CM9" s="23">
        <f t="shared" si="25"/>
        <v>1</v>
      </c>
      <c r="CN9" s="23">
        <f t="shared" si="26"/>
        <v>0</v>
      </c>
      <c r="CO9" s="23">
        <f t="shared" si="27"/>
        <v>0</v>
      </c>
      <c r="CP9" s="23">
        <f t="shared" si="28"/>
        <v>0</v>
      </c>
      <c r="CQ9" s="23">
        <f t="shared" si="29"/>
        <v>0</v>
      </c>
      <c r="CR9" s="23">
        <f t="shared" si="30"/>
        <v>0</v>
      </c>
      <c r="CS9" s="23">
        <f t="shared" si="31"/>
        <v>0</v>
      </c>
      <c r="CT9" s="23">
        <f t="shared" si="32"/>
        <v>0</v>
      </c>
      <c r="CU9" s="23">
        <f t="shared" si="33"/>
        <v>0</v>
      </c>
      <c r="CV9" s="23">
        <f t="shared" si="34"/>
        <v>0</v>
      </c>
    </row>
    <row r="10" spans="1:100" ht="13.5">
      <c r="A10" s="15">
        <v>57</v>
      </c>
      <c r="B10" s="27" t="s">
        <v>223</v>
      </c>
      <c r="C10" t="s">
        <v>164</v>
      </c>
      <c r="D10" t="s">
        <v>224</v>
      </c>
      <c r="F10" t="s">
        <v>194</v>
      </c>
      <c r="G10" t="s">
        <v>195</v>
      </c>
      <c r="H10" t="s">
        <v>196</v>
      </c>
      <c r="I10" s="6" t="s">
        <v>147</v>
      </c>
      <c r="J10" s="6">
        <v>1</v>
      </c>
      <c r="L10" s="15">
        <v>1</v>
      </c>
      <c r="M10" s="7">
        <v>46003</v>
      </c>
      <c r="N10" s="7">
        <v>46015</v>
      </c>
      <c r="O10" s="7">
        <v>46014</v>
      </c>
      <c r="P10" s="7">
        <v>46017</v>
      </c>
      <c r="R10" s="6" t="s">
        <v>225</v>
      </c>
      <c r="S10" s="6" t="s">
        <v>190</v>
      </c>
      <c r="U10" s="6" t="s">
        <v>191</v>
      </c>
      <c r="V10" s="6" t="str">
        <f t="shared" si="1"/>
        <v>25/12</v>
      </c>
      <c r="W10">
        <v>21333</v>
      </c>
      <c r="Y10" s="6" t="s">
        <v>192</v>
      </c>
      <c r="Z10" s="6" t="s">
        <v>193</v>
      </c>
      <c r="AD10">
        <v>8205</v>
      </c>
      <c r="AI10" s="23">
        <v>1</v>
      </c>
      <c r="AJ10" s="23">
        <v>1</v>
      </c>
      <c r="AK10" s="23">
        <v>0</v>
      </c>
      <c r="AL10" s="23">
        <v>0</v>
      </c>
      <c r="AM10" s="23">
        <v>1</v>
      </c>
      <c r="AN10" s="23">
        <v>0</v>
      </c>
      <c r="AO10" s="23">
        <v>1</v>
      </c>
      <c r="AP10" s="23">
        <v>0</v>
      </c>
      <c r="AQ10" s="23">
        <v>0</v>
      </c>
      <c r="AR10" s="23">
        <v>0</v>
      </c>
      <c r="AS10" s="23">
        <v>1</v>
      </c>
      <c r="AT10" s="23">
        <v>0</v>
      </c>
      <c r="AU10" s="23">
        <v>1</v>
      </c>
      <c r="AV10" s="23">
        <v>0</v>
      </c>
      <c r="AW10" s="23">
        <v>0</v>
      </c>
      <c r="AX10" s="23">
        <v>1</v>
      </c>
      <c r="AY10" s="23">
        <v>0</v>
      </c>
      <c r="AZ10" s="23">
        <v>0</v>
      </c>
      <c r="BA10" s="23">
        <v>0</v>
      </c>
      <c r="BB10" s="23">
        <v>1</v>
      </c>
      <c r="BC10" s="23">
        <v>0</v>
      </c>
      <c r="BD10" s="23">
        <v>0</v>
      </c>
      <c r="BE10" s="23">
        <v>0</v>
      </c>
      <c r="BF10" s="23">
        <v>1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f t="shared" si="2"/>
        <v>1</v>
      </c>
      <c r="BQ10" s="23">
        <f t="shared" si="3"/>
        <v>1</v>
      </c>
      <c r="BR10" s="23">
        <f t="shared" si="4"/>
        <v>0</v>
      </c>
      <c r="BS10" s="23">
        <f t="shared" si="5"/>
        <v>0</v>
      </c>
      <c r="BT10" s="23">
        <f t="shared" si="6"/>
        <v>1</v>
      </c>
      <c r="BU10" s="23">
        <f t="shared" si="7"/>
        <v>0</v>
      </c>
      <c r="BV10" s="23">
        <f t="shared" si="8"/>
        <v>1</v>
      </c>
      <c r="BW10" s="23">
        <f t="shared" si="9"/>
        <v>0</v>
      </c>
      <c r="BX10" s="23">
        <f t="shared" si="10"/>
        <v>0</v>
      </c>
      <c r="BY10" s="23">
        <f t="shared" si="11"/>
        <v>0</v>
      </c>
      <c r="BZ10" s="23">
        <f t="shared" si="12"/>
        <v>1</v>
      </c>
      <c r="CA10" s="23">
        <f t="shared" si="13"/>
        <v>0</v>
      </c>
      <c r="CB10" s="23">
        <f t="shared" si="14"/>
        <v>1</v>
      </c>
      <c r="CC10" s="23">
        <f t="shared" si="15"/>
        <v>0</v>
      </c>
      <c r="CD10" s="23">
        <f t="shared" si="16"/>
        <v>0</v>
      </c>
      <c r="CE10" s="23">
        <f t="shared" si="17"/>
        <v>1</v>
      </c>
      <c r="CF10" s="23">
        <f t="shared" si="18"/>
        <v>0</v>
      </c>
      <c r="CG10" s="23">
        <f t="shared" si="19"/>
        <v>0</v>
      </c>
      <c r="CH10" s="23">
        <f t="shared" si="20"/>
        <v>0</v>
      </c>
      <c r="CI10" s="23">
        <f t="shared" si="21"/>
        <v>1</v>
      </c>
      <c r="CJ10" s="23">
        <f t="shared" si="22"/>
        <v>0</v>
      </c>
      <c r="CK10" s="23">
        <f t="shared" si="23"/>
        <v>0</v>
      </c>
      <c r="CL10" s="23">
        <f t="shared" si="24"/>
        <v>0</v>
      </c>
      <c r="CM10" s="23">
        <f t="shared" si="25"/>
        <v>1</v>
      </c>
      <c r="CN10" s="23">
        <f t="shared" si="26"/>
        <v>0</v>
      </c>
      <c r="CO10" s="23">
        <f t="shared" si="27"/>
        <v>0</v>
      </c>
      <c r="CP10" s="23">
        <f t="shared" si="28"/>
        <v>0</v>
      </c>
      <c r="CQ10" s="23">
        <f t="shared" si="29"/>
        <v>0</v>
      </c>
      <c r="CR10" s="23">
        <f t="shared" si="30"/>
        <v>0</v>
      </c>
      <c r="CS10" s="23">
        <f t="shared" si="31"/>
        <v>0</v>
      </c>
      <c r="CT10" s="23">
        <f t="shared" si="32"/>
        <v>0</v>
      </c>
      <c r="CU10" s="23">
        <f t="shared" si="33"/>
        <v>0</v>
      </c>
      <c r="CV10" s="23">
        <f t="shared" si="34"/>
        <v>0</v>
      </c>
    </row>
    <row r="11" spans="1:100" ht="13.5">
      <c r="A11" s="15">
        <v>75</v>
      </c>
      <c r="B11" s="27" t="s">
        <v>226</v>
      </c>
      <c r="C11" t="s">
        <v>149</v>
      </c>
      <c r="D11" t="s">
        <v>227</v>
      </c>
      <c r="F11" t="s">
        <v>152</v>
      </c>
      <c r="G11" t="s">
        <v>153</v>
      </c>
      <c r="H11" t="s">
        <v>154</v>
      </c>
      <c r="I11" s="6" t="s">
        <v>147</v>
      </c>
      <c r="J11" s="6">
        <v>0</v>
      </c>
      <c r="L11" s="15">
        <v>1</v>
      </c>
      <c r="M11" s="7">
        <v>46008</v>
      </c>
      <c r="N11" s="7">
        <v>46027</v>
      </c>
      <c r="O11" s="7">
        <v>46017</v>
      </c>
      <c r="P11" s="7">
        <v>46029</v>
      </c>
      <c r="R11" s="6" t="s">
        <v>228</v>
      </c>
      <c r="S11" s="6" t="s">
        <v>199</v>
      </c>
      <c r="U11" s="6" t="s">
        <v>191</v>
      </c>
      <c r="V11" s="6" t="str">
        <f t="shared" si="1"/>
        <v>26/01</v>
      </c>
      <c r="W11">
        <v>21334</v>
      </c>
      <c r="Y11" s="6" t="s">
        <v>200</v>
      </c>
      <c r="Z11" s="6" t="s">
        <v>193</v>
      </c>
      <c r="AG11">
        <v>3524</v>
      </c>
      <c r="AI11" s="23">
        <v>1</v>
      </c>
      <c r="AJ11" s="23">
        <v>1</v>
      </c>
      <c r="AK11" s="23">
        <v>0</v>
      </c>
      <c r="AL11" s="23">
        <v>0</v>
      </c>
      <c r="AM11" s="23">
        <v>1</v>
      </c>
      <c r="AN11" s="23">
        <v>0</v>
      </c>
      <c r="AO11" s="23">
        <v>0</v>
      </c>
      <c r="AP11" s="23">
        <v>0</v>
      </c>
      <c r="AQ11" s="23">
        <v>1</v>
      </c>
      <c r="AR11" s="23">
        <v>0</v>
      </c>
      <c r="AS11" s="23">
        <v>1</v>
      </c>
      <c r="AT11" s="23">
        <v>0</v>
      </c>
      <c r="AU11" s="23">
        <v>0</v>
      </c>
      <c r="AV11" s="23">
        <v>0</v>
      </c>
      <c r="AW11" s="23">
        <v>1</v>
      </c>
      <c r="AX11" s="23">
        <v>0</v>
      </c>
      <c r="AY11" s="23">
        <v>0</v>
      </c>
      <c r="AZ11" s="23">
        <v>0</v>
      </c>
      <c r="BA11" s="23">
        <v>1</v>
      </c>
      <c r="BB11" s="23">
        <v>0</v>
      </c>
      <c r="BC11" s="23">
        <v>0</v>
      </c>
      <c r="BD11" s="23">
        <v>0</v>
      </c>
      <c r="BE11" s="23">
        <v>1</v>
      </c>
      <c r="BF11" s="23">
        <v>1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f t="shared" si="2"/>
        <v>1</v>
      </c>
      <c r="BQ11" s="23">
        <f t="shared" si="3"/>
        <v>1</v>
      </c>
      <c r="BR11" s="23">
        <f t="shared" si="4"/>
        <v>0</v>
      </c>
      <c r="BS11" s="23">
        <f t="shared" si="5"/>
        <v>0</v>
      </c>
      <c r="BT11" s="23">
        <f t="shared" si="6"/>
        <v>1</v>
      </c>
      <c r="BU11" s="23">
        <f t="shared" si="7"/>
        <v>0</v>
      </c>
      <c r="BV11" s="23">
        <f t="shared" si="8"/>
        <v>0</v>
      </c>
      <c r="BW11" s="23">
        <f t="shared" si="9"/>
        <v>0</v>
      </c>
      <c r="BX11" s="23">
        <f t="shared" si="10"/>
        <v>1</v>
      </c>
      <c r="BY11" s="23">
        <f t="shared" si="11"/>
        <v>0</v>
      </c>
      <c r="BZ11" s="23">
        <f t="shared" si="12"/>
        <v>1</v>
      </c>
      <c r="CA11" s="23">
        <f t="shared" si="13"/>
        <v>0</v>
      </c>
      <c r="CB11" s="23">
        <f t="shared" si="14"/>
        <v>0</v>
      </c>
      <c r="CC11" s="23">
        <f t="shared" si="15"/>
        <v>0</v>
      </c>
      <c r="CD11" s="23">
        <f t="shared" si="16"/>
        <v>1</v>
      </c>
      <c r="CE11" s="23">
        <f t="shared" si="17"/>
        <v>0</v>
      </c>
      <c r="CF11" s="23">
        <f t="shared" si="18"/>
        <v>0</v>
      </c>
      <c r="CG11" s="23">
        <f t="shared" si="19"/>
        <v>0</v>
      </c>
      <c r="CH11" s="23">
        <f t="shared" si="20"/>
        <v>1</v>
      </c>
      <c r="CI11" s="23">
        <f t="shared" si="21"/>
        <v>0</v>
      </c>
      <c r="CJ11" s="23">
        <f t="shared" si="22"/>
        <v>0</v>
      </c>
      <c r="CK11" s="23">
        <f t="shared" si="23"/>
        <v>0</v>
      </c>
      <c r="CL11" s="23">
        <f t="shared" si="24"/>
        <v>1</v>
      </c>
      <c r="CM11" s="23">
        <f t="shared" si="25"/>
        <v>1</v>
      </c>
      <c r="CN11" s="23">
        <f t="shared" si="26"/>
        <v>0</v>
      </c>
      <c r="CO11" s="23">
        <f t="shared" si="27"/>
        <v>0</v>
      </c>
      <c r="CP11" s="23">
        <f t="shared" si="28"/>
        <v>0</v>
      </c>
      <c r="CQ11" s="23">
        <f t="shared" si="29"/>
        <v>0</v>
      </c>
      <c r="CR11" s="23">
        <f t="shared" si="30"/>
        <v>0</v>
      </c>
      <c r="CS11" s="23">
        <f t="shared" si="31"/>
        <v>0</v>
      </c>
      <c r="CT11" s="23">
        <f t="shared" si="32"/>
        <v>0</v>
      </c>
      <c r="CU11" s="23">
        <f t="shared" si="33"/>
        <v>0</v>
      </c>
      <c r="CV11" s="23">
        <f t="shared" si="34"/>
        <v>0</v>
      </c>
    </row>
    <row r="12" spans="1:100" ht="13.5">
      <c r="A12" s="15">
        <v>80</v>
      </c>
      <c r="B12" s="27" t="s">
        <v>229</v>
      </c>
      <c r="C12" t="s">
        <v>149</v>
      </c>
      <c r="D12" t="s">
        <v>227</v>
      </c>
      <c r="F12" t="s">
        <v>152</v>
      </c>
      <c r="G12" t="s">
        <v>153</v>
      </c>
      <c r="H12" t="s">
        <v>154</v>
      </c>
      <c r="I12" s="6" t="s">
        <v>147</v>
      </c>
      <c r="J12" s="6">
        <v>0</v>
      </c>
      <c r="L12" s="15">
        <v>1</v>
      </c>
      <c r="M12" s="7">
        <v>46009</v>
      </c>
      <c r="N12" s="7">
        <v>46028</v>
      </c>
      <c r="O12" s="7">
        <v>46027</v>
      </c>
      <c r="P12" s="7">
        <v>46030</v>
      </c>
      <c r="R12" s="6" t="s">
        <v>230</v>
      </c>
      <c r="S12" s="6" t="s">
        <v>199</v>
      </c>
      <c r="U12" s="6" t="s">
        <v>191</v>
      </c>
      <c r="V12" s="6" t="str">
        <f t="shared" si="1"/>
        <v>26/01</v>
      </c>
      <c r="W12">
        <v>21335</v>
      </c>
      <c r="Y12" s="6" t="s">
        <v>200</v>
      </c>
      <c r="Z12" s="6" t="s">
        <v>193</v>
      </c>
      <c r="AG12">
        <v>3525</v>
      </c>
      <c r="AI12" s="23">
        <v>1</v>
      </c>
      <c r="AJ12" s="23">
        <v>1</v>
      </c>
      <c r="AK12" s="23">
        <v>0</v>
      </c>
      <c r="AL12" s="23">
        <v>0</v>
      </c>
      <c r="AM12" s="23">
        <v>1</v>
      </c>
      <c r="AN12" s="23">
        <v>0</v>
      </c>
      <c r="AO12" s="23">
        <v>0</v>
      </c>
      <c r="AP12" s="23">
        <v>0</v>
      </c>
      <c r="AQ12" s="23">
        <v>1</v>
      </c>
      <c r="AR12" s="23">
        <v>0</v>
      </c>
      <c r="AS12" s="23">
        <v>1</v>
      </c>
      <c r="AT12" s="23">
        <v>0</v>
      </c>
      <c r="AU12" s="23">
        <v>0</v>
      </c>
      <c r="AV12" s="23">
        <v>0</v>
      </c>
      <c r="AW12" s="23">
        <v>1</v>
      </c>
      <c r="AX12" s="23">
        <v>0</v>
      </c>
      <c r="AY12" s="23">
        <v>0</v>
      </c>
      <c r="AZ12" s="23">
        <v>0</v>
      </c>
      <c r="BA12" s="23">
        <v>1</v>
      </c>
      <c r="BB12" s="23">
        <v>0</v>
      </c>
      <c r="BC12" s="23">
        <v>0</v>
      </c>
      <c r="BD12" s="23">
        <v>0</v>
      </c>
      <c r="BE12" s="23">
        <v>1</v>
      </c>
      <c r="BF12" s="23">
        <v>1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f t="shared" si="2"/>
        <v>1</v>
      </c>
      <c r="BQ12" s="23">
        <f t="shared" si="3"/>
        <v>1</v>
      </c>
      <c r="BR12" s="23">
        <f t="shared" si="4"/>
        <v>0</v>
      </c>
      <c r="BS12" s="23">
        <f t="shared" si="5"/>
        <v>0</v>
      </c>
      <c r="BT12" s="23">
        <f t="shared" si="6"/>
        <v>1</v>
      </c>
      <c r="BU12" s="23">
        <f t="shared" si="7"/>
        <v>0</v>
      </c>
      <c r="BV12" s="23">
        <f t="shared" si="8"/>
        <v>0</v>
      </c>
      <c r="BW12" s="23">
        <f t="shared" si="9"/>
        <v>0</v>
      </c>
      <c r="BX12" s="23">
        <f t="shared" si="10"/>
        <v>1</v>
      </c>
      <c r="BY12" s="23">
        <f t="shared" si="11"/>
        <v>0</v>
      </c>
      <c r="BZ12" s="23">
        <f t="shared" si="12"/>
        <v>1</v>
      </c>
      <c r="CA12" s="23">
        <f t="shared" si="13"/>
        <v>0</v>
      </c>
      <c r="CB12" s="23">
        <f t="shared" si="14"/>
        <v>0</v>
      </c>
      <c r="CC12" s="23">
        <f t="shared" si="15"/>
        <v>0</v>
      </c>
      <c r="CD12" s="23">
        <f t="shared" si="16"/>
        <v>1</v>
      </c>
      <c r="CE12" s="23">
        <f t="shared" si="17"/>
        <v>0</v>
      </c>
      <c r="CF12" s="23">
        <f t="shared" si="18"/>
        <v>0</v>
      </c>
      <c r="CG12" s="23">
        <f t="shared" si="19"/>
        <v>0</v>
      </c>
      <c r="CH12" s="23">
        <f t="shared" si="20"/>
        <v>1</v>
      </c>
      <c r="CI12" s="23">
        <f t="shared" si="21"/>
        <v>0</v>
      </c>
      <c r="CJ12" s="23">
        <f t="shared" si="22"/>
        <v>0</v>
      </c>
      <c r="CK12" s="23">
        <f t="shared" si="23"/>
        <v>0</v>
      </c>
      <c r="CL12" s="23">
        <f t="shared" si="24"/>
        <v>1</v>
      </c>
      <c r="CM12" s="23">
        <f t="shared" si="25"/>
        <v>1</v>
      </c>
      <c r="CN12" s="23">
        <f t="shared" si="26"/>
        <v>0</v>
      </c>
      <c r="CO12" s="23">
        <f t="shared" si="27"/>
        <v>0</v>
      </c>
      <c r="CP12" s="23">
        <f t="shared" si="28"/>
        <v>0</v>
      </c>
      <c r="CQ12" s="23">
        <f t="shared" si="29"/>
        <v>0</v>
      </c>
      <c r="CR12" s="23">
        <f t="shared" si="30"/>
        <v>0</v>
      </c>
      <c r="CS12" s="23">
        <f t="shared" si="31"/>
        <v>0</v>
      </c>
      <c r="CT12" s="23">
        <f t="shared" si="32"/>
        <v>0</v>
      </c>
      <c r="CU12" s="23">
        <f t="shared" si="33"/>
        <v>0</v>
      </c>
      <c r="CV12" s="23">
        <f t="shared" si="34"/>
        <v>0</v>
      </c>
    </row>
    <row r="13" spans="1:100" ht="13.5">
      <c r="A13" s="15">
        <v>88</v>
      </c>
      <c r="B13" s="27" t="s">
        <v>231</v>
      </c>
      <c r="C13" t="s">
        <v>151</v>
      </c>
      <c r="D13" t="s">
        <v>232</v>
      </c>
      <c r="E13" t="s">
        <v>148</v>
      </c>
      <c r="F13" t="s">
        <v>233</v>
      </c>
      <c r="G13" t="s">
        <v>234</v>
      </c>
      <c r="H13" t="s">
        <v>235</v>
      </c>
      <c r="I13" s="6" t="s">
        <v>147</v>
      </c>
      <c r="J13" s="6">
        <v>1</v>
      </c>
      <c r="K13" t="s">
        <v>236</v>
      </c>
      <c r="L13" s="15">
        <v>1</v>
      </c>
      <c r="M13" s="7">
        <v>46013</v>
      </c>
      <c r="N13" s="7">
        <v>46030</v>
      </c>
      <c r="O13" s="7">
        <v>46029</v>
      </c>
      <c r="P13" s="7">
        <v>46035</v>
      </c>
      <c r="R13" s="6" t="s">
        <v>237</v>
      </c>
      <c r="S13" s="6" t="s">
        <v>199</v>
      </c>
      <c r="U13" s="6" t="s">
        <v>191</v>
      </c>
      <c r="V13" s="6" t="str">
        <f t="shared" si="1"/>
        <v>26/01</v>
      </c>
      <c r="W13">
        <v>21336</v>
      </c>
      <c r="Y13" s="6" t="s">
        <v>200</v>
      </c>
      <c r="Z13" s="6" t="s">
        <v>193</v>
      </c>
      <c r="AG13">
        <v>3526</v>
      </c>
      <c r="AI13" s="23">
        <v>1</v>
      </c>
      <c r="AJ13" s="23">
        <v>1</v>
      </c>
      <c r="AK13" s="23">
        <v>0</v>
      </c>
      <c r="AL13" s="23">
        <v>0</v>
      </c>
      <c r="AM13" s="23">
        <v>1</v>
      </c>
      <c r="AN13" s="23">
        <v>0</v>
      </c>
      <c r="AO13" s="23">
        <v>0</v>
      </c>
      <c r="AP13" s="23">
        <v>0</v>
      </c>
      <c r="AQ13" s="23">
        <v>1</v>
      </c>
      <c r="AR13" s="23">
        <v>0</v>
      </c>
      <c r="AS13" s="23">
        <v>1</v>
      </c>
      <c r="AT13" s="23">
        <v>0</v>
      </c>
      <c r="AU13" s="23">
        <v>0</v>
      </c>
      <c r="AV13" s="23">
        <v>0</v>
      </c>
      <c r="AW13" s="23">
        <v>1</v>
      </c>
      <c r="AX13" s="23">
        <v>0</v>
      </c>
      <c r="AY13" s="23">
        <v>0</v>
      </c>
      <c r="AZ13" s="23">
        <v>0</v>
      </c>
      <c r="BA13" s="23">
        <v>1</v>
      </c>
      <c r="BB13" s="23">
        <v>0</v>
      </c>
      <c r="BC13" s="23">
        <v>0</v>
      </c>
      <c r="BD13" s="23">
        <v>0</v>
      </c>
      <c r="BE13" s="23">
        <v>1</v>
      </c>
      <c r="BF13" s="23">
        <v>1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f t="shared" si="2"/>
        <v>1</v>
      </c>
      <c r="BQ13" s="23">
        <f t="shared" si="3"/>
        <v>1</v>
      </c>
      <c r="BR13" s="23">
        <f t="shared" si="4"/>
        <v>0</v>
      </c>
      <c r="BS13" s="23">
        <f t="shared" si="5"/>
        <v>0</v>
      </c>
      <c r="BT13" s="23">
        <f t="shared" si="6"/>
        <v>1</v>
      </c>
      <c r="BU13" s="23">
        <f t="shared" si="7"/>
        <v>0</v>
      </c>
      <c r="BV13" s="23">
        <f t="shared" si="8"/>
        <v>0</v>
      </c>
      <c r="BW13" s="23">
        <f t="shared" si="9"/>
        <v>0</v>
      </c>
      <c r="BX13" s="23">
        <f t="shared" si="10"/>
        <v>1</v>
      </c>
      <c r="BY13" s="23">
        <f t="shared" si="11"/>
        <v>0</v>
      </c>
      <c r="BZ13" s="23">
        <f t="shared" si="12"/>
        <v>1</v>
      </c>
      <c r="CA13" s="23">
        <f t="shared" si="13"/>
        <v>0</v>
      </c>
      <c r="CB13" s="23">
        <f t="shared" si="14"/>
        <v>0</v>
      </c>
      <c r="CC13" s="23">
        <f t="shared" si="15"/>
        <v>0</v>
      </c>
      <c r="CD13" s="23">
        <f t="shared" si="16"/>
        <v>1</v>
      </c>
      <c r="CE13" s="23">
        <f t="shared" si="17"/>
        <v>0</v>
      </c>
      <c r="CF13" s="23">
        <f t="shared" si="18"/>
        <v>0</v>
      </c>
      <c r="CG13" s="23">
        <f t="shared" si="19"/>
        <v>0</v>
      </c>
      <c r="CH13" s="23">
        <f t="shared" si="20"/>
        <v>1</v>
      </c>
      <c r="CI13" s="23">
        <f t="shared" si="21"/>
        <v>0</v>
      </c>
      <c r="CJ13" s="23">
        <f t="shared" si="22"/>
        <v>0</v>
      </c>
      <c r="CK13" s="23">
        <f t="shared" si="23"/>
        <v>0</v>
      </c>
      <c r="CL13" s="23">
        <f t="shared" si="24"/>
        <v>1</v>
      </c>
      <c r="CM13" s="23">
        <f t="shared" si="25"/>
        <v>1</v>
      </c>
      <c r="CN13" s="23">
        <f t="shared" si="26"/>
        <v>0</v>
      </c>
      <c r="CO13" s="23">
        <f t="shared" si="27"/>
        <v>0</v>
      </c>
      <c r="CP13" s="23">
        <f t="shared" si="28"/>
        <v>0</v>
      </c>
      <c r="CQ13" s="23">
        <f t="shared" si="29"/>
        <v>0</v>
      </c>
      <c r="CR13" s="23">
        <f t="shared" si="30"/>
        <v>0</v>
      </c>
      <c r="CS13" s="23">
        <f t="shared" si="31"/>
        <v>0</v>
      </c>
      <c r="CT13" s="23">
        <f t="shared" si="32"/>
        <v>0</v>
      </c>
      <c r="CU13" s="23">
        <f t="shared" si="33"/>
        <v>0</v>
      </c>
      <c r="CV13" s="23">
        <f t="shared" si="34"/>
        <v>0</v>
      </c>
    </row>
    <row r="14" spans="1:100" ht="13.5">
      <c r="A14" s="15">
        <v>89</v>
      </c>
      <c r="B14" s="27" t="s">
        <v>238</v>
      </c>
      <c r="C14" t="s">
        <v>151</v>
      </c>
      <c r="D14" t="s">
        <v>239</v>
      </c>
      <c r="E14" t="s">
        <v>240</v>
      </c>
      <c r="F14" t="s">
        <v>233</v>
      </c>
      <c r="G14" t="s">
        <v>234</v>
      </c>
      <c r="H14" t="s">
        <v>235</v>
      </c>
      <c r="I14" s="6" t="s">
        <v>147</v>
      </c>
      <c r="J14" s="6">
        <v>1</v>
      </c>
      <c r="K14" t="s">
        <v>236</v>
      </c>
      <c r="L14" s="15">
        <v>1</v>
      </c>
      <c r="M14" s="7">
        <v>46013</v>
      </c>
      <c r="N14" s="7">
        <v>46030</v>
      </c>
      <c r="O14" s="7">
        <v>46029</v>
      </c>
      <c r="P14" s="7">
        <v>46035</v>
      </c>
      <c r="R14" s="6" t="s">
        <v>241</v>
      </c>
      <c r="S14" s="6" t="s">
        <v>199</v>
      </c>
      <c r="U14" s="6" t="s">
        <v>191</v>
      </c>
      <c r="V14" s="6" t="str">
        <f t="shared" si="1"/>
        <v>26/01</v>
      </c>
      <c r="W14">
        <v>21337</v>
      </c>
      <c r="Y14" s="6" t="s">
        <v>200</v>
      </c>
      <c r="Z14" s="6" t="s">
        <v>193</v>
      </c>
      <c r="AG14">
        <v>3527</v>
      </c>
      <c r="AI14" s="23">
        <v>1</v>
      </c>
      <c r="AJ14" s="23">
        <v>1</v>
      </c>
      <c r="AK14" s="23">
        <v>0</v>
      </c>
      <c r="AL14" s="23">
        <v>0</v>
      </c>
      <c r="AM14" s="23">
        <v>1</v>
      </c>
      <c r="AN14" s="23">
        <v>0</v>
      </c>
      <c r="AO14" s="23">
        <v>0</v>
      </c>
      <c r="AP14" s="23">
        <v>0</v>
      </c>
      <c r="AQ14" s="23">
        <v>1</v>
      </c>
      <c r="AR14" s="23">
        <v>0</v>
      </c>
      <c r="AS14" s="23">
        <v>1</v>
      </c>
      <c r="AT14" s="23">
        <v>0</v>
      </c>
      <c r="AU14" s="23">
        <v>0</v>
      </c>
      <c r="AV14" s="23">
        <v>0</v>
      </c>
      <c r="AW14" s="23">
        <v>1</v>
      </c>
      <c r="AX14" s="23">
        <v>0</v>
      </c>
      <c r="AY14" s="23">
        <v>0</v>
      </c>
      <c r="AZ14" s="23">
        <v>0</v>
      </c>
      <c r="BA14" s="23">
        <v>1</v>
      </c>
      <c r="BB14" s="23">
        <v>0</v>
      </c>
      <c r="BC14" s="23">
        <v>0</v>
      </c>
      <c r="BD14" s="23">
        <v>0</v>
      </c>
      <c r="BE14" s="23">
        <v>1</v>
      </c>
      <c r="BF14" s="23">
        <v>1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f t="shared" si="2"/>
        <v>1</v>
      </c>
      <c r="BQ14" s="23">
        <f t="shared" si="3"/>
        <v>1</v>
      </c>
      <c r="BR14" s="23">
        <f t="shared" si="4"/>
        <v>0</v>
      </c>
      <c r="BS14" s="23">
        <f t="shared" si="5"/>
        <v>0</v>
      </c>
      <c r="BT14" s="23">
        <f t="shared" si="6"/>
        <v>1</v>
      </c>
      <c r="BU14" s="23">
        <f t="shared" si="7"/>
        <v>0</v>
      </c>
      <c r="BV14" s="23">
        <f t="shared" si="8"/>
        <v>0</v>
      </c>
      <c r="BW14" s="23">
        <f t="shared" si="9"/>
        <v>0</v>
      </c>
      <c r="BX14" s="23">
        <f t="shared" si="10"/>
        <v>1</v>
      </c>
      <c r="BY14" s="23">
        <f t="shared" si="11"/>
        <v>0</v>
      </c>
      <c r="BZ14" s="23">
        <f t="shared" si="12"/>
        <v>1</v>
      </c>
      <c r="CA14" s="23">
        <f t="shared" si="13"/>
        <v>0</v>
      </c>
      <c r="CB14" s="23">
        <f t="shared" si="14"/>
        <v>0</v>
      </c>
      <c r="CC14" s="23">
        <f t="shared" si="15"/>
        <v>0</v>
      </c>
      <c r="CD14" s="23">
        <f t="shared" si="16"/>
        <v>1</v>
      </c>
      <c r="CE14" s="23">
        <f t="shared" si="17"/>
        <v>0</v>
      </c>
      <c r="CF14" s="23">
        <f t="shared" si="18"/>
        <v>0</v>
      </c>
      <c r="CG14" s="23">
        <f t="shared" si="19"/>
        <v>0</v>
      </c>
      <c r="CH14" s="23">
        <f t="shared" si="20"/>
        <v>1</v>
      </c>
      <c r="CI14" s="23">
        <f t="shared" si="21"/>
        <v>0</v>
      </c>
      <c r="CJ14" s="23">
        <f t="shared" si="22"/>
        <v>0</v>
      </c>
      <c r="CK14" s="23">
        <f t="shared" si="23"/>
        <v>0</v>
      </c>
      <c r="CL14" s="23">
        <f t="shared" si="24"/>
        <v>1</v>
      </c>
      <c r="CM14" s="23">
        <f t="shared" si="25"/>
        <v>1</v>
      </c>
      <c r="CN14" s="23">
        <f t="shared" si="26"/>
        <v>0</v>
      </c>
      <c r="CO14" s="23">
        <f t="shared" si="27"/>
        <v>0</v>
      </c>
      <c r="CP14" s="23">
        <f t="shared" si="28"/>
        <v>0</v>
      </c>
      <c r="CQ14" s="23">
        <f t="shared" si="29"/>
        <v>0</v>
      </c>
      <c r="CR14" s="23">
        <f t="shared" si="30"/>
        <v>0</v>
      </c>
      <c r="CS14" s="23">
        <f t="shared" si="31"/>
        <v>0</v>
      </c>
      <c r="CT14" s="23">
        <f t="shared" si="32"/>
        <v>0</v>
      </c>
      <c r="CU14" s="23">
        <f t="shared" si="33"/>
        <v>0</v>
      </c>
      <c r="CV14" s="23">
        <f t="shared" si="34"/>
        <v>0</v>
      </c>
    </row>
    <row r="15" spans="1:100" ht="13.5">
      <c r="A15" s="15">
        <v>94</v>
      </c>
      <c r="B15" s="27" t="s">
        <v>242</v>
      </c>
      <c r="C15" t="s">
        <v>151</v>
      </c>
      <c r="D15" t="s">
        <v>232</v>
      </c>
      <c r="E15" t="s">
        <v>243</v>
      </c>
      <c r="F15" t="s">
        <v>233</v>
      </c>
      <c r="G15" t="s">
        <v>244</v>
      </c>
      <c r="H15" t="s">
        <v>245</v>
      </c>
      <c r="I15" s="6" t="s">
        <v>147</v>
      </c>
      <c r="J15" s="6">
        <v>1</v>
      </c>
      <c r="K15" t="s">
        <v>189</v>
      </c>
      <c r="L15" s="15">
        <v>1</v>
      </c>
      <c r="M15" s="7">
        <v>46014</v>
      </c>
      <c r="N15" s="7">
        <v>46031</v>
      </c>
      <c r="O15" s="7">
        <v>46030</v>
      </c>
      <c r="P15" s="7">
        <v>46036</v>
      </c>
      <c r="R15" s="6" t="s">
        <v>246</v>
      </c>
      <c r="S15" s="6" t="s">
        <v>199</v>
      </c>
      <c r="U15" s="6" t="s">
        <v>191</v>
      </c>
      <c r="V15" s="6" t="str">
        <f t="shared" si="1"/>
        <v>26/01</v>
      </c>
      <c r="W15">
        <v>21338</v>
      </c>
      <c r="Y15" s="6" t="s">
        <v>200</v>
      </c>
      <c r="Z15" s="6" t="s">
        <v>193</v>
      </c>
      <c r="AG15">
        <v>3528</v>
      </c>
      <c r="AI15" s="23">
        <v>1</v>
      </c>
      <c r="AJ15" s="23">
        <v>1</v>
      </c>
      <c r="AK15" s="23">
        <v>0</v>
      </c>
      <c r="AL15" s="23">
        <v>0</v>
      </c>
      <c r="AM15" s="23">
        <v>1</v>
      </c>
      <c r="AN15" s="23">
        <v>0</v>
      </c>
      <c r="AO15" s="23">
        <v>0</v>
      </c>
      <c r="AP15" s="23">
        <v>0</v>
      </c>
      <c r="AQ15" s="23">
        <v>1</v>
      </c>
      <c r="AR15" s="23">
        <v>0</v>
      </c>
      <c r="AS15" s="23">
        <v>1</v>
      </c>
      <c r="AT15" s="23">
        <v>0</v>
      </c>
      <c r="AU15" s="23">
        <v>0</v>
      </c>
      <c r="AV15" s="23">
        <v>0</v>
      </c>
      <c r="AW15" s="23">
        <v>1</v>
      </c>
      <c r="AX15" s="23">
        <v>0</v>
      </c>
      <c r="AY15" s="23">
        <v>0</v>
      </c>
      <c r="AZ15" s="23">
        <v>0</v>
      </c>
      <c r="BA15" s="23">
        <v>1</v>
      </c>
      <c r="BB15" s="23">
        <v>0</v>
      </c>
      <c r="BC15" s="23">
        <v>0</v>
      </c>
      <c r="BD15" s="23">
        <v>0</v>
      </c>
      <c r="BE15" s="23">
        <v>1</v>
      </c>
      <c r="BF15" s="23">
        <v>1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f t="shared" si="2"/>
        <v>1</v>
      </c>
      <c r="BQ15" s="23">
        <f t="shared" si="3"/>
        <v>1</v>
      </c>
      <c r="BR15" s="23">
        <f t="shared" si="4"/>
        <v>0</v>
      </c>
      <c r="BS15" s="23">
        <f t="shared" si="5"/>
        <v>0</v>
      </c>
      <c r="BT15" s="23">
        <f t="shared" si="6"/>
        <v>1</v>
      </c>
      <c r="BU15" s="23">
        <f t="shared" si="7"/>
        <v>0</v>
      </c>
      <c r="BV15" s="23">
        <f t="shared" si="8"/>
        <v>0</v>
      </c>
      <c r="BW15" s="23">
        <f t="shared" si="9"/>
        <v>0</v>
      </c>
      <c r="BX15" s="23">
        <f t="shared" si="10"/>
        <v>1</v>
      </c>
      <c r="BY15" s="23">
        <f t="shared" si="11"/>
        <v>0</v>
      </c>
      <c r="BZ15" s="23">
        <f t="shared" si="12"/>
        <v>1</v>
      </c>
      <c r="CA15" s="23">
        <f t="shared" si="13"/>
        <v>0</v>
      </c>
      <c r="CB15" s="23">
        <f t="shared" si="14"/>
        <v>0</v>
      </c>
      <c r="CC15" s="23">
        <f t="shared" si="15"/>
        <v>0</v>
      </c>
      <c r="CD15" s="23">
        <f t="shared" si="16"/>
        <v>1</v>
      </c>
      <c r="CE15" s="23">
        <f t="shared" si="17"/>
        <v>0</v>
      </c>
      <c r="CF15" s="23">
        <f t="shared" si="18"/>
        <v>0</v>
      </c>
      <c r="CG15" s="23">
        <f t="shared" si="19"/>
        <v>0</v>
      </c>
      <c r="CH15" s="23">
        <f t="shared" si="20"/>
        <v>1</v>
      </c>
      <c r="CI15" s="23">
        <f t="shared" si="21"/>
        <v>0</v>
      </c>
      <c r="CJ15" s="23">
        <f t="shared" si="22"/>
        <v>0</v>
      </c>
      <c r="CK15" s="23">
        <f t="shared" si="23"/>
        <v>0</v>
      </c>
      <c r="CL15" s="23">
        <f t="shared" si="24"/>
        <v>1</v>
      </c>
      <c r="CM15" s="23">
        <f t="shared" si="25"/>
        <v>1</v>
      </c>
      <c r="CN15" s="23">
        <f t="shared" si="26"/>
        <v>0</v>
      </c>
      <c r="CO15" s="23">
        <f t="shared" si="27"/>
        <v>0</v>
      </c>
      <c r="CP15" s="23">
        <f t="shared" si="28"/>
        <v>0</v>
      </c>
      <c r="CQ15" s="23">
        <f t="shared" si="29"/>
        <v>0</v>
      </c>
      <c r="CR15" s="23">
        <f t="shared" si="30"/>
        <v>0</v>
      </c>
      <c r="CS15" s="23">
        <f t="shared" si="31"/>
        <v>0</v>
      </c>
      <c r="CT15" s="23">
        <f t="shared" si="32"/>
        <v>0</v>
      </c>
      <c r="CU15" s="23">
        <f t="shared" si="33"/>
        <v>0</v>
      </c>
      <c r="CV15" s="23">
        <f t="shared" si="34"/>
        <v>0</v>
      </c>
    </row>
    <row r="16" spans="1:100" ht="13.5">
      <c r="A16" s="15">
        <v>95</v>
      </c>
      <c r="B16" s="27" t="s">
        <v>247</v>
      </c>
      <c r="C16" t="s">
        <v>151</v>
      </c>
      <c r="D16" t="s">
        <v>239</v>
      </c>
      <c r="E16" t="s">
        <v>198</v>
      </c>
      <c r="F16" t="s">
        <v>233</v>
      </c>
      <c r="G16" t="s">
        <v>244</v>
      </c>
      <c r="H16" t="s">
        <v>245</v>
      </c>
      <c r="I16" s="6" t="s">
        <v>147</v>
      </c>
      <c r="J16" s="6">
        <v>1</v>
      </c>
      <c r="K16" t="s">
        <v>189</v>
      </c>
      <c r="L16" s="15">
        <v>1</v>
      </c>
      <c r="M16" s="7">
        <v>46014</v>
      </c>
      <c r="N16" s="7">
        <v>46031</v>
      </c>
      <c r="O16" s="7">
        <v>46030</v>
      </c>
      <c r="P16" s="7">
        <v>46036</v>
      </c>
      <c r="R16" s="6" t="s">
        <v>248</v>
      </c>
      <c r="S16" s="6" t="s">
        <v>199</v>
      </c>
      <c r="U16" s="6" t="s">
        <v>191</v>
      </c>
      <c r="V16" s="6" t="str">
        <f t="shared" si="1"/>
        <v>26/01</v>
      </c>
      <c r="W16">
        <v>21339</v>
      </c>
      <c r="Y16" s="6" t="s">
        <v>200</v>
      </c>
      <c r="Z16" s="6" t="s">
        <v>193</v>
      </c>
      <c r="AG16">
        <v>3529</v>
      </c>
      <c r="AI16" s="23">
        <v>1</v>
      </c>
      <c r="AJ16" s="23">
        <v>1</v>
      </c>
      <c r="AK16" s="23">
        <v>0</v>
      </c>
      <c r="AL16" s="23">
        <v>0</v>
      </c>
      <c r="AM16" s="23">
        <v>1</v>
      </c>
      <c r="AN16" s="23">
        <v>0</v>
      </c>
      <c r="AO16" s="23">
        <v>0</v>
      </c>
      <c r="AP16" s="23">
        <v>0</v>
      </c>
      <c r="AQ16" s="23">
        <v>1</v>
      </c>
      <c r="AR16" s="23">
        <v>0</v>
      </c>
      <c r="AS16" s="23">
        <v>1</v>
      </c>
      <c r="AT16" s="23">
        <v>0</v>
      </c>
      <c r="AU16" s="23">
        <v>0</v>
      </c>
      <c r="AV16" s="23">
        <v>0</v>
      </c>
      <c r="AW16" s="23">
        <v>1</v>
      </c>
      <c r="AX16" s="23">
        <v>0</v>
      </c>
      <c r="AY16" s="23">
        <v>0</v>
      </c>
      <c r="AZ16" s="23">
        <v>0</v>
      </c>
      <c r="BA16" s="23">
        <v>1</v>
      </c>
      <c r="BB16" s="23">
        <v>0</v>
      </c>
      <c r="BC16" s="23">
        <v>0</v>
      </c>
      <c r="BD16" s="23">
        <v>0</v>
      </c>
      <c r="BE16" s="23">
        <v>1</v>
      </c>
      <c r="BF16" s="23">
        <v>1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f t="shared" si="2"/>
        <v>1</v>
      </c>
      <c r="BQ16" s="23">
        <f t="shared" si="3"/>
        <v>1</v>
      </c>
      <c r="BR16" s="23">
        <f t="shared" si="4"/>
        <v>0</v>
      </c>
      <c r="BS16" s="23">
        <f t="shared" si="5"/>
        <v>0</v>
      </c>
      <c r="BT16" s="23">
        <f t="shared" si="6"/>
        <v>1</v>
      </c>
      <c r="BU16" s="23">
        <f t="shared" si="7"/>
        <v>0</v>
      </c>
      <c r="BV16" s="23">
        <f t="shared" si="8"/>
        <v>0</v>
      </c>
      <c r="BW16" s="23">
        <f t="shared" si="9"/>
        <v>0</v>
      </c>
      <c r="BX16" s="23">
        <f t="shared" si="10"/>
        <v>1</v>
      </c>
      <c r="BY16" s="23">
        <f t="shared" si="11"/>
        <v>0</v>
      </c>
      <c r="BZ16" s="23">
        <f t="shared" si="12"/>
        <v>1</v>
      </c>
      <c r="CA16" s="23">
        <f t="shared" si="13"/>
        <v>0</v>
      </c>
      <c r="CB16" s="23">
        <f t="shared" si="14"/>
        <v>0</v>
      </c>
      <c r="CC16" s="23">
        <f t="shared" si="15"/>
        <v>0</v>
      </c>
      <c r="CD16" s="23">
        <f t="shared" si="16"/>
        <v>1</v>
      </c>
      <c r="CE16" s="23">
        <f t="shared" si="17"/>
        <v>0</v>
      </c>
      <c r="CF16" s="23">
        <f t="shared" si="18"/>
        <v>0</v>
      </c>
      <c r="CG16" s="23">
        <f t="shared" si="19"/>
        <v>0</v>
      </c>
      <c r="CH16" s="23">
        <f t="shared" si="20"/>
        <v>1</v>
      </c>
      <c r="CI16" s="23">
        <f t="shared" si="21"/>
        <v>0</v>
      </c>
      <c r="CJ16" s="23">
        <f t="shared" si="22"/>
        <v>0</v>
      </c>
      <c r="CK16" s="23">
        <f t="shared" si="23"/>
        <v>0</v>
      </c>
      <c r="CL16" s="23">
        <f t="shared" si="24"/>
        <v>1</v>
      </c>
      <c r="CM16" s="23">
        <f t="shared" si="25"/>
        <v>1</v>
      </c>
      <c r="CN16" s="23">
        <f t="shared" si="26"/>
        <v>0</v>
      </c>
      <c r="CO16" s="23">
        <f t="shared" si="27"/>
        <v>0</v>
      </c>
      <c r="CP16" s="23">
        <f t="shared" si="28"/>
        <v>0</v>
      </c>
      <c r="CQ16" s="23">
        <f t="shared" si="29"/>
        <v>0</v>
      </c>
      <c r="CR16" s="23">
        <f t="shared" si="30"/>
        <v>0</v>
      </c>
      <c r="CS16" s="23">
        <f t="shared" si="31"/>
        <v>0</v>
      </c>
      <c r="CT16" s="23">
        <f t="shared" si="32"/>
        <v>0</v>
      </c>
      <c r="CU16" s="23">
        <f t="shared" si="33"/>
        <v>0</v>
      </c>
      <c r="CV16" s="23">
        <f t="shared" si="34"/>
        <v>0</v>
      </c>
    </row>
    <row r="17" spans="1:100" ht="13.5">
      <c r="A17" s="15">
        <v>100</v>
      </c>
      <c r="B17" s="27" t="s">
        <v>249</v>
      </c>
      <c r="C17" t="s">
        <v>151</v>
      </c>
      <c r="D17" t="s">
        <v>250</v>
      </c>
      <c r="F17" t="s">
        <v>152</v>
      </c>
      <c r="G17" t="s">
        <v>153</v>
      </c>
      <c r="H17" t="s">
        <v>154</v>
      </c>
      <c r="I17" s="6" t="s">
        <v>147</v>
      </c>
      <c r="J17" s="6">
        <v>1</v>
      </c>
      <c r="L17" s="15">
        <v>1</v>
      </c>
      <c r="M17" s="7">
        <v>46015</v>
      </c>
      <c r="N17" s="7">
        <v>46035</v>
      </c>
      <c r="O17" s="7">
        <v>46031</v>
      </c>
      <c r="P17" s="7">
        <v>46037</v>
      </c>
      <c r="R17" s="6" t="s">
        <v>251</v>
      </c>
      <c r="S17" s="6" t="s">
        <v>199</v>
      </c>
      <c r="U17" s="6" t="s">
        <v>191</v>
      </c>
      <c r="V17" s="6" t="str">
        <f t="shared" si="1"/>
        <v>26/01</v>
      </c>
      <c r="W17">
        <v>21340</v>
      </c>
      <c r="Y17" s="6" t="s">
        <v>200</v>
      </c>
      <c r="Z17" s="6" t="s">
        <v>193</v>
      </c>
      <c r="AG17">
        <v>3530</v>
      </c>
      <c r="AI17" s="23">
        <v>1</v>
      </c>
      <c r="AJ17" s="23">
        <v>1</v>
      </c>
      <c r="AK17" s="23">
        <v>0</v>
      </c>
      <c r="AL17" s="23">
        <v>0</v>
      </c>
      <c r="AM17" s="23">
        <v>1</v>
      </c>
      <c r="AN17" s="23">
        <v>0</v>
      </c>
      <c r="AO17" s="23">
        <v>0</v>
      </c>
      <c r="AP17" s="23">
        <v>0</v>
      </c>
      <c r="AQ17" s="23">
        <v>1</v>
      </c>
      <c r="AR17" s="23">
        <v>0</v>
      </c>
      <c r="AS17" s="23">
        <v>1</v>
      </c>
      <c r="AT17" s="23">
        <v>0</v>
      </c>
      <c r="AU17" s="23">
        <v>0</v>
      </c>
      <c r="AV17" s="23">
        <v>0</v>
      </c>
      <c r="AW17" s="23">
        <v>1</v>
      </c>
      <c r="AX17" s="23">
        <v>0</v>
      </c>
      <c r="AY17" s="23">
        <v>0</v>
      </c>
      <c r="AZ17" s="23">
        <v>0</v>
      </c>
      <c r="BA17" s="23">
        <v>1</v>
      </c>
      <c r="BB17" s="23">
        <v>0</v>
      </c>
      <c r="BC17" s="23">
        <v>0</v>
      </c>
      <c r="BD17" s="23">
        <v>0</v>
      </c>
      <c r="BE17" s="23">
        <v>1</v>
      </c>
      <c r="BF17" s="23">
        <v>1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f t="shared" si="2"/>
        <v>1</v>
      </c>
      <c r="BQ17" s="23">
        <f t="shared" si="3"/>
        <v>1</v>
      </c>
      <c r="BR17" s="23">
        <f t="shared" si="4"/>
        <v>0</v>
      </c>
      <c r="BS17" s="23">
        <f t="shared" si="5"/>
        <v>0</v>
      </c>
      <c r="BT17" s="23">
        <f t="shared" si="6"/>
        <v>1</v>
      </c>
      <c r="BU17" s="23">
        <f t="shared" si="7"/>
        <v>0</v>
      </c>
      <c r="BV17" s="23">
        <f t="shared" si="8"/>
        <v>0</v>
      </c>
      <c r="BW17" s="23">
        <f t="shared" si="9"/>
        <v>0</v>
      </c>
      <c r="BX17" s="23">
        <f t="shared" si="10"/>
        <v>1</v>
      </c>
      <c r="BY17" s="23">
        <f t="shared" si="11"/>
        <v>0</v>
      </c>
      <c r="BZ17" s="23">
        <f t="shared" si="12"/>
        <v>1</v>
      </c>
      <c r="CA17" s="23">
        <f t="shared" si="13"/>
        <v>0</v>
      </c>
      <c r="CB17" s="23">
        <f t="shared" si="14"/>
        <v>0</v>
      </c>
      <c r="CC17" s="23">
        <f t="shared" si="15"/>
        <v>0</v>
      </c>
      <c r="CD17" s="23">
        <f t="shared" si="16"/>
        <v>1</v>
      </c>
      <c r="CE17" s="23">
        <f t="shared" si="17"/>
        <v>0</v>
      </c>
      <c r="CF17" s="23">
        <f t="shared" si="18"/>
        <v>0</v>
      </c>
      <c r="CG17" s="23">
        <f t="shared" si="19"/>
        <v>0</v>
      </c>
      <c r="CH17" s="23">
        <f t="shared" si="20"/>
        <v>1</v>
      </c>
      <c r="CI17" s="23">
        <f t="shared" si="21"/>
        <v>0</v>
      </c>
      <c r="CJ17" s="23">
        <f t="shared" si="22"/>
        <v>0</v>
      </c>
      <c r="CK17" s="23">
        <f t="shared" si="23"/>
        <v>0</v>
      </c>
      <c r="CL17" s="23">
        <f t="shared" si="24"/>
        <v>1</v>
      </c>
      <c r="CM17" s="23">
        <f t="shared" si="25"/>
        <v>1</v>
      </c>
      <c r="CN17" s="23">
        <f t="shared" si="26"/>
        <v>0</v>
      </c>
      <c r="CO17" s="23">
        <f t="shared" si="27"/>
        <v>0</v>
      </c>
      <c r="CP17" s="23">
        <f t="shared" si="28"/>
        <v>0</v>
      </c>
      <c r="CQ17" s="23">
        <f t="shared" si="29"/>
        <v>0</v>
      </c>
      <c r="CR17" s="23">
        <f t="shared" si="30"/>
        <v>0</v>
      </c>
      <c r="CS17" s="23">
        <f t="shared" si="31"/>
        <v>0</v>
      </c>
      <c r="CT17" s="23">
        <f t="shared" si="32"/>
        <v>0</v>
      </c>
      <c r="CU17" s="23">
        <f t="shared" si="33"/>
        <v>0</v>
      </c>
      <c r="CV17" s="23">
        <f t="shared" si="34"/>
        <v>0</v>
      </c>
    </row>
    <row r="18" spans="1:100" ht="13.5">
      <c r="A18" s="15">
        <v>101</v>
      </c>
      <c r="B18" s="27" t="s">
        <v>252</v>
      </c>
      <c r="C18" t="s">
        <v>151</v>
      </c>
      <c r="D18" t="s">
        <v>253</v>
      </c>
      <c r="F18" t="s">
        <v>233</v>
      </c>
      <c r="G18" t="s">
        <v>244</v>
      </c>
      <c r="H18" t="s">
        <v>245</v>
      </c>
      <c r="I18" s="6" t="s">
        <v>147</v>
      </c>
      <c r="J18" s="6">
        <v>1</v>
      </c>
      <c r="K18" t="s">
        <v>189</v>
      </c>
      <c r="L18" s="15">
        <v>1</v>
      </c>
      <c r="M18" s="7">
        <v>46015</v>
      </c>
      <c r="N18" s="7">
        <v>46035</v>
      </c>
      <c r="O18" s="7">
        <v>46031</v>
      </c>
      <c r="P18" s="7">
        <v>46037</v>
      </c>
      <c r="R18" s="6" t="s">
        <v>254</v>
      </c>
      <c r="S18" s="6" t="s">
        <v>199</v>
      </c>
      <c r="U18" s="6" t="s">
        <v>191</v>
      </c>
      <c r="V18" s="6" t="str">
        <f t="shared" si="1"/>
        <v>26/01</v>
      </c>
      <c r="W18">
        <v>21341</v>
      </c>
      <c r="Y18" s="6" t="s">
        <v>200</v>
      </c>
      <c r="Z18" s="6" t="s">
        <v>193</v>
      </c>
      <c r="AG18">
        <v>3531</v>
      </c>
      <c r="AI18" s="23">
        <v>1</v>
      </c>
      <c r="AJ18" s="23">
        <v>1</v>
      </c>
      <c r="AK18" s="23">
        <v>0</v>
      </c>
      <c r="AL18" s="23">
        <v>0</v>
      </c>
      <c r="AM18" s="23">
        <v>1</v>
      </c>
      <c r="AN18" s="23">
        <v>0</v>
      </c>
      <c r="AO18" s="23">
        <v>0</v>
      </c>
      <c r="AP18" s="23">
        <v>0</v>
      </c>
      <c r="AQ18" s="23">
        <v>1</v>
      </c>
      <c r="AR18" s="23">
        <v>0</v>
      </c>
      <c r="AS18" s="23">
        <v>1</v>
      </c>
      <c r="AT18" s="23">
        <v>0</v>
      </c>
      <c r="AU18" s="23">
        <v>0</v>
      </c>
      <c r="AV18" s="23">
        <v>0</v>
      </c>
      <c r="AW18" s="23">
        <v>1</v>
      </c>
      <c r="AX18" s="23">
        <v>0</v>
      </c>
      <c r="AY18" s="23">
        <v>0</v>
      </c>
      <c r="AZ18" s="23">
        <v>0</v>
      </c>
      <c r="BA18" s="23">
        <v>1</v>
      </c>
      <c r="BB18" s="23">
        <v>0</v>
      </c>
      <c r="BC18" s="23">
        <v>0</v>
      </c>
      <c r="BD18" s="23">
        <v>0</v>
      </c>
      <c r="BE18" s="23">
        <v>1</v>
      </c>
      <c r="BF18" s="23">
        <v>1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f t="shared" si="2"/>
        <v>1</v>
      </c>
      <c r="BQ18" s="23">
        <f t="shared" si="3"/>
        <v>1</v>
      </c>
      <c r="BR18" s="23">
        <f t="shared" si="4"/>
        <v>0</v>
      </c>
      <c r="BS18" s="23">
        <f t="shared" si="5"/>
        <v>0</v>
      </c>
      <c r="BT18" s="23">
        <f t="shared" si="6"/>
        <v>1</v>
      </c>
      <c r="BU18" s="23">
        <f t="shared" si="7"/>
        <v>0</v>
      </c>
      <c r="BV18" s="23">
        <f t="shared" si="8"/>
        <v>0</v>
      </c>
      <c r="BW18" s="23">
        <f t="shared" si="9"/>
        <v>0</v>
      </c>
      <c r="BX18" s="23">
        <f t="shared" si="10"/>
        <v>1</v>
      </c>
      <c r="BY18" s="23">
        <f t="shared" si="11"/>
        <v>0</v>
      </c>
      <c r="BZ18" s="23">
        <f t="shared" si="12"/>
        <v>1</v>
      </c>
      <c r="CA18" s="23">
        <f t="shared" si="13"/>
        <v>0</v>
      </c>
      <c r="CB18" s="23">
        <f t="shared" si="14"/>
        <v>0</v>
      </c>
      <c r="CC18" s="23">
        <f t="shared" si="15"/>
        <v>0</v>
      </c>
      <c r="CD18" s="23">
        <f t="shared" si="16"/>
        <v>1</v>
      </c>
      <c r="CE18" s="23">
        <f t="shared" si="17"/>
        <v>0</v>
      </c>
      <c r="CF18" s="23">
        <f t="shared" si="18"/>
        <v>0</v>
      </c>
      <c r="CG18" s="23">
        <f t="shared" si="19"/>
        <v>0</v>
      </c>
      <c r="CH18" s="23">
        <f t="shared" si="20"/>
        <v>1</v>
      </c>
      <c r="CI18" s="23">
        <f t="shared" si="21"/>
        <v>0</v>
      </c>
      <c r="CJ18" s="23">
        <f t="shared" si="22"/>
        <v>0</v>
      </c>
      <c r="CK18" s="23">
        <f t="shared" si="23"/>
        <v>0</v>
      </c>
      <c r="CL18" s="23">
        <f t="shared" si="24"/>
        <v>1</v>
      </c>
      <c r="CM18" s="23">
        <f t="shared" si="25"/>
        <v>1</v>
      </c>
      <c r="CN18" s="23">
        <f t="shared" si="26"/>
        <v>0</v>
      </c>
      <c r="CO18" s="23">
        <f t="shared" si="27"/>
        <v>0</v>
      </c>
      <c r="CP18" s="23">
        <f t="shared" si="28"/>
        <v>0</v>
      </c>
      <c r="CQ18" s="23">
        <f t="shared" si="29"/>
        <v>0</v>
      </c>
      <c r="CR18" s="23">
        <f t="shared" si="30"/>
        <v>0</v>
      </c>
      <c r="CS18" s="23">
        <f t="shared" si="31"/>
        <v>0</v>
      </c>
      <c r="CT18" s="23">
        <f t="shared" si="32"/>
        <v>0</v>
      </c>
      <c r="CU18" s="23">
        <f t="shared" si="33"/>
        <v>0</v>
      </c>
      <c r="CV18" s="23">
        <f t="shared" si="34"/>
        <v>0</v>
      </c>
    </row>
    <row r="19" spans="1:100" ht="13.5">
      <c r="A19" s="15">
        <v>111</v>
      </c>
      <c r="B19" s="27" t="s">
        <v>255</v>
      </c>
      <c r="C19" t="s">
        <v>164</v>
      </c>
      <c r="D19" t="s">
        <v>256</v>
      </c>
      <c r="F19" t="s">
        <v>194</v>
      </c>
      <c r="G19" t="s">
        <v>195</v>
      </c>
      <c r="H19" t="s">
        <v>196</v>
      </c>
      <c r="I19" s="6" t="s">
        <v>147</v>
      </c>
      <c r="J19" s="6">
        <v>1</v>
      </c>
      <c r="L19" s="15">
        <v>1</v>
      </c>
      <c r="M19" s="7">
        <v>46016</v>
      </c>
      <c r="N19" s="7">
        <v>46036</v>
      </c>
      <c r="O19" s="7">
        <v>46035</v>
      </c>
      <c r="P19" s="7">
        <v>46038</v>
      </c>
      <c r="R19" s="6" t="s">
        <v>257</v>
      </c>
      <c r="S19" s="6" t="s">
        <v>190</v>
      </c>
      <c r="U19" s="6" t="s">
        <v>191</v>
      </c>
      <c r="V19" s="6" t="str">
        <f t="shared" si="1"/>
        <v>26/01</v>
      </c>
      <c r="W19">
        <v>21342</v>
      </c>
      <c r="Y19" s="6" t="s">
        <v>192</v>
      </c>
      <c r="Z19" s="6" t="s">
        <v>193</v>
      </c>
      <c r="AD19">
        <v>8206</v>
      </c>
      <c r="AI19" s="23">
        <v>1</v>
      </c>
      <c r="AJ19" s="23">
        <v>1</v>
      </c>
      <c r="AK19" s="23">
        <v>0</v>
      </c>
      <c r="AL19" s="23">
        <v>0</v>
      </c>
      <c r="AM19" s="23">
        <v>1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1</v>
      </c>
      <c r="AT19" s="23">
        <v>0</v>
      </c>
      <c r="AU19" s="23">
        <v>1</v>
      </c>
      <c r="AV19" s="23">
        <v>0</v>
      </c>
      <c r="AW19" s="23">
        <v>0</v>
      </c>
      <c r="AX19" s="23">
        <v>1</v>
      </c>
      <c r="AY19" s="23">
        <v>0</v>
      </c>
      <c r="AZ19" s="23">
        <v>0</v>
      </c>
      <c r="BA19" s="23">
        <v>0</v>
      </c>
      <c r="BB19" s="23">
        <v>1</v>
      </c>
      <c r="BC19" s="23">
        <v>0</v>
      </c>
      <c r="BD19" s="23">
        <v>0</v>
      </c>
      <c r="BE19" s="23">
        <v>0</v>
      </c>
      <c r="BF19" s="23">
        <v>1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f t="shared" si="2"/>
        <v>1</v>
      </c>
      <c r="BQ19" s="23">
        <f t="shared" si="3"/>
        <v>1</v>
      </c>
      <c r="BR19" s="23">
        <f t="shared" si="4"/>
        <v>0</v>
      </c>
      <c r="BS19" s="23">
        <f t="shared" si="5"/>
        <v>0</v>
      </c>
      <c r="BT19" s="23">
        <f t="shared" si="6"/>
        <v>1</v>
      </c>
      <c r="BU19" s="23">
        <f t="shared" si="7"/>
        <v>0</v>
      </c>
      <c r="BV19" s="23">
        <f t="shared" si="8"/>
        <v>1</v>
      </c>
      <c r="BW19" s="23">
        <f t="shared" si="9"/>
        <v>0</v>
      </c>
      <c r="BX19" s="23">
        <f t="shared" si="10"/>
        <v>0</v>
      </c>
      <c r="BY19" s="23">
        <f t="shared" si="11"/>
        <v>0</v>
      </c>
      <c r="BZ19" s="23">
        <f t="shared" si="12"/>
        <v>1</v>
      </c>
      <c r="CA19" s="23">
        <f t="shared" si="13"/>
        <v>0</v>
      </c>
      <c r="CB19" s="23">
        <f t="shared" si="14"/>
        <v>1</v>
      </c>
      <c r="CC19" s="23">
        <f t="shared" si="15"/>
        <v>0</v>
      </c>
      <c r="CD19" s="23">
        <f t="shared" si="16"/>
        <v>0</v>
      </c>
      <c r="CE19" s="23">
        <f t="shared" si="17"/>
        <v>1</v>
      </c>
      <c r="CF19" s="23">
        <f t="shared" si="18"/>
        <v>0</v>
      </c>
      <c r="CG19" s="23">
        <f t="shared" si="19"/>
        <v>0</v>
      </c>
      <c r="CH19" s="23">
        <f t="shared" si="20"/>
        <v>0</v>
      </c>
      <c r="CI19" s="23">
        <f t="shared" si="21"/>
        <v>1</v>
      </c>
      <c r="CJ19" s="23">
        <f t="shared" si="22"/>
        <v>0</v>
      </c>
      <c r="CK19" s="23">
        <f t="shared" si="23"/>
        <v>0</v>
      </c>
      <c r="CL19" s="23">
        <f t="shared" si="24"/>
        <v>0</v>
      </c>
      <c r="CM19" s="23">
        <f t="shared" si="25"/>
        <v>1</v>
      </c>
      <c r="CN19" s="23">
        <f t="shared" si="26"/>
        <v>0</v>
      </c>
      <c r="CO19" s="23">
        <f t="shared" si="27"/>
        <v>0</v>
      </c>
      <c r="CP19" s="23">
        <f t="shared" si="28"/>
        <v>0</v>
      </c>
      <c r="CQ19" s="23">
        <f t="shared" si="29"/>
        <v>0</v>
      </c>
      <c r="CR19" s="23">
        <f t="shared" si="30"/>
        <v>0</v>
      </c>
      <c r="CS19" s="23">
        <f t="shared" si="31"/>
        <v>0</v>
      </c>
      <c r="CT19" s="23">
        <f t="shared" si="32"/>
        <v>0</v>
      </c>
      <c r="CU19" s="23">
        <f t="shared" si="33"/>
        <v>0</v>
      </c>
      <c r="CV19" s="23">
        <f t="shared" si="34"/>
        <v>0</v>
      </c>
    </row>
    <row r="20" spans="1:100" ht="13.5">
      <c r="A20" s="15">
        <v>98</v>
      </c>
      <c r="B20" s="27" t="s">
        <v>258</v>
      </c>
      <c r="C20" t="s">
        <v>259</v>
      </c>
      <c r="E20" t="s">
        <v>260</v>
      </c>
      <c r="F20" t="s">
        <v>133</v>
      </c>
      <c r="G20" t="s">
        <v>260</v>
      </c>
      <c r="H20" t="s">
        <v>261</v>
      </c>
      <c r="I20" s="6" t="s">
        <v>136</v>
      </c>
      <c r="J20" s="6">
        <v>1</v>
      </c>
      <c r="L20" s="15">
        <v>1</v>
      </c>
      <c r="M20" s="7">
        <v>46017</v>
      </c>
      <c r="N20" s="7">
        <v>46037</v>
      </c>
      <c r="O20" s="7">
        <v>46036</v>
      </c>
      <c r="P20" s="7">
        <v>46036</v>
      </c>
      <c r="R20" s="6" t="s">
        <v>262</v>
      </c>
      <c r="S20" s="6" t="s">
        <v>260</v>
      </c>
      <c r="U20" s="6" t="s">
        <v>191</v>
      </c>
      <c r="V20" s="6" t="str">
        <f t="shared" si="1"/>
        <v>26/01</v>
      </c>
      <c r="W20">
        <v>21343</v>
      </c>
      <c r="Y20" s="6" t="s">
        <v>192</v>
      </c>
      <c r="Z20" s="6" t="s">
        <v>193</v>
      </c>
      <c r="AD20">
        <v>8207</v>
      </c>
      <c r="AI20" s="23">
        <v>1</v>
      </c>
      <c r="AJ20" s="23">
        <v>1</v>
      </c>
      <c r="AK20" s="23">
        <v>0</v>
      </c>
      <c r="AL20" s="23">
        <v>0</v>
      </c>
      <c r="AM20" s="23">
        <v>1</v>
      </c>
      <c r="AN20" s="23">
        <v>0</v>
      </c>
      <c r="AO20" s="23">
        <v>1</v>
      </c>
      <c r="AP20" s="23">
        <v>0</v>
      </c>
      <c r="AQ20" s="23">
        <v>0</v>
      </c>
      <c r="AR20" s="23">
        <v>0</v>
      </c>
      <c r="AS20" s="23">
        <v>0</v>
      </c>
      <c r="AT20" s="23">
        <v>1</v>
      </c>
      <c r="AU20" s="23">
        <v>1</v>
      </c>
      <c r="AV20" s="23">
        <v>0</v>
      </c>
      <c r="AW20" s="23">
        <v>0</v>
      </c>
      <c r="AX20" s="23">
        <v>1</v>
      </c>
      <c r="AY20" s="23">
        <v>0</v>
      </c>
      <c r="AZ20" s="23">
        <v>0</v>
      </c>
      <c r="BA20" s="23">
        <v>0</v>
      </c>
      <c r="BB20" s="23">
        <v>1</v>
      </c>
      <c r="BC20" s="23">
        <v>0</v>
      </c>
      <c r="BD20" s="23">
        <v>0</v>
      </c>
      <c r="BE20" s="23">
        <v>0</v>
      </c>
      <c r="BF20" s="23">
        <v>1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f t="shared" si="2"/>
        <v>1</v>
      </c>
      <c r="BQ20" s="23">
        <f t="shared" si="3"/>
        <v>1</v>
      </c>
      <c r="BR20" s="23">
        <f t="shared" si="4"/>
        <v>0</v>
      </c>
      <c r="BS20" s="23">
        <f t="shared" si="5"/>
        <v>0</v>
      </c>
      <c r="BT20" s="23">
        <f t="shared" si="6"/>
        <v>1</v>
      </c>
      <c r="BU20" s="23">
        <f t="shared" si="7"/>
        <v>0</v>
      </c>
      <c r="BV20" s="23">
        <f t="shared" si="8"/>
        <v>1</v>
      </c>
      <c r="BW20" s="23">
        <f t="shared" si="9"/>
        <v>0</v>
      </c>
      <c r="BX20" s="23">
        <f t="shared" si="10"/>
        <v>0</v>
      </c>
      <c r="BY20" s="23">
        <f t="shared" si="11"/>
        <v>0</v>
      </c>
      <c r="BZ20" s="23">
        <f t="shared" si="12"/>
        <v>0</v>
      </c>
      <c r="CA20" s="23">
        <f t="shared" si="13"/>
        <v>1</v>
      </c>
      <c r="CB20" s="23">
        <f t="shared" si="14"/>
        <v>1</v>
      </c>
      <c r="CC20" s="23">
        <f t="shared" si="15"/>
        <v>0</v>
      </c>
      <c r="CD20" s="23">
        <f t="shared" si="16"/>
        <v>0</v>
      </c>
      <c r="CE20" s="23">
        <f t="shared" si="17"/>
        <v>1</v>
      </c>
      <c r="CF20" s="23">
        <f t="shared" si="18"/>
        <v>0</v>
      </c>
      <c r="CG20" s="23">
        <f t="shared" si="19"/>
        <v>0</v>
      </c>
      <c r="CH20" s="23">
        <f t="shared" si="20"/>
        <v>0</v>
      </c>
      <c r="CI20" s="23">
        <f t="shared" si="21"/>
        <v>1</v>
      </c>
      <c r="CJ20" s="23">
        <f t="shared" si="22"/>
        <v>0</v>
      </c>
      <c r="CK20" s="23">
        <f t="shared" si="23"/>
        <v>0</v>
      </c>
      <c r="CL20" s="23">
        <f t="shared" si="24"/>
        <v>0</v>
      </c>
      <c r="CM20" s="23">
        <f t="shared" si="25"/>
        <v>1</v>
      </c>
      <c r="CN20" s="23">
        <f t="shared" si="26"/>
        <v>0</v>
      </c>
      <c r="CO20" s="23">
        <f t="shared" si="27"/>
        <v>0</v>
      </c>
      <c r="CP20" s="23">
        <f t="shared" si="28"/>
        <v>0</v>
      </c>
      <c r="CQ20" s="23">
        <f t="shared" si="29"/>
        <v>0</v>
      </c>
      <c r="CR20" s="23">
        <f t="shared" si="30"/>
        <v>0</v>
      </c>
      <c r="CS20" s="23">
        <f t="shared" si="31"/>
        <v>0</v>
      </c>
      <c r="CT20" s="23">
        <f t="shared" si="32"/>
        <v>0</v>
      </c>
      <c r="CU20" s="23">
        <f t="shared" si="33"/>
        <v>0</v>
      </c>
      <c r="CV20" s="23">
        <f t="shared" si="34"/>
        <v>0</v>
      </c>
    </row>
    <row r="21" spans="1:100" ht="13.5">
      <c r="A21" s="15">
        <v>97</v>
      </c>
      <c r="B21" s="27" t="s">
        <v>263</v>
      </c>
      <c r="C21" t="s">
        <v>259</v>
      </c>
      <c r="E21" t="s">
        <v>260</v>
      </c>
      <c r="F21" t="s">
        <v>133</v>
      </c>
      <c r="G21" t="s">
        <v>260</v>
      </c>
      <c r="H21" t="s">
        <v>261</v>
      </c>
      <c r="I21" s="6" t="s">
        <v>136</v>
      </c>
      <c r="J21" s="6">
        <v>1</v>
      </c>
      <c r="L21" s="15">
        <v>1</v>
      </c>
      <c r="M21" s="7">
        <v>46017</v>
      </c>
      <c r="N21" s="7">
        <v>46037</v>
      </c>
      <c r="O21" s="7">
        <v>46036</v>
      </c>
      <c r="P21" s="7">
        <v>46036</v>
      </c>
      <c r="R21" s="6" t="s">
        <v>264</v>
      </c>
      <c r="S21" s="6" t="s">
        <v>260</v>
      </c>
      <c r="U21" s="6" t="s">
        <v>191</v>
      </c>
      <c r="V21" s="6" t="str">
        <f t="shared" si="1"/>
        <v>26/01</v>
      </c>
      <c r="W21">
        <v>21344</v>
      </c>
      <c r="Y21" s="6" t="s">
        <v>192</v>
      </c>
      <c r="Z21" s="6" t="s">
        <v>193</v>
      </c>
      <c r="AD21">
        <v>8208</v>
      </c>
      <c r="AI21" s="23">
        <v>1</v>
      </c>
      <c r="AJ21" s="23">
        <v>1</v>
      </c>
      <c r="AK21" s="23">
        <v>0</v>
      </c>
      <c r="AL21" s="23">
        <v>0</v>
      </c>
      <c r="AM21" s="23">
        <v>1</v>
      </c>
      <c r="AN21" s="23">
        <v>0</v>
      </c>
      <c r="AO21" s="23">
        <v>1</v>
      </c>
      <c r="AP21" s="23">
        <v>0</v>
      </c>
      <c r="AQ21" s="23">
        <v>0</v>
      </c>
      <c r="AR21" s="23">
        <v>0</v>
      </c>
      <c r="AS21" s="23">
        <v>0</v>
      </c>
      <c r="AT21" s="23">
        <v>1</v>
      </c>
      <c r="AU21" s="23">
        <v>1</v>
      </c>
      <c r="AV21" s="23">
        <v>0</v>
      </c>
      <c r="AW21" s="23">
        <v>0</v>
      </c>
      <c r="AX21" s="23">
        <v>1</v>
      </c>
      <c r="AY21" s="23">
        <v>0</v>
      </c>
      <c r="AZ21" s="23">
        <v>0</v>
      </c>
      <c r="BA21" s="23">
        <v>0</v>
      </c>
      <c r="BB21" s="23">
        <v>1</v>
      </c>
      <c r="BC21" s="23">
        <v>0</v>
      </c>
      <c r="BD21" s="23">
        <v>0</v>
      </c>
      <c r="BE21" s="23">
        <v>0</v>
      </c>
      <c r="BF21" s="23">
        <v>1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  <c r="BO21" s="23">
        <v>0</v>
      </c>
      <c r="BP21" s="23">
        <f t="shared" si="2"/>
        <v>1</v>
      </c>
      <c r="BQ21" s="23">
        <f t="shared" si="3"/>
        <v>1</v>
      </c>
      <c r="BR21" s="23">
        <f t="shared" si="4"/>
        <v>0</v>
      </c>
      <c r="BS21" s="23">
        <f t="shared" si="5"/>
        <v>0</v>
      </c>
      <c r="BT21" s="23">
        <f t="shared" si="6"/>
        <v>1</v>
      </c>
      <c r="BU21" s="23">
        <f t="shared" si="7"/>
        <v>0</v>
      </c>
      <c r="BV21" s="23">
        <f t="shared" si="8"/>
        <v>1</v>
      </c>
      <c r="BW21" s="23">
        <f t="shared" si="9"/>
        <v>0</v>
      </c>
      <c r="BX21" s="23">
        <f t="shared" si="10"/>
        <v>0</v>
      </c>
      <c r="BY21" s="23">
        <f t="shared" si="11"/>
        <v>0</v>
      </c>
      <c r="BZ21" s="23">
        <f t="shared" si="12"/>
        <v>0</v>
      </c>
      <c r="CA21" s="23">
        <f t="shared" si="13"/>
        <v>1</v>
      </c>
      <c r="CB21" s="23">
        <f t="shared" si="14"/>
        <v>1</v>
      </c>
      <c r="CC21" s="23">
        <f t="shared" si="15"/>
        <v>0</v>
      </c>
      <c r="CD21" s="23">
        <f t="shared" si="16"/>
        <v>0</v>
      </c>
      <c r="CE21" s="23">
        <f t="shared" si="17"/>
        <v>1</v>
      </c>
      <c r="CF21" s="23">
        <f t="shared" si="18"/>
        <v>0</v>
      </c>
      <c r="CG21" s="23">
        <f t="shared" si="19"/>
        <v>0</v>
      </c>
      <c r="CH21" s="23">
        <f t="shared" si="20"/>
        <v>0</v>
      </c>
      <c r="CI21" s="23">
        <f t="shared" si="21"/>
        <v>1</v>
      </c>
      <c r="CJ21" s="23">
        <f t="shared" si="22"/>
        <v>0</v>
      </c>
      <c r="CK21" s="23">
        <f t="shared" si="23"/>
        <v>0</v>
      </c>
      <c r="CL21" s="23">
        <f t="shared" si="24"/>
        <v>0</v>
      </c>
      <c r="CM21" s="23">
        <f t="shared" si="25"/>
        <v>1</v>
      </c>
      <c r="CN21" s="23">
        <f t="shared" si="26"/>
        <v>0</v>
      </c>
      <c r="CO21" s="23">
        <f t="shared" si="27"/>
        <v>0</v>
      </c>
      <c r="CP21" s="23">
        <f t="shared" si="28"/>
        <v>0</v>
      </c>
      <c r="CQ21" s="23">
        <f t="shared" si="29"/>
        <v>0</v>
      </c>
      <c r="CR21" s="23">
        <f t="shared" si="30"/>
        <v>0</v>
      </c>
      <c r="CS21" s="23">
        <f t="shared" si="31"/>
        <v>0</v>
      </c>
      <c r="CT21" s="23">
        <f t="shared" si="32"/>
        <v>0</v>
      </c>
      <c r="CU21" s="23">
        <f t="shared" si="33"/>
        <v>0</v>
      </c>
      <c r="CV21" s="23">
        <f t="shared" si="34"/>
        <v>0</v>
      </c>
    </row>
    <row r="22" spans="1:100" ht="13.5">
      <c r="A22" s="15">
        <v>99</v>
      </c>
      <c r="B22" s="27" t="s">
        <v>265</v>
      </c>
      <c r="C22" t="s">
        <v>208</v>
      </c>
      <c r="E22" t="s">
        <v>134</v>
      </c>
      <c r="F22" t="s">
        <v>133</v>
      </c>
      <c r="G22" t="s">
        <v>134</v>
      </c>
      <c r="H22" t="s">
        <v>209</v>
      </c>
      <c r="I22" s="6" t="s">
        <v>136</v>
      </c>
      <c r="J22" s="6">
        <v>1</v>
      </c>
      <c r="L22" s="15">
        <v>1</v>
      </c>
      <c r="M22" s="7">
        <v>46017</v>
      </c>
      <c r="N22" s="7">
        <v>46037</v>
      </c>
      <c r="O22" s="7">
        <v>46036</v>
      </c>
      <c r="P22" s="7">
        <v>46036</v>
      </c>
      <c r="R22" s="6" t="s">
        <v>266</v>
      </c>
      <c r="S22" s="6" t="s">
        <v>134</v>
      </c>
      <c r="U22" s="6" t="s">
        <v>191</v>
      </c>
      <c r="V22" s="6" t="str">
        <f t="shared" si="1"/>
        <v>26/01</v>
      </c>
      <c r="W22">
        <v>21345</v>
      </c>
      <c r="Y22" s="6" t="s">
        <v>211</v>
      </c>
      <c r="Z22" s="6" t="s">
        <v>212</v>
      </c>
      <c r="AA22">
        <v>3219</v>
      </c>
      <c r="AI22" s="23">
        <v>1</v>
      </c>
      <c r="AJ22" s="23">
        <v>1</v>
      </c>
      <c r="AK22" s="23">
        <v>0</v>
      </c>
      <c r="AL22" s="23">
        <v>0</v>
      </c>
      <c r="AM22" s="23">
        <v>1</v>
      </c>
      <c r="AN22" s="23">
        <v>0</v>
      </c>
      <c r="AO22" s="23">
        <v>1</v>
      </c>
      <c r="AP22" s="23">
        <v>0</v>
      </c>
      <c r="AQ22" s="23">
        <v>0</v>
      </c>
      <c r="AR22" s="23">
        <v>0</v>
      </c>
      <c r="AS22" s="23">
        <v>0</v>
      </c>
      <c r="AT22" s="23">
        <v>1</v>
      </c>
      <c r="AU22" s="23">
        <v>1</v>
      </c>
      <c r="AV22" s="23">
        <v>0</v>
      </c>
      <c r="AW22" s="23">
        <v>0</v>
      </c>
      <c r="AX22" s="23">
        <v>1</v>
      </c>
      <c r="AY22" s="23">
        <v>0</v>
      </c>
      <c r="AZ22" s="23">
        <v>0</v>
      </c>
      <c r="BA22" s="23">
        <v>0</v>
      </c>
      <c r="BB22" s="23">
        <v>1</v>
      </c>
      <c r="BC22" s="23">
        <v>0</v>
      </c>
      <c r="BD22" s="23">
        <v>0</v>
      </c>
      <c r="BE22" s="23">
        <v>0</v>
      </c>
      <c r="BF22" s="23">
        <v>1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f t="shared" si="2"/>
        <v>1</v>
      </c>
      <c r="BQ22" s="23">
        <f t="shared" si="3"/>
        <v>1</v>
      </c>
      <c r="BR22" s="23">
        <f t="shared" si="4"/>
        <v>0</v>
      </c>
      <c r="BS22" s="23">
        <f t="shared" si="5"/>
        <v>0</v>
      </c>
      <c r="BT22" s="23">
        <f t="shared" si="6"/>
        <v>1</v>
      </c>
      <c r="BU22" s="23">
        <f t="shared" si="7"/>
        <v>0</v>
      </c>
      <c r="BV22" s="23">
        <f t="shared" si="8"/>
        <v>1</v>
      </c>
      <c r="BW22" s="23">
        <f t="shared" si="9"/>
        <v>0</v>
      </c>
      <c r="BX22" s="23">
        <f t="shared" si="10"/>
        <v>0</v>
      </c>
      <c r="BY22" s="23">
        <f t="shared" si="11"/>
        <v>0</v>
      </c>
      <c r="BZ22" s="23">
        <f t="shared" si="12"/>
        <v>0</v>
      </c>
      <c r="CA22" s="23">
        <f t="shared" si="13"/>
        <v>1</v>
      </c>
      <c r="CB22" s="23">
        <f t="shared" si="14"/>
        <v>1</v>
      </c>
      <c r="CC22" s="23">
        <f t="shared" si="15"/>
        <v>0</v>
      </c>
      <c r="CD22" s="23">
        <f t="shared" si="16"/>
        <v>0</v>
      </c>
      <c r="CE22" s="23">
        <f t="shared" si="17"/>
        <v>1</v>
      </c>
      <c r="CF22" s="23">
        <f t="shared" si="18"/>
        <v>0</v>
      </c>
      <c r="CG22" s="23">
        <f t="shared" si="19"/>
        <v>0</v>
      </c>
      <c r="CH22" s="23">
        <f t="shared" si="20"/>
        <v>0</v>
      </c>
      <c r="CI22" s="23">
        <f t="shared" si="21"/>
        <v>1</v>
      </c>
      <c r="CJ22" s="23">
        <f t="shared" si="22"/>
        <v>0</v>
      </c>
      <c r="CK22" s="23">
        <f t="shared" si="23"/>
        <v>0</v>
      </c>
      <c r="CL22" s="23">
        <f t="shared" si="24"/>
        <v>0</v>
      </c>
      <c r="CM22" s="23">
        <f t="shared" si="25"/>
        <v>1</v>
      </c>
      <c r="CN22" s="23">
        <f t="shared" si="26"/>
        <v>0</v>
      </c>
      <c r="CO22" s="23">
        <f t="shared" si="27"/>
        <v>0</v>
      </c>
      <c r="CP22" s="23">
        <f t="shared" si="28"/>
        <v>0</v>
      </c>
      <c r="CQ22" s="23">
        <f t="shared" si="29"/>
        <v>0</v>
      </c>
      <c r="CR22" s="23">
        <f t="shared" si="30"/>
        <v>0</v>
      </c>
      <c r="CS22" s="23">
        <f t="shared" si="31"/>
        <v>0</v>
      </c>
      <c r="CT22" s="23">
        <f t="shared" si="32"/>
        <v>0</v>
      </c>
      <c r="CU22" s="23">
        <f t="shared" si="33"/>
        <v>0</v>
      </c>
      <c r="CV22" s="23">
        <f t="shared" si="34"/>
        <v>0</v>
      </c>
    </row>
    <row r="23" spans="1:100" ht="13.5">
      <c r="A23" s="15">
        <v>117</v>
      </c>
      <c r="B23" s="27" t="s">
        <v>267</v>
      </c>
      <c r="C23" t="s">
        <v>164</v>
      </c>
      <c r="D23" t="s">
        <v>268</v>
      </c>
      <c r="F23" t="s">
        <v>194</v>
      </c>
      <c r="G23" t="s">
        <v>195</v>
      </c>
      <c r="H23" t="s">
        <v>196</v>
      </c>
      <c r="I23" s="6" t="s">
        <v>147</v>
      </c>
      <c r="J23" s="6">
        <v>1</v>
      </c>
      <c r="L23" s="15">
        <v>1</v>
      </c>
      <c r="M23" s="7">
        <v>46017</v>
      </c>
      <c r="N23" s="7">
        <v>46037</v>
      </c>
      <c r="O23" s="7">
        <v>46036</v>
      </c>
      <c r="P23" s="7">
        <v>46041</v>
      </c>
      <c r="R23" s="6" t="s">
        <v>269</v>
      </c>
      <c r="S23" s="6" t="s">
        <v>190</v>
      </c>
      <c r="U23" s="6" t="s">
        <v>191</v>
      </c>
      <c r="V23" s="6" t="str">
        <f t="shared" si="1"/>
        <v>26/01</v>
      </c>
      <c r="W23">
        <v>21346</v>
      </c>
      <c r="Y23" s="6" t="s">
        <v>192</v>
      </c>
      <c r="Z23" s="6" t="s">
        <v>193</v>
      </c>
      <c r="AD23">
        <v>8209</v>
      </c>
      <c r="AI23" s="23">
        <v>1</v>
      </c>
      <c r="AJ23" s="23">
        <v>1</v>
      </c>
      <c r="AK23" s="23">
        <v>0</v>
      </c>
      <c r="AL23" s="23">
        <v>0</v>
      </c>
      <c r="AM23" s="23">
        <v>1</v>
      </c>
      <c r="AN23" s="23">
        <v>0</v>
      </c>
      <c r="AO23" s="23">
        <v>1</v>
      </c>
      <c r="AP23" s="23">
        <v>0</v>
      </c>
      <c r="AQ23" s="23">
        <v>0</v>
      </c>
      <c r="AR23" s="23">
        <v>0</v>
      </c>
      <c r="AS23" s="23">
        <v>1</v>
      </c>
      <c r="AT23" s="23">
        <v>0</v>
      </c>
      <c r="AU23" s="23">
        <v>1</v>
      </c>
      <c r="AV23" s="23">
        <v>0</v>
      </c>
      <c r="AW23" s="23">
        <v>0</v>
      </c>
      <c r="AX23" s="23">
        <v>1</v>
      </c>
      <c r="AY23" s="23">
        <v>0</v>
      </c>
      <c r="AZ23" s="23">
        <v>0</v>
      </c>
      <c r="BA23" s="23">
        <v>0</v>
      </c>
      <c r="BB23" s="23">
        <v>1</v>
      </c>
      <c r="BC23" s="23">
        <v>0</v>
      </c>
      <c r="BD23" s="23">
        <v>0</v>
      </c>
      <c r="BE23" s="23">
        <v>0</v>
      </c>
      <c r="BF23" s="23">
        <v>1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f t="shared" si="2"/>
        <v>1</v>
      </c>
      <c r="BQ23" s="23">
        <f t="shared" si="3"/>
        <v>1</v>
      </c>
      <c r="BR23" s="23">
        <f t="shared" si="4"/>
        <v>0</v>
      </c>
      <c r="BS23" s="23">
        <f t="shared" si="5"/>
        <v>0</v>
      </c>
      <c r="BT23" s="23">
        <f t="shared" si="6"/>
        <v>1</v>
      </c>
      <c r="BU23" s="23">
        <f t="shared" si="7"/>
        <v>0</v>
      </c>
      <c r="BV23" s="23">
        <f t="shared" si="8"/>
        <v>1</v>
      </c>
      <c r="BW23" s="23">
        <f t="shared" si="9"/>
        <v>0</v>
      </c>
      <c r="BX23" s="23">
        <f t="shared" si="10"/>
        <v>0</v>
      </c>
      <c r="BY23" s="23">
        <f t="shared" si="11"/>
        <v>0</v>
      </c>
      <c r="BZ23" s="23">
        <f t="shared" si="12"/>
        <v>1</v>
      </c>
      <c r="CA23" s="23">
        <f t="shared" si="13"/>
        <v>0</v>
      </c>
      <c r="CB23" s="23">
        <f t="shared" si="14"/>
        <v>1</v>
      </c>
      <c r="CC23" s="23">
        <f t="shared" si="15"/>
        <v>0</v>
      </c>
      <c r="CD23" s="23">
        <f t="shared" si="16"/>
        <v>0</v>
      </c>
      <c r="CE23" s="23">
        <f t="shared" si="17"/>
        <v>1</v>
      </c>
      <c r="CF23" s="23">
        <f t="shared" si="18"/>
        <v>0</v>
      </c>
      <c r="CG23" s="23">
        <f t="shared" si="19"/>
        <v>0</v>
      </c>
      <c r="CH23" s="23">
        <f t="shared" si="20"/>
        <v>0</v>
      </c>
      <c r="CI23" s="23">
        <f t="shared" si="21"/>
        <v>1</v>
      </c>
      <c r="CJ23" s="23">
        <f t="shared" si="22"/>
        <v>0</v>
      </c>
      <c r="CK23" s="23">
        <f t="shared" si="23"/>
        <v>0</v>
      </c>
      <c r="CL23" s="23">
        <f t="shared" si="24"/>
        <v>0</v>
      </c>
      <c r="CM23" s="23">
        <f t="shared" si="25"/>
        <v>1</v>
      </c>
      <c r="CN23" s="23">
        <f t="shared" si="26"/>
        <v>0</v>
      </c>
      <c r="CO23" s="23">
        <f t="shared" si="27"/>
        <v>0</v>
      </c>
      <c r="CP23" s="23">
        <f t="shared" si="28"/>
        <v>0</v>
      </c>
      <c r="CQ23" s="23">
        <f t="shared" si="29"/>
        <v>0</v>
      </c>
      <c r="CR23" s="23">
        <f t="shared" si="30"/>
        <v>0</v>
      </c>
      <c r="CS23" s="23">
        <f t="shared" si="31"/>
        <v>0</v>
      </c>
      <c r="CT23" s="23">
        <f t="shared" si="32"/>
        <v>0</v>
      </c>
      <c r="CU23" s="23">
        <f t="shared" si="33"/>
        <v>0</v>
      </c>
      <c r="CV23" s="23">
        <f t="shared" si="34"/>
        <v>0</v>
      </c>
    </row>
    <row r="24" spans="1:100" ht="13.5">
      <c r="A24" s="15">
        <v>102</v>
      </c>
      <c r="B24" s="27" t="s">
        <v>270</v>
      </c>
      <c r="C24" t="s">
        <v>259</v>
      </c>
      <c r="E24" t="s">
        <v>260</v>
      </c>
      <c r="F24" t="s">
        <v>133</v>
      </c>
      <c r="G24" t="s">
        <v>260</v>
      </c>
      <c r="H24" t="s">
        <v>261</v>
      </c>
      <c r="I24" s="6" t="s">
        <v>136</v>
      </c>
      <c r="J24" s="6">
        <v>1</v>
      </c>
      <c r="L24" s="15">
        <v>1</v>
      </c>
      <c r="M24" s="7">
        <v>46027</v>
      </c>
      <c r="N24" s="7">
        <v>46038</v>
      </c>
      <c r="O24" s="7">
        <v>46037</v>
      </c>
      <c r="P24" s="7">
        <v>46037</v>
      </c>
      <c r="R24" s="6" t="s">
        <v>271</v>
      </c>
      <c r="S24" s="6" t="s">
        <v>260</v>
      </c>
      <c r="U24" s="6" t="s">
        <v>191</v>
      </c>
      <c r="V24" s="6" t="str">
        <f t="shared" si="1"/>
        <v>26/01</v>
      </c>
      <c r="W24">
        <v>21347</v>
      </c>
      <c r="Y24" s="6" t="s">
        <v>192</v>
      </c>
      <c r="Z24" s="6" t="s">
        <v>193</v>
      </c>
      <c r="AD24">
        <v>8210</v>
      </c>
      <c r="AI24" s="23">
        <v>1</v>
      </c>
      <c r="AJ24" s="23">
        <v>1</v>
      </c>
      <c r="AK24" s="23">
        <v>0</v>
      </c>
      <c r="AL24" s="23">
        <v>0</v>
      </c>
      <c r="AM24" s="23">
        <v>1</v>
      </c>
      <c r="AN24" s="23">
        <v>0</v>
      </c>
      <c r="AO24" s="23">
        <v>1</v>
      </c>
      <c r="AP24" s="23">
        <v>0</v>
      </c>
      <c r="AQ24" s="23">
        <v>0</v>
      </c>
      <c r="AR24" s="23">
        <v>0</v>
      </c>
      <c r="AS24" s="23">
        <v>0</v>
      </c>
      <c r="AT24" s="23">
        <v>1</v>
      </c>
      <c r="AU24" s="23">
        <v>1</v>
      </c>
      <c r="AV24" s="23">
        <v>0</v>
      </c>
      <c r="AW24" s="23">
        <v>0</v>
      </c>
      <c r="AX24" s="23">
        <v>1</v>
      </c>
      <c r="AY24" s="23">
        <v>0</v>
      </c>
      <c r="AZ24" s="23">
        <v>0</v>
      </c>
      <c r="BA24" s="23">
        <v>0</v>
      </c>
      <c r="BB24" s="23">
        <v>1</v>
      </c>
      <c r="BC24" s="23">
        <v>0</v>
      </c>
      <c r="BD24" s="23">
        <v>0</v>
      </c>
      <c r="BE24" s="23">
        <v>0</v>
      </c>
      <c r="BF24" s="23">
        <v>1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0</v>
      </c>
      <c r="BP24" s="23">
        <f t="shared" si="2"/>
        <v>1</v>
      </c>
      <c r="BQ24" s="23">
        <f t="shared" si="3"/>
        <v>1</v>
      </c>
      <c r="BR24" s="23">
        <f t="shared" si="4"/>
        <v>0</v>
      </c>
      <c r="BS24" s="23">
        <f t="shared" si="5"/>
        <v>0</v>
      </c>
      <c r="BT24" s="23">
        <f t="shared" si="6"/>
        <v>1</v>
      </c>
      <c r="BU24" s="23">
        <f t="shared" si="7"/>
        <v>0</v>
      </c>
      <c r="BV24" s="23">
        <f t="shared" si="8"/>
        <v>1</v>
      </c>
      <c r="BW24" s="23">
        <f t="shared" si="9"/>
        <v>0</v>
      </c>
      <c r="BX24" s="23">
        <f t="shared" si="10"/>
        <v>0</v>
      </c>
      <c r="BY24" s="23">
        <f t="shared" si="11"/>
        <v>0</v>
      </c>
      <c r="BZ24" s="23">
        <f t="shared" si="12"/>
        <v>0</v>
      </c>
      <c r="CA24" s="23">
        <f t="shared" si="13"/>
        <v>1</v>
      </c>
      <c r="CB24" s="23">
        <f t="shared" si="14"/>
        <v>1</v>
      </c>
      <c r="CC24" s="23">
        <f t="shared" si="15"/>
        <v>0</v>
      </c>
      <c r="CD24" s="23">
        <f t="shared" si="16"/>
        <v>0</v>
      </c>
      <c r="CE24" s="23">
        <f t="shared" si="17"/>
        <v>1</v>
      </c>
      <c r="CF24" s="23">
        <f t="shared" si="18"/>
        <v>0</v>
      </c>
      <c r="CG24" s="23">
        <f t="shared" si="19"/>
        <v>0</v>
      </c>
      <c r="CH24" s="23">
        <f t="shared" si="20"/>
        <v>0</v>
      </c>
      <c r="CI24" s="23">
        <f t="shared" si="21"/>
        <v>1</v>
      </c>
      <c r="CJ24" s="23">
        <f t="shared" si="22"/>
        <v>0</v>
      </c>
      <c r="CK24" s="23">
        <f t="shared" si="23"/>
        <v>0</v>
      </c>
      <c r="CL24" s="23">
        <f t="shared" si="24"/>
        <v>0</v>
      </c>
      <c r="CM24" s="23">
        <f t="shared" si="25"/>
        <v>1</v>
      </c>
      <c r="CN24" s="23">
        <f t="shared" si="26"/>
        <v>0</v>
      </c>
      <c r="CO24" s="23">
        <f t="shared" si="27"/>
        <v>0</v>
      </c>
      <c r="CP24" s="23">
        <f t="shared" si="28"/>
        <v>0</v>
      </c>
      <c r="CQ24" s="23">
        <f t="shared" si="29"/>
        <v>0</v>
      </c>
      <c r="CR24" s="23">
        <f t="shared" si="30"/>
        <v>0</v>
      </c>
      <c r="CS24" s="23">
        <f t="shared" si="31"/>
        <v>0</v>
      </c>
      <c r="CT24" s="23">
        <f t="shared" si="32"/>
        <v>0</v>
      </c>
      <c r="CU24" s="23">
        <f t="shared" si="33"/>
        <v>0</v>
      </c>
      <c r="CV24" s="23">
        <f t="shared" si="34"/>
        <v>0</v>
      </c>
    </row>
    <row r="25" spans="1:100" ht="13.5">
      <c r="A25" s="15">
        <v>105</v>
      </c>
      <c r="B25" s="27" t="s">
        <v>272</v>
      </c>
      <c r="C25" t="s">
        <v>259</v>
      </c>
      <c r="E25" t="s">
        <v>260</v>
      </c>
      <c r="F25" t="s">
        <v>133</v>
      </c>
      <c r="G25" t="s">
        <v>260</v>
      </c>
      <c r="H25" t="s">
        <v>261</v>
      </c>
      <c r="I25" s="6" t="s">
        <v>136</v>
      </c>
      <c r="J25" s="6">
        <v>1</v>
      </c>
      <c r="L25" s="15">
        <v>1</v>
      </c>
      <c r="M25" s="7">
        <v>46027</v>
      </c>
      <c r="N25" s="7">
        <v>46038</v>
      </c>
      <c r="O25" s="7">
        <v>46037</v>
      </c>
      <c r="P25" s="7">
        <v>46037</v>
      </c>
      <c r="R25" s="6" t="s">
        <v>273</v>
      </c>
      <c r="S25" s="6" t="s">
        <v>260</v>
      </c>
      <c r="U25" s="6" t="s">
        <v>191</v>
      </c>
      <c r="V25" s="6" t="str">
        <f t="shared" si="1"/>
        <v>26/01</v>
      </c>
      <c r="W25">
        <v>21348</v>
      </c>
      <c r="Y25" s="6" t="s">
        <v>192</v>
      </c>
      <c r="Z25" s="6" t="s">
        <v>193</v>
      </c>
      <c r="AD25">
        <v>8211</v>
      </c>
      <c r="AI25" s="23">
        <v>1</v>
      </c>
      <c r="AJ25" s="23">
        <v>1</v>
      </c>
      <c r="AK25" s="23">
        <v>0</v>
      </c>
      <c r="AL25" s="23">
        <v>0</v>
      </c>
      <c r="AM25" s="23">
        <v>1</v>
      </c>
      <c r="AN25" s="23">
        <v>0</v>
      </c>
      <c r="AO25" s="23">
        <v>1</v>
      </c>
      <c r="AP25" s="23">
        <v>0</v>
      </c>
      <c r="AQ25" s="23">
        <v>0</v>
      </c>
      <c r="AR25" s="23">
        <v>0</v>
      </c>
      <c r="AS25" s="23">
        <v>0</v>
      </c>
      <c r="AT25" s="23">
        <v>1</v>
      </c>
      <c r="AU25" s="23">
        <v>1</v>
      </c>
      <c r="AV25" s="23">
        <v>0</v>
      </c>
      <c r="AW25" s="23">
        <v>0</v>
      </c>
      <c r="AX25" s="23">
        <v>1</v>
      </c>
      <c r="AY25" s="23">
        <v>0</v>
      </c>
      <c r="AZ25" s="23">
        <v>0</v>
      </c>
      <c r="BA25" s="23">
        <v>0</v>
      </c>
      <c r="BB25" s="23">
        <v>1</v>
      </c>
      <c r="BC25" s="23">
        <v>0</v>
      </c>
      <c r="BD25" s="23">
        <v>0</v>
      </c>
      <c r="BE25" s="23">
        <v>0</v>
      </c>
      <c r="BF25" s="23">
        <v>1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f t="shared" si="2"/>
        <v>1</v>
      </c>
      <c r="BQ25" s="23">
        <f t="shared" si="3"/>
        <v>1</v>
      </c>
      <c r="BR25" s="23">
        <f t="shared" si="4"/>
        <v>0</v>
      </c>
      <c r="BS25" s="23">
        <f t="shared" si="5"/>
        <v>0</v>
      </c>
      <c r="BT25" s="23">
        <f t="shared" si="6"/>
        <v>1</v>
      </c>
      <c r="BU25" s="23">
        <f t="shared" si="7"/>
        <v>0</v>
      </c>
      <c r="BV25" s="23">
        <f t="shared" si="8"/>
        <v>1</v>
      </c>
      <c r="BW25" s="23">
        <f t="shared" si="9"/>
        <v>0</v>
      </c>
      <c r="BX25" s="23">
        <f t="shared" si="10"/>
        <v>0</v>
      </c>
      <c r="BY25" s="23">
        <f t="shared" si="11"/>
        <v>0</v>
      </c>
      <c r="BZ25" s="23">
        <f t="shared" si="12"/>
        <v>0</v>
      </c>
      <c r="CA25" s="23">
        <f t="shared" si="13"/>
        <v>1</v>
      </c>
      <c r="CB25" s="23">
        <f t="shared" si="14"/>
        <v>1</v>
      </c>
      <c r="CC25" s="23">
        <f t="shared" si="15"/>
        <v>0</v>
      </c>
      <c r="CD25" s="23">
        <f t="shared" si="16"/>
        <v>0</v>
      </c>
      <c r="CE25" s="23">
        <f t="shared" si="17"/>
        <v>1</v>
      </c>
      <c r="CF25" s="23">
        <f t="shared" si="18"/>
        <v>0</v>
      </c>
      <c r="CG25" s="23">
        <f t="shared" si="19"/>
        <v>0</v>
      </c>
      <c r="CH25" s="23">
        <f t="shared" si="20"/>
        <v>0</v>
      </c>
      <c r="CI25" s="23">
        <f t="shared" si="21"/>
        <v>1</v>
      </c>
      <c r="CJ25" s="23">
        <f t="shared" si="22"/>
        <v>0</v>
      </c>
      <c r="CK25" s="23">
        <f t="shared" si="23"/>
        <v>0</v>
      </c>
      <c r="CL25" s="23">
        <f t="shared" si="24"/>
        <v>0</v>
      </c>
      <c r="CM25" s="23">
        <f t="shared" si="25"/>
        <v>1</v>
      </c>
      <c r="CN25" s="23">
        <f t="shared" si="26"/>
        <v>0</v>
      </c>
      <c r="CO25" s="23">
        <f t="shared" si="27"/>
        <v>0</v>
      </c>
      <c r="CP25" s="23">
        <f t="shared" si="28"/>
        <v>0</v>
      </c>
      <c r="CQ25" s="23">
        <f t="shared" si="29"/>
        <v>0</v>
      </c>
      <c r="CR25" s="23">
        <f t="shared" si="30"/>
        <v>0</v>
      </c>
      <c r="CS25" s="23">
        <f t="shared" si="31"/>
        <v>0</v>
      </c>
      <c r="CT25" s="23">
        <f t="shared" si="32"/>
        <v>0</v>
      </c>
      <c r="CU25" s="23">
        <f t="shared" si="33"/>
        <v>0</v>
      </c>
      <c r="CV25" s="23">
        <f t="shared" si="34"/>
        <v>0</v>
      </c>
    </row>
    <row r="26" spans="1:100" ht="13.5">
      <c r="A26" s="15">
        <v>104</v>
      </c>
      <c r="B26" s="27" t="s">
        <v>274</v>
      </c>
      <c r="C26" t="s">
        <v>259</v>
      </c>
      <c r="E26" t="s">
        <v>260</v>
      </c>
      <c r="F26" t="s">
        <v>133</v>
      </c>
      <c r="G26" t="s">
        <v>260</v>
      </c>
      <c r="H26" t="s">
        <v>261</v>
      </c>
      <c r="I26" s="6" t="s">
        <v>136</v>
      </c>
      <c r="J26" s="6">
        <v>1</v>
      </c>
      <c r="L26" s="15">
        <v>1</v>
      </c>
      <c r="M26" s="7">
        <v>46027</v>
      </c>
      <c r="N26" s="7">
        <v>46038</v>
      </c>
      <c r="O26" s="7">
        <v>46037</v>
      </c>
      <c r="P26" s="7">
        <v>46037</v>
      </c>
      <c r="R26" s="6" t="s">
        <v>275</v>
      </c>
      <c r="S26" s="6" t="s">
        <v>260</v>
      </c>
      <c r="U26" s="6" t="s">
        <v>191</v>
      </c>
      <c r="V26" s="6" t="str">
        <f t="shared" si="1"/>
        <v>26/01</v>
      </c>
      <c r="W26">
        <v>21349</v>
      </c>
      <c r="Y26" s="6" t="s">
        <v>192</v>
      </c>
      <c r="Z26" s="6" t="s">
        <v>193</v>
      </c>
      <c r="AD26">
        <v>8212</v>
      </c>
      <c r="AI26" s="23">
        <v>1</v>
      </c>
      <c r="AJ26" s="23">
        <v>1</v>
      </c>
      <c r="AK26" s="23">
        <v>0</v>
      </c>
      <c r="AL26" s="23">
        <v>0</v>
      </c>
      <c r="AM26" s="23">
        <v>1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1</v>
      </c>
      <c r="AU26" s="23">
        <v>1</v>
      </c>
      <c r="AV26" s="23">
        <v>0</v>
      </c>
      <c r="AW26" s="23">
        <v>0</v>
      </c>
      <c r="AX26" s="23">
        <v>1</v>
      </c>
      <c r="AY26" s="23">
        <v>0</v>
      </c>
      <c r="AZ26" s="23">
        <v>0</v>
      </c>
      <c r="BA26" s="23">
        <v>0</v>
      </c>
      <c r="BB26" s="23">
        <v>1</v>
      </c>
      <c r="BC26" s="23">
        <v>0</v>
      </c>
      <c r="BD26" s="23">
        <v>0</v>
      </c>
      <c r="BE26" s="23">
        <v>0</v>
      </c>
      <c r="BF26" s="23">
        <v>1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f t="shared" si="2"/>
        <v>1</v>
      </c>
      <c r="BQ26" s="23">
        <f t="shared" si="3"/>
        <v>1</v>
      </c>
      <c r="BR26" s="23">
        <f t="shared" si="4"/>
        <v>0</v>
      </c>
      <c r="BS26" s="23">
        <f t="shared" si="5"/>
        <v>0</v>
      </c>
      <c r="BT26" s="23">
        <f t="shared" si="6"/>
        <v>1</v>
      </c>
      <c r="BU26" s="23">
        <f t="shared" si="7"/>
        <v>0</v>
      </c>
      <c r="BV26" s="23">
        <f t="shared" si="8"/>
        <v>1</v>
      </c>
      <c r="BW26" s="23">
        <f t="shared" si="9"/>
        <v>0</v>
      </c>
      <c r="BX26" s="23">
        <f t="shared" si="10"/>
        <v>0</v>
      </c>
      <c r="BY26" s="23">
        <f t="shared" si="11"/>
        <v>0</v>
      </c>
      <c r="BZ26" s="23">
        <f t="shared" si="12"/>
        <v>0</v>
      </c>
      <c r="CA26" s="23">
        <f t="shared" si="13"/>
        <v>1</v>
      </c>
      <c r="CB26" s="23">
        <f t="shared" si="14"/>
        <v>1</v>
      </c>
      <c r="CC26" s="23">
        <f t="shared" si="15"/>
        <v>0</v>
      </c>
      <c r="CD26" s="23">
        <f t="shared" si="16"/>
        <v>0</v>
      </c>
      <c r="CE26" s="23">
        <f t="shared" si="17"/>
        <v>1</v>
      </c>
      <c r="CF26" s="23">
        <f t="shared" si="18"/>
        <v>0</v>
      </c>
      <c r="CG26" s="23">
        <f t="shared" si="19"/>
        <v>0</v>
      </c>
      <c r="CH26" s="23">
        <f t="shared" si="20"/>
        <v>0</v>
      </c>
      <c r="CI26" s="23">
        <f t="shared" si="21"/>
        <v>1</v>
      </c>
      <c r="CJ26" s="23">
        <f t="shared" si="22"/>
        <v>0</v>
      </c>
      <c r="CK26" s="23">
        <f t="shared" si="23"/>
        <v>0</v>
      </c>
      <c r="CL26" s="23">
        <f t="shared" si="24"/>
        <v>0</v>
      </c>
      <c r="CM26" s="23">
        <f t="shared" si="25"/>
        <v>1</v>
      </c>
      <c r="CN26" s="23">
        <f t="shared" si="26"/>
        <v>0</v>
      </c>
      <c r="CO26" s="23">
        <f t="shared" si="27"/>
        <v>0</v>
      </c>
      <c r="CP26" s="23">
        <f t="shared" si="28"/>
        <v>0</v>
      </c>
      <c r="CQ26" s="23">
        <f t="shared" si="29"/>
        <v>0</v>
      </c>
      <c r="CR26" s="23">
        <f t="shared" si="30"/>
        <v>0</v>
      </c>
      <c r="CS26" s="23">
        <f t="shared" si="31"/>
        <v>0</v>
      </c>
      <c r="CT26" s="23">
        <f t="shared" si="32"/>
        <v>0</v>
      </c>
      <c r="CU26" s="23">
        <f t="shared" si="33"/>
        <v>0</v>
      </c>
      <c r="CV26" s="23">
        <f t="shared" si="34"/>
        <v>0</v>
      </c>
    </row>
    <row r="27" spans="1:100" ht="13.5">
      <c r="A27" s="15">
        <v>103</v>
      </c>
      <c r="B27" s="27" t="s">
        <v>276</v>
      </c>
      <c r="C27" t="s">
        <v>259</v>
      </c>
      <c r="E27" t="s">
        <v>260</v>
      </c>
      <c r="F27" t="s">
        <v>133</v>
      </c>
      <c r="G27" t="s">
        <v>260</v>
      </c>
      <c r="H27" t="s">
        <v>261</v>
      </c>
      <c r="I27" s="6" t="s">
        <v>136</v>
      </c>
      <c r="J27" s="6">
        <v>1</v>
      </c>
      <c r="L27" s="15">
        <v>1</v>
      </c>
      <c r="M27" s="7">
        <v>46027</v>
      </c>
      <c r="N27" s="7">
        <v>46038</v>
      </c>
      <c r="O27" s="7">
        <v>46037</v>
      </c>
      <c r="P27" s="7">
        <v>46037</v>
      </c>
      <c r="R27" s="6" t="s">
        <v>277</v>
      </c>
      <c r="S27" s="6" t="s">
        <v>260</v>
      </c>
      <c r="U27" s="6" t="s">
        <v>191</v>
      </c>
      <c r="V27" s="6" t="str">
        <f t="shared" si="1"/>
        <v>26/01</v>
      </c>
      <c r="W27">
        <v>21350</v>
      </c>
      <c r="Y27" s="6" t="s">
        <v>192</v>
      </c>
      <c r="Z27" s="6" t="s">
        <v>193</v>
      </c>
      <c r="AD27">
        <v>8213</v>
      </c>
      <c r="AI27" s="23">
        <v>1</v>
      </c>
      <c r="AJ27" s="23">
        <v>1</v>
      </c>
      <c r="AK27" s="23">
        <v>0</v>
      </c>
      <c r="AL27" s="23">
        <v>0</v>
      </c>
      <c r="AM27" s="23">
        <v>1</v>
      </c>
      <c r="AN27" s="23">
        <v>0</v>
      </c>
      <c r="AO27" s="23">
        <v>1</v>
      </c>
      <c r="AP27" s="23">
        <v>0</v>
      </c>
      <c r="AQ27" s="23">
        <v>0</v>
      </c>
      <c r="AR27" s="23">
        <v>0</v>
      </c>
      <c r="AS27" s="23">
        <v>0</v>
      </c>
      <c r="AT27" s="23">
        <v>1</v>
      </c>
      <c r="AU27" s="23">
        <v>1</v>
      </c>
      <c r="AV27" s="23">
        <v>0</v>
      </c>
      <c r="AW27" s="23">
        <v>0</v>
      </c>
      <c r="AX27" s="23">
        <v>1</v>
      </c>
      <c r="AY27" s="23">
        <v>0</v>
      </c>
      <c r="AZ27" s="23">
        <v>0</v>
      </c>
      <c r="BA27" s="23">
        <v>0</v>
      </c>
      <c r="BB27" s="23">
        <v>1</v>
      </c>
      <c r="BC27" s="23">
        <v>0</v>
      </c>
      <c r="BD27" s="23">
        <v>0</v>
      </c>
      <c r="BE27" s="23">
        <v>0</v>
      </c>
      <c r="BF27" s="23">
        <v>1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f t="shared" si="2"/>
        <v>1</v>
      </c>
      <c r="BQ27" s="23">
        <f t="shared" si="3"/>
        <v>1</v>
      </c>
      <c r="BR27" s="23">
        <f t="shared" si="4"/>
        <v>0</v>
      </c>
      <c r="BS27" s="23">
        <f t="shared" si="5"/>
        <v>0</v>
      </c>
      <c r="BT27" s="23">
        <f t="shared" si="6"/>
        <v>1</v>
      </c>
      <c r="BU27" s="23">
        <f t="shared" si="7"/>
        <v>0</v>
      </c>
      <c r="BV27" s="23">
        <f t="shared" si="8"/>
        <v>1</v>
      </c>
      <c r="BW27" s="23">
        <f t="shared" si="9"/>
        <v>0</v>
      </c>
      <c r="BX27" s="23">
        <f t="shared" si="10"/>
        <v>0</v>
      </c>
      <c r="BY27" s="23">
        <f t="shared" si="11"/>
        <v>0</v>
      </c>
      <c r="BZ27" s="23">
        <f t="shared" si="12"/>
        <v>0</v>
      </c>
      <c r="CA27" s="23">
        <f t="shared" si="13"/>
        <v>1</v>
      </c>
      <c r="CB27" s="23">
        <f t="shared" si="14"/>
        <v>1</v>
      </c>
      <c r="CC27" s="23">
        <f t="shared" si="15"/>
        <v>0</v>
      </c>
      <c r="CD27" s="23">
        <f t="shared" si="16"/>
        <v>0</v>
      </c>
      <c r="CE27" s="23">
        <f t="shared" si="17"/>
        <v>1</v>
      </c>
      <c r="CF27" s="23">
        <f t="shared" si="18"/>
        <v>0</v>
      </c>
      <c r="CG27" s="23">
        <f t="shared" si="19"/>
        <v>0</v>
      </c>
      <c r="CH27" s="23">
        <f t="shared" si="20"/>
        <v>0</v>
      </c>
      <c r="CI27" s="23">
        <f t="shared" si="21"/>
        <v>1</v>
      </c>
      <c r="CJ27" s="23">
        <f t="shared" si="22"/>
        <v>0</v>
      </c>
      <c r="CK27" s="23">
        <f t="shared" si="23"/>
        <v>0</v>
      </c>
      <c r="CL27" s="23">
        <f t="shared" si="24"/>
        <v>0</v>
      </c>
      <c r="CM27" s="23">
        <f t="shared" si="25"/>
        <v>1</v>
      </c>
      <c r="CN27" s="23">
        <f t="shared" si="26"/>
        <v>0</v>
      </c>
      <c r="CO27" s="23">
        <f t="shared" si="27"/>
        <v>0</v>
      </c>
      <c r="CP27" s="23">
        <f t="shared" si="28"/>
        <v>0</v>
      </c>
      <c r="CQ27" s="23">
        <f t="shared" si="29"/>
        <v>0</v>
      </c>
      <c r="CR27" s="23">
        <f t="shared" si="30"/>
        <v>0</v>
      </c>
      <c r="CS27" s="23">
        <f t="shared" si="31"/>
        <v>0</v>
      </c>
      <c r="CT27" s="23">
        <f t="shared" si="32"/>
        <v>0</v>
      </c>
      <c r="CU27" s="23">
        <f t="shared" si="33"/>
        <v>0</v>
      </c>
      <c r="CV27" s="23">
        <f t="shared" si="34"/>
        <v>0</v>
      </c>
    </row>
    <row r="28" spans="1:100" ht="13.5">
      <c r="A28" s="15">
        <v>119</v>
      </c>
      <c r="B28" s="27" t="s">
        <v>278</v>
      </c>
      <c r="C28" t="s">
        <v>279</v>
      </c>
      <c r="D28" t="s">
        <v>280</v>
      </c>
      <c r="F28" t="s">
        <v>281</v>
      </c>
      <c r="G28" t="s">
        <v>282</v>
      </c>
      <c r="H28" t="s">
        <v>283</v>
      </c>
      <c r="I28" s="6" t="s">
        <v>147</v>
      </c>
      <c r="J28" s="6">
        <v>1</v>
      </c>
      <c r="L28" s="15">
        <v>1</v>
      </c>
      <c r="M28" s="7">
        <v>46027</v>
      </c>
      <c r="N28" s="7">
        <v>46038</v>
      </c>
      <c r="O28" s="7">
        <v>46037</v>
      </c>
      <c r="P28" s="7">
        <v>46042</v>
      </c>
      <c r="R28" s="6" t="s">
        <v>284</v>
      </c>
      <c r="S28" s="6" t="s">
        <v>285</v>
      </c>
      <c r="U28" s="6" t="s">
        <v>191</v>
      </c>
      <c r="V28" s="6" t="str">
        <f t="shared" si="1"/>
        <v>26/01</v>
      </c>
      <c r="W28">
        <v>21351</v>
      </c>
      <c r="Y28" s="6" t="s">
        <v>286</v>
      </c>
      <c r="Z28" s="6" t="s">
        <v>193</v>
      </c>
      <c r="AE28">
        <v>1253</v>
      </c>
      <c r="AI28" s="23">
        <v>1</v>
      </c>
      <c r="AJ28" s="23">
        <v>1</v>
      </c>
      <c r="AK28" s="23">
        <v>0</v>
      </c>
      <c r="AL28" s="23">
        <v>0</v>
      </c>
      <c r="AM28" s="23">
        <v>1</v>
      </c>
      <c r="AN28" s="23">
        <v>0</v>
      </c>
      <c r="AO28" s="23">
        <v>0</v>
      </c>
      <c r="AP28" s="23">
        <v>1</v>
      </c>
      <c r="AQ28" s="23">
        <v>0</v>
      </c>
      <c r="AR28" s="23">
        <v>0</v>
      </c>
      <c r="AS28" s="23">
        <v>1</v>
      </c>
      <c r="AT28" s="23">
        <v>0</v>
      </c>
      <c r="AU28" s="23">
        <v>1</v>
      </c>
      <c r="AV28" s="23">
        <v>0</v>
      </c>
      <c r="AW28" s="23">
        <v>0</v>
      </c>
      <c r="AX28" s="23">
        <v>1</v>
      </c>
      <c r="AY28" s="23">
        <v>0</v>
      </c>
      <c r="AZ28" s="23">
        <v>0</v>
      </c>
      <c r="BA28" s="23">
        <v>0</v>
      </c>
      <c r="BB28" s="23">
        <v>1</v>
      </c>
      <c r="BC28" s="23">
        <v>0</v>
      </c>
      <c r="BD28" s="23">
        <v>0</v>
      </c>
      <c r="BE28" s="23">
        <v>0</v>
      </c>
      <c r="BF28" s="23">
        <v>1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23">
        <f t="shared" si="2"/>
        <v>1</v>
      </c>
      <c r="BQ28" s="23">
        <f t="shared" si="3"/>
        <v>1</v>
      </c>
      <c r="BR28" s="23">
        <f t="shared" si="4"/>
        <v>0</v>
      </c>
      <c r="BS28" s="23">
        <f t="shared" si="5"/>
        <v>0</v>
      </c>
      <c r="BT28" s="23">
        <f t="shared" si="6"/>
        <v>1</v>
      </c>
      <c r="BU28" s="23">
        <f t="shared" si="7"/>
        <v>0</v>
      </c>
      <c r="BV28" s="23">
        <f t="shared" si="8"/>
        <v>0</v>
      </c>
      <c r="BW28" s="23">
        <f t="shared" si="9"/>
        <v>1</v>
      </c>
      <c r="BX28" s="23">
        <f t="shared" si="10"/>
        <v>0</v>
      </c>
      <c r="BY28" s="23">
        <f t="shared" si="11"/>
        <v>0</v>
      </c>
      <c r="BZ28" s="23">
        <f t="shared" si="12"/>
        <v>1</v>
      </c>
      <c r="CA28" s="23">
        <f t="shared" si="13"/>
        <v>0</v>
      </c>
      <c r="CB28" s="23">
        <f t="shared" si="14"/>
        <v>1</v>
      </c>
      <c r="CC28" s="23">
        <f t="shared" si="15"/>
        <v>0</v>
      </c>
      <c r="CD28" s="23">
        <f t="shared" si="16"/>
        <v>0</v>
      </c>
      <c r="CE28" s="23">
        <f t="shared" si="17"/>
        <v>1</v>
      </c>
      <c r="CF28" s="23">
        <f t="shared" si="18"/>
        <v>0</v>
      </c>
      <c r="CG28" s="23">
        <f t="shared" si="19"/>
        <v>0</v>
      </c>
      <c r="CH28" s="23">
        <f t="shared" si="20"/>
        <v>0</v>
      </c>
      <c r="CI28" s="23">
        <f t="shared" si="21"/>
        <v>1</v>
      </c>
      <c r="CJ28" s="23">
        <f t="shared" si="22"/>
        <v>0</v>
      </c>
      <c r="CK28" s="23">
        <f t="shared" si="23"/>
        <v>0</v>
      </c>
      <c r="CL28" s="23">
        <f t="shared" si="24"/>
        <v>0</v>
      </c>
      <c r="CM28" s="23">
        <f t="shared" si="25"/>
        <v>1</v>
      </c>
      <c r="CN28" s="23">
        <f t="shared" si="26"/>
        <v>0</v>
      </c>
      <c r="CO28" s="23">
        <f t="shared" si="27"/>
        <v>0</v>
      </c>
      <c r="CP28" s="23">
        <f t="shared" si="28"/>
        <v>0</v>
      </c>
      <c r="CQ28" s="23">
        <f t="shared" si="29"/>
        <v>0</v>
      </c>
      <c r="CR28" s="23">
        <f t="shared" si="30"/>
        <v>0</v>
      </c>
      <c r="CS28" s="23">
        <f t="shared" si="31"/>
        <v>0</v>
      </c>
      <c r="CT28" s="23">
        <f t="shared" si="32"/>
        <v>0</v>
      </c>
      <c r="CU28" s="23">
        <f t="shared" si="33"/>
        <v>0</v>
      </c>
      <c r="CV28" s="23">
        <f t="shared" si="34"/>
        <v>0</v>
      </c>
    </row>
    <row r="29" spans="1:100" ht="13.5">
      <c r="A29" s="15">
        <v>109</v>
      </c>
      <c r="B29" s="27" t="s">
        <v>287</v>
      </c>
      <c r="C29" t="s">
        <v>259</v>
      </c>
      <c r="E29" t="s">
        <v>260</v>
      </c>
      <c r="F29" t="s">
        <v>133</v>
      </c>
      <c r="G29" t="s">
        <v>260</v>
      </c>
      <c r="H29" t="s">
        <v>261</v>
      </c>
      <c r="I29" s="6" t="s">
        <v>136</v>
      </c>
      <c r="J29" s="6">
        <v>1</v>
      </c>
      <c r="L29" s="15">
        <v>1</v>
      </c>
      <c r="M29" s="7">
        <v>46028</v>
      </c>
      <c r="N29" s="7">
        <v>46041</v>
      </c>
      <c r="O29" s="7">
        <v>46038</v>
      </c>
      <c r="P29" s="7">
        <v>46038</v>
      </c>
      <c r="R29" s="6" t="s">
        <v>288</v>
      </c>
      <c r="S29" s="6" t="s">
        <v>260</v>
      </c>
      <c r="U29" s="6" t="s">
        <v>191</v>
      </c>
      <c r="V29" s="6" t="str">
        <f t="shared" si="1"/>
        <v>26/01</v>
      </c>
      <c r="W29">
        <v>21352</v>
      </c>
      <c r="Y29" s="6" t="s">
        <v>192</v>
      </c>
      <c r="Z29" s="6" t="s">
        <v>193</v>
      </c>
      <c r="AD29">
        <v>8214</v>
      </c>
      <c r="AI29" s="23">
        <v>1</v>
      </c>
      <c r="AJ29" s="23">
        <v>1</v>
      </c>
      <c r="AK29" s="23">
        <v>0</v>
      </c>
      <c r="AL29" s="23">
        <v>0</v>
      </c>
      <c r="AM29" s="23">
        <v>1</v>
      </c>
      <c r="AN29" s="23">
        <v>0</v>
      </c>
      <c r="AO29" s="23">
        <v>1</v>
      </c>
      <c r="AP29" s="23">
        <v>0</v>
      </c>
      <c r="AQ29" s="23">
        <v>0</v>
      </c>
      <c r="AR29" s="23">
        <v>0</v>
      </c>
      <c r="AS29" s="23">
        <v>0</v>
      </c>
      <c r="AT29" s="23">
        <v>1</v>
      </c>
      <c r="AU29" s="23">
        <v>1</v>
      </c>
      <c r="AV29" s="23">
        <v>0</v>
      </c>
      <c r="AW29" s="23">
        <v>0</v>
      </c>
      <c r="AX29" s="23">
        <v>1</v>
      </c>
      <c r="AY29" s="23">
        <v>0</v>
      </c>
      <c r="AZ29" s="23">
        <v>0</v>
      </c>
      <c r="BA29" s="23">
        <v>0</v>
      </c>
      <c r="BB29" s="23">
        <v>1</v>
      </c>
      <c r="BC29" s="23">
        <v>0</v>
      </c>
      <c r="BD29" s="23">
        <v>0</v>
      </c>
      <c r="BE29" s="23">
        <v>0</v>
      </c>
      <c r="BF29" s="23">
        <v>1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f t="shared" si="2"/>
        <v>1</v>
      </c>
      <c r="BQ29" s="23">
        <f t="shared" si="3"/>
        <v>1</v>
      </c>
      <c r="BR29" s="23">
        <f t="shared" si="4"/>
        <v>0</v>
      </c>
      <c r="BS29" s="23">
        <f t="shared" si="5"/>
        <v>0</v>
      </c>
      <c r="BT29" s="23">
        <f t="shared" si="6"/>
        <v>1</v>
      </c>
      <c r="BU29" s="23">
        <f t="shared" si="7"/>
        <v>0</v>
      </c>
      <c r="BV29" s="23">
        <f t="shared" si="8"/>
        <v>1</v>
      </c>
      <c r="BW29" s="23">
        <f t="shared" si="9"/>
        <v>0</v>
      </c>
      <c r="BX29" s="23">
        <f t="shared" si="10"/>
        <v>0</v>
      </c>
      <c r="BY29" s="23">
        <f t="shared" si="11"/>
        <v>0</v>
      </c>
      <c r="BZ29" s="23">
        <f t="shared" si="12"/>
        <v>0</v>
      </c>
      <c r="CA29" s="23">
        <f t="shared" si="13"/>
        <v>1</v>
      </c>
      <c r="CB29" s="23">
        <f t="shared" si="14"/>
        <v>1</v>
      </c>
      <c r="CC29" s="23">
        <f t="shared" si="15"/>
        <v>0</v>
      </c>
      <c r="CD29" s="23">
        <f t="shared" si="16"/>
        <v>0</v>
      </c>
      <c r="CE29" s="23">
        <f t="shared" si="17"/>
        <v>1</v>
      </c>
      <c r="CF29" s="23">
        <f t="shared" si="18"/>
        <v>0</v>
      </c>
      <c r="CG29" s="23">
        <f t="shared" si="19"/>
        <v>0</v>
      </c>
      <c r="CH29" s="23">
        <f t="shared" si="20"/>
        <v>0</v>
      </c>
      <c r="CI29" s="23">
        <f t="shared" si="21"/>
        <v>1</v>
      </c>
      <c r="CJ29" s="23">
        <f t="shared" si="22"/>
        <v>0</v>
      </c>
      <c r="CK29" s="23">
        <f t="shared" si="23"/>
        <v>0</v>
      </c>
      <c r="CL29" s="23">
        <f t="shared" si="24"/>
        <v>0</v>
      </c>
      <c r="CM29" s="23">
        <f t="shared" si="25"/>
        <v>1</v>
      </c>
      <c r="CN29" s="23">
        <f t="shared" si="26"/>
        <v>0</v>
      </c>
      <c r="CO29" s="23">
        <f t="shared" si="27"/>
        <v>0</v>
      </c>
      <c r="CP29" s="23">
        <f t="shared" si="28"/>
        <v>0</v>
      </c>
      <c r="CQ29" s="23">
        <f t="shared" si="29"/>
        <v>0</v>
      </c>
      <c r="CR29" s="23">
        <f t="shared" si="30"/>
        <v>0</v>
      </c>
      <c r="CS29" s="23">
        <f t="shared" si="31"/>
        <v>0</v>
      </c>
      <c r="CT29" s="23">
        <f t="shared" si="32"/>
        <v>0</v>
      </c>
      <c r="CU29" s="23">
        <f t="shared" si="33"/>
        <v>0</v>
      </c>
      <c r="CV29" s="23">
        <f t="shared" si="34"/>
        <v>0</v>
      </c>
    </row>
    <row r="30" spans="1:100" ht="13.5">
      <c r="A30" s="15">
        <v>107</v>
      </c>
      <c r="B30" s="27" t="s">
        <v>289</v>
      </c>
      <c r="C30" t="s">
        <v>259</v>
      </c>
      <c r="E30" t="s">
        <v>260</v>
      </c>
      <c r="F30" t="s">
        <v>133</v>
      </c>
      <c r="G30" t="s">
        <v>260</v>
      </c>
      <c r="H30" t="s">
        <v>261</v>
      </c>
      <c r="I30" s="6" t="s">
        <v>136</v>
      </c>
      <c r="J30" s="6">
        <v>1</v>
      </c>
      <c r="L30" s="15">
        <v>1</v>
      </c>
      <c r="M30" s="7">
        <v>46028</v>
      </c>
      <c r="N30" s="7">
        <v>46041</v>
      </c>
      <c r="O30" s="7">
        <v>46038</v>
      </c>
      <c r="P30" s="7">
        <v>46038</v>
      </c>
      <c r="R30" s="6" t="s">
        <v>290</v>
      </c>
      <c r="S30" s="6" t="s">
        <v>260</v>
      </c>
      <c r="U30" s="6" t="s">
        <v>191</v>
      </c>
      <c r="V30" s="6" t="str">
        <f t="shared" si="1"/>
        <v>26/01</v>
      </c>
      <c r="W30">
        <v>21353</v>
      </c>
      <c r="Y30" s="6" t="s">
        <v>192</v>
      </c>
      <c r="Z30" s="6" t="s">
        <v>193</v>
      </c>
      <c r="AD30">
        <v>8215</v>
      </c>
      <c r="AI30" s="23">
        <v>1</v>
      </c>
      <c r="AJ30" s="23">
        <v>1</v>
      </c>
      <c r="AK30" s="23">
        <v>0</v>
      </c>
      <c r="AL30" s="23">
        <v>0</v>
      </c>
      <c r="AM30" s="23">
        <v>1</v>
      </c>
      <c r="AN30" s="23">
        <v>0</v>
      </c>
      <c r="AO30" s="23">
        <v>1</v>
      </c>
      <c r="AP30" s="23">
        <v>0</v>
      </c>
      <c r="AQ30" s="23">
        <v>0</v>
      </c>
      <c r="AR30" s="23">
        <v>0</v>
      </c>
      <c r="AS30" s="23">
        <v>0</v>
      </c>
      <c r="AT30" s="23">
        <v>1</v>
      </c>
      <c r="AU30" s="23">
        <v>1</v>
      </c>
      <c r="AV30" s="23">
        <v>0</v>
      </c>
      <c r="AW30" s="23">
        <v>0</v>
      </c>
      <c r="AX30" s="23">
        <v>1</v>
      </c>
      <c r="AY30" s="23">
        <v>0</v>
      </c>
      <c r="AZ30" s="23">
        <v>0</v>
      </c>
      <c r="BA30" s="23">
        <v>0</v>
      </c>
      <c r="BB30" s="23">
        <v>1</v>
      </c>
      <c r="BC30" s="23">
        <v>0</v>
      </c>
      <c r="BD30" s="23">
        <v>0</v>
      </c>
      <c r="BE30" s="23">
        <v>0</v>
      </c>
      <c r="BF30" s="23">
        <v>1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f t="shared" si="2"/>
        <v>1</v>
      </c>
      <c r="BQ30" s="23">
        <f t="shared" si="3"/>
        <v>1</v>
      </c>
      <c r="BR30" s="23">
        <f t="shared" si="4"/>
        <v>0</v>
      </c>
      <c r="BS30" s="23">
        <f t="shared" si="5"/>
        <v>0</v>
      </c>
      <c r="BT30" s="23">
        <f t="shared" si="6"/>
        <v>1</v>
      </c>
      <c r="BU30" s="23">
        <f t="shared" si="7"/>
        <v>0</v>
      </c>
      <c r="BV30" s="23">
        <f t="shared" si="8"/>
        <v>1</v>
      </c>
      <c r="BW30" s="23">
        <f t="shared" si="9"/>
        <v>0</v>
      </c>
      <c r="BX30" s="23">
        <f t="shared" si="10"/>
        <v>0</v>
      </c>
      <c r="BY30" s="23">
        <f t="shared" si="11"/>
        <v>0</v>
      </c>
      <c r="BZ30" s="23">
        <f t="shared" si="12"/>
        <v>0</v>
      </c>
      <c r="CA30" s="23">
        <f t="shared" si="13"/>
        <v>1</v>
      </c>
      <c r="CB30" s="23">
        <f t="shared" si="14"/>
        <v>1</v>
      </c>
      <c r="CC30" s="23">
        <f t="shared" si="15"/>
        <v>0</v>
      </c>
      <c r="CD30" s="23">
        <f t="shared" si="16"/>
        <v>0</v>
      </c>
      <c r="CE30" s="23">
        <f t="shared" si="17"/>
        <v>1</v>
      </c>
      <c r="CF30" s="23">
        <f t="shared" si="18"/>
        <v>0</v>
      </c>
      <c r="CG30" s="23">
        <f t="shared" si="19"/>
        <v>0</v>
      </c>
      <c r="CH30" s="23">
        <f t="shared" si="20"/>
        <v>0</v>
      </c>
      <c r="CI30" s="23">
        <f t="shared" si="21"/>
        <v>1</v>
      </c>
      <c r="CJ30" s="23">
        <f t="shared" si="22"/>
        <v>0</v>
      </c>
      <c r="CK30" s="23">
        <f t="shared" si="23"/>
        <v>0</v>
      </c>
      <c r="CL30" s="23">
        <f t="shared" si="24"/>
        <v>0</v>
      </c>
      <c r="CM30" s="23">
        <f t="shared" si="25"/>
        <v>1</v>
      </c>
      <c r="CN30" s="23">
        <f t="shared" si="26"/>
        <v>0</v>
      </c>
      <c r="CO30" s="23">
        <f t="shared" si="27"/>
        <v>0</v>
      </c>
      <c r="CP30" s="23">
        <f t="shared" si="28"/>
        <v>0</v>
      </c>
      <c r="CQ30" s="23">
        <f t="shared" si="29"/>
        <v>0</v>
      </c>
      <c r="CR30" s="23">
        <f t="shared" si="30"/>
        <v>0</v>
      </c>
      <c r="CS30" s="23">
        <f t="shared" si="31"/>
        <v>0</v>
      </c>
      <c r="CT30" s="23">
        <f t="shared" si="32"/>
        <v>0</v>
      </c>
      <c r="CU30" s="23">
        <f t="shared" si="33"/>
        <v>0</v>
      </c>
      <c r="CV30" s="23">
        <f t="shared" si="34"/>
        <v>0</v>
      </c>
    </row>
    <row r="31" spans="1:100" ht="13.5">
      <c r="A31" s="15">
        <v>108</v>
      </c>
      <c r="B31" s="27" t="s">
        <v>291</v>
      </c>
      <c r="C31" t="s">
        <v>259</v>
      </c>
      <c r="E31" t="s">
        <v>260</v>
      </c>
      <c r="F31" t="s">
        <v>133</v>
      </c>
      <c r="G31" t="s">
        <v>260</v>
      </c>
      <c r="H31" t="s">
        <v>261</v>
      </c>
      <c r="I31" s="6" t="s">
        <v>136</v>
      </c>
      <c r="J31" s="6">
        <v>1</v>
      </c>
      <c r="L31" s="15">
        <v>1</v>
      </c>
      <c r="M31" s="7">
        <v>46028</v>
      </c>
      <c r="N31" s="7">
        <v>46041</v>
      </c>
      <c r="O31" s="7">
        <v>46038</v>
      </c>
      <c r="P31" s="7">
        <v>46038</v>
      </c>
      <c r="R31" s="6" t="s">
        <v>292</v>
      </c>
      <c r="S31" s="6" t="s">
        <v>260</v>
      </c>
      <c r="U31" s="6" t="s">
        <v>191</v>
      </c>
      <c r="V31" s="6" t="str">
        <f t="shared" si="1"/>
        <v>26/01</v>
      </c>
      <c r="W31">
        <v>21354</v>
      </c>
      <c r="Y31" s="6" t="s">
        <v>192</v>
      </c>
      <c r="Z31" s="6" t="s">
        <v>193</v>
      </c>
      <c r="AD31">
        <v>8216</v>
      </c>
      <c r="AI31" s="23">
        <v>1</v>
      </c>
      <c r="AJ31" s="23">
        <v>1</v>
      </c>
      <c r="AK31" s="23">
        <v>0</v>
      </c>
      <c r="AL31" s="23">
        <v>0</v>
      </c>
      <c r="AM31" s="23">
        <v>1</v>
      </c>
      <c r="AN31" s="23">
        <v>0</v>
      </c>
      <c r="AO31" s="23">
        <v>1</v>
      </c>
      <c r="AP31" s="23">
        <v>0</v>
      </c>
      <c r="AQ31" s="23">
        <v>0</v>
      </c>
      <c r="AR31" s="23">
        <v>0</v>
      </c>
      <c r="AS31" s="23">
        <v>0</v>
      </c>
      <c r="AT31" s="23">
        <v>1</v>
      </c>
      <c r="AU31" s="23">
        <v>1</v>
      </c>
      <c r="AV31" s="23">
        <v>0</v>
      </c>
      <c r="AW31" s="23">
        <v>0</v>
      </c>
      <c r="AX31" s="23">
        <v>1</v>
      </c>
      <c r="AY31" s="23">
        <v>0</v>
      </c>
      <c r="AZ31" s="23">
        <v>0</v>
      </c>
      <c r="BA31" s="23">
        <v>0</v>
      </c>
      <c r="BB31" s="23">
        <v>1</v>
      </c>
      <c r="BC31" s="23">
        <v>0</v>
      </c>
      <c r="BD31" s="23">
        <v>0</v>
      </c>
      <c r="BE31" s="23">
        <v>0</v>
      </c>
      <c r="BF31" s="23">
        <v>1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f t="shared" si="2"/>
        <v>1</v>
      </c>
      <c r="BQ31" s="23">
        <f t="shared" si="3"/>
        <v>1</v>
      </c>
      <c r="BR31" s="23">
        <f t="shared" si="4"/>
        <v>0</v>
      </c>
      <c r="BS31" s="23">
        <f t="shared" si="5"/>
        <v>0</v>
      </c>
      <c r="BT31" s="23">
        <f t="shared" si="6"/>
        <v>1</v>
      </c>
      <c r="BU31" s="23">
        <f t="shared" si="7"/>
        <v>0</v>
      </c>
      <c r="BV31" s="23">
        <f t="shared" si="8"/>
        <v>1</v>
      </c>
      <c r="BW31" s="23">
        <f t="shared" si="9"/>
        <v>0</v>
      </c>
      <c r="BX31" s="23">
        <f t="shared" si="10"/>
        <v>0</v>
      </c>
      <c r="BY31" s="23">
        <f t="shared" si="11"/>
        <v>0</v>
      </c>
      <c r="BZ31" s="23">
        <f t="shared" si="12"/>
        <v>0</v>
      </c>
      <c r="CA31" s="23">
        <f t="shared" si="13"/>
        <v>1</v>
      </c>
      <c r="CB31" s="23">
        <f t="shared" si="14"/>
        <v>1</v>
      </c>
      <c r="CC31" s="23">
        <f t="shared" si="15"/>
        <v>0</v>
      </c>
      <c r="CD31" s="23">
        <f t="shared" si="16"/>
        <v>0</v>
      </c>
      <c r="CE31" s="23">
        <f t="shared" si="17"/>
        <v>1</v>
      </c>
      <c r="CF31" s="23">
        <f t="shared" si="18"/>
        <v>0</v>
      </c>
      <c r="CG31" s="23">
        <f t="shared" si="19"/>
        <v>0</v>
      </c>
      <c r="CH31" s="23">
        <f t="shared" si="20"/>
        <v>0</v>
      </c>
      <c r="CI31" s="23">
        <f t="shared" si="21"/>
        <v>1</v>
      </c>
      <c r="CJ31" s="23">
        <f t="shared" si="22"/>
        <v>0</v>
      </c>
      <c r="CK31" s="23">
        <f t="shared" si="23"/>
        <v>0</v>
      </c>
      <c r="CL31" s="23">
        <f t="shared" si="24"/>
        <v>0</v>
      </c>
      <c r="CM31" s="23">
        <f t="shared" si="25"/>
        <v>1</v>
      </c>
      <c r="CN31" s="23">
        <f t="shared" si="26"/>
        <v>0</v>
      </c>
      <c r="CO31" s="23">
        <f t="shared" si="27"/>
        <v>0</v>
      </c>
      <c r="CP31" s="23">
        <f t="shared" si="28"/>
        <v>0</v>
      </c>
      <c r="CQ31" s="23">
        <f t="shared" si="29"/>
        <v>0</v>
      </c>
      <c r="CR31" s="23">
        <f t="shared" si="30"/>
        <v>0</v>
      </c>
      <c r="CS31" s="23">
        <f t="shared" si="31"/>
        <v>0</v>
      </c>
      <c r="CT31" s="23">
        <f t="shared" si="32"/>
        <v>0</v>
      </c>
      <c r="CU31" s="23">
        <f t="shared" si="33"/>
        <v>0</v>
      </c>
      <c r="CV31" s="23">
        <f t="shared" si="34"/>
        <v>0</v>
      </c>
    </row>
    <row r="32" spans="1:100" ht="13.5">
      <c r="A32" s="15">
        <v>106</v>
      </c>
      <c r="B32" s="27" t="s">
        <v>293</v>
      </c>
      <c r="C32" t="s">
        <v>259</v>
      </c>
      <c r="E32" t="s">
        <v>260</v>
      </c>
      <c r="F32" t="s">
        <v>133</v>
      </c>
      <c r="G32" t="s">
        <v>260</v>
      </c>
      <c r="H32" t="s">
        <v>261</v>
      </c>
      <c r="I32" s="6" t="s">
        <v>136</v>
      </c>
      <c r="J32" s="6">
        <v>1</v>
      </c>
      <c r="L32" s="15">
        <v>1</v>
      </c>
      <c r="M32" s="7">
        <v>46028</v>
      </c>
      <c r="N32" s="7">
        <v>46041</v>
      </c>
      <c r="O32" s="7">
        <v>46038</v>
      </c>
      <c r="P32" s="7">
        <v>46038</v>
      </c>
      <c r="R32" s="6" t="s">
        <v>294</v>
      </c>
      <c r="S32" s="6" t="s">
        <v>260</v>
      </c>
      <c r="U32" s="6" t="s">
        <v>191</v>
      </c>
      <c r="V32" s="6" t="str">
        <f t="shared" si="1"/>
        <v>26/01</v>
      </c>
      <c r="W32">
        <v>21355</v>
      </c>
      <c r="Y32" s="6" t="s">
        <v>192</v>
      </c>
      <c r="Z32" s="6" t="s">
        <v>193</v>
      </c>
      <c r="AD32">
        <v>8217</v>
      </c>
      <c r="AI32" s="23">
        <v>1</v>
      </c>
      <c r="AJ32" s="23">
        <v>1</v>
      </c>
      <c r="AK32" s="23">
        <v>0</v>
      </c>
      <c r="AL32" s="23">
        <v>0</v>
      </c>
      <c r="AM32" s="23">
        <v>1</v>
      </c>
      <c r="AN32" s="23">
        <v>0</v>
      </c>
      <c r="AO32" s="23">
        <v>1</v>
      </c>
      <c r="AP32" s="23">
        <v>0</v>
      </c>
      <c r="AQ32" s="23">
        <v>0</v>
      </c>
      <c r="AR32" s="23">
        <v>0</v>
      </c>
      <c r="AS32" s="23">
        <v>0</v>
      </c>
      <c r="AT32" s="23">
        <v>1</v>
      </c>
      <c r="AU32" s="23">
        <v>1</v>
      </c>
      <c r="AV32" s="23">
        <v>0</v>
      </c>
      <c r="AW32" s="23">
        <v>0</v>
      </c>
      <c r="AX32" s="23">
        <v>1</v>
      </c>
      <c r="AY32" s="23">
        <v>0</v>
      </c>
      <c r="AZ32" s="23">
        <v>0</v>
      </c>
      <c r="BA32" s="23">
        <v>0</v>
      </c>
      <c r="BB32" s="23">
        <v>1</v>
      </c>
      <c r="BC32" s="23">
        <v>0</v>
      </c>
      <c r="BD32" s="23">
        <v>0</v>
      </c>
      <c r="BE32" s="23">
        <v>0</v>
      </c>
      <c r="BF32" s="23">
        <v>1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f t="shared" si="2"/>
        <v>1</v>
      </c>
      <c r="BQ32" s="23">
        <f t="shared" si="3"/>
        <v>1</v>
      </c>
      <c r="BR32" s="23">
        <f t="shared" si="4"/>
        <v>0</v>
      </c>
      <c r="BS32" s="23">
        <f t="shared" si="5"/>
        <v>0</v>
      </c>
      <c r="BT32" s="23">
        <f t="shared" si="6"/>
        <v>1</v>
      </c>
      <c r="BU32" s="23">
        <f t="shared" si="7"/>
        <v>0</v>
      </c>
      <c r="BV32" s="23">
        <f t="shared" si="8"/>
        <v>1</v>
      </c>
      <c r="BW32" s="23">
        <f t="shared" si="9"/>
        <v>0</v>
      </c>
      <c r="BX32" s="23">
        <f t="shared" si="10"/>
        <v>0</v>
      </c>
      <c r="BY32" s="23">
        <f t="shared" si="11"/>
        <v>0</v>
      </c>
      <c r="BZ32" s="23">
        <f t="shared" si="12"/>
        <v>0</v>
      </c>
      <c r="CA32" s="23">
        <f t="shared" si="13"/>
        <v>1</v>
      </c>
      <c r="CB32" s="23">
        <f t="shared" si="14"/>
        <v>1</v>
      </c>
      <c r="CC32" s="23">
        <f t="shared" si="15"/>
        <v>0</v>
      </c>
      <c r="CD32" s="23">
        <f t="shared" si="16"/>
        <v>0</v>
      </c>
      <c r="CE32" s="23">
        <f t="shared" si="17"/>
        <v>1</v>
      </c>
      <c r="CF32" s="23">
        <f t="shared" si="18"/>
        <v>0</v>
      </c>
      <c r="CG32" s="23">
        <f t="shared" si="19"/>
        <v>0</v>
      </c>
      <c r="CH32" s="23">
        <f t="shared" si="20"/>
        <v>0</v>
      </c>
      <c r="CI32" s="23">
        <f t="shared" si="21"/>
        <v>1</v>
      </c>
      <c r="CJ32" s="23">
        <f t="shared" si="22"/>
        <v>0</v>
      </c>
      <c r="CK32" s="23">
        <f t="shared" si="23"/>
        <v>0</v>
      </c>
      <c r="CL32" s="23">
        <f t="shared" si="24"/>
        <v>0</v>
      </c>
      <c r="CM32" s="23">
        <f t="shared" si="25"/>
        <v>1</v>
      </c>
      <c r="CN32" s="23">
        <f t="shared" si="26"/>
        <v>0</v>
      </c>
      <c r="CO32" s="23">
        <f t="shared" si="27"/>
        <v>0</v>
      </c>
      <c r="CP32" s="23">
        <f t="shared" si="28"/>
        <v>0</v>
      </c>
      <c r="CQ32" s="23">
        <f t="shared" si="29"/>
        <v>0</v>
      </c>
      <c r="CR32" s="23">
        <f t="shared" si="30"/>
        <v>0</v>
      </c>
      <c r="CS32" s="23">
        <f t="shared" si="31"/>
        <v>0</v>
      </c>
      <c r="CT32" s="23">
        <f t="shared" si="32"/>
        <v>0</v>
      </c>
      <c r="CU32" s="23">
        <f t="shared" si="33"/>
        <v>0</v>
      </c>
      <c r="CV32" s="23">
        <f t="shared" si="34"/>
        <v>0</v>
      </c>
    </row>
    <row r="33" spans="1:100" ht="13.5">
      <c r="A33" s="15">
        <v>127</v>
      </c>
      <c r="B33" s="27" t="s">
        <v>295</v>
      </c>
      <c r="C33" t="s">
        <v>164</v>
      </c>
      <c r="D33" t="s">
        <v>296</v>
      </c>
      <c r="E33" t="s">
        <v>297</v>
      </c>
      <c r="F33" t="s">
        <v>194</v>
      </c>
      <c r="G33" t="s">
        <v>195</v>
      </c>
      <c r="H33" t="s">
        <v>196</v>
      </c>
      <c r="I33" s="6" t="s">
        <v>147</v>
      </c>
      <c r="J33" s="6">
        <v>1</v>
      </c>
      <c r="K33" t="s">
        <v>298</v>
      </c>
      <c r="L33" s="15">
        <v>1</v>
      </c>
      <c r="M33" s="7">
        <v>46028</v>
      </c>
      <c r="N33" s="7">
        <v>46041</v>
      </c>
      <c r="O33" s="7">
        <v>46038</v>
      </c>
      <c r="P33" s="7">
        <v>46043</v>
      </c>
      <c r="R33" s="6" t="s">
        <v>299</v>
      </c>
      <c r="S33" s="6" t="s">
        <v>190</v>
      </c>
      <c r="U33" s="6" t="s">
        <v>191</v>
      </c>
      <c r="V33" s="6" t="str">
        <f t="shared" si="1"/>
        <v>26/01</v>
      </c>
      <c r="W33">
        <v>21356</v>
      </c>
      <c r="Y33" s="6" t="s">
        <v>192</v>
      </c>
      <c r="Z33" s="6" t="s">
        <v>193</v>
      </c>
      <c r="AD33">
        <v>8218</v>
      </c>
      <c r="AI33" s="23">
        <v>1</v>
      </c>
      <c r="AJ33" s="23">
        <v>1</v>
      </c>
      <c r="AK33" s="23">
        <v>0</v>
      </c>
      <c r="AL33" s="23">
        <v>0</v>
      </c>
      <c r="AM33" s="23">
        <v>1</v>
      </c>
      <c r="AN33" s="23">
        <v>0</v>
      </c>
      <c r="AO33" s="23">
        <v>1</v>
      </c>
      <c r="AP33" s="23">
        <v>0</v>
      </c>
      <c r="AQ33" s="23">
        <v>0</v>
      </c>
      <c r="AR33" s="23">
        <v>0</v>
      </c>
      <c r="AS33" s="23">
        <v>1</v>
      </c>
      <c r="AT33" s="23">
        <v>0</v>
      </c>
      <c r="AU33" s="23">
        <v>1</v>
      </c>
      <c r="AV33" s="23">
        <v>0</v>
      </c>
      <c r="AW33" s="23">
        <v>0</v>
      </c>
      <c r="AX33" s="23">
        <v>1</v>
      </c>
      <c r="AY33" s="23">
        <v>0</v>
      </c>
      <c r="AZ33" s="23">
        <v>0</v>
      </c>
      <c r="BA33" s="23">
        <v>0</v>
      </c>
      <c r="BB33" s="23">
        <v>1</v>
      </c>
      <c r="BC33" s="23">
        <v>0</v>
      </c>
      <c r="BD33" s="23">
        <v>0</v>
      </c>
      <c r="BE33" s="23">
        <v>0</v>
      </c>
      <c r="BF33" s="23">
        <v>1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f t="shared" si="2"/>
        <v>1</v>
      </c>
      <c r="BQ33" s="23">
        <f t="shared" si="3"/>
        <v>1</v>
      </c>
      <c r="BR33" s="23">
        <f t="shared" si="4"/>
        <v>0</v>
      </c>
      <c r="BS33" s="23">
        <f t="shared" si="5"/>
        <v>0</v>
      </c>
      <c r="BT33" s="23">
        <f t="shared" si="6"/>
        <v>1</v>
      </c>
      <c r="BU33" s="23">
        <f t="shared" si="7"/>
        <v>0</v>
      </c>
      <c r="BV33" s="23">
        <f t="shared" si="8"/>
        <v>1</v>
      </c>
      <c r="BW33" s="23">
        <f t="shared" si="9"/>
        <v>0</v>
      </c>
      <c r="BX33" s="23">
        <f t="shared" si="10"/>
        <v>0</v>
      </c>
      <c r="BY33" s="23">
        <f t="shared" si="11"/>
        <v>0</v>
      </c>
      <c r="BZ33" s="23">
        <f t="shared" si="12"/>
        <v>1</v>
      </c>
      <c r="CA33" s="23">
        <f t="shared" si="13"/>
        <v>0</v>
      </c>
      <c r="CB33" s="23">
        <f t="shared" si="14"/>
        <v>1</v>
      </c>
      <c r="CC33" s="23">
        <f t="shared" si="15"/>
        <v>0</v>
      </c>
      <c r="CD33" s="23">
        <f t="shared" si="16"/>
        <v>0</v>
      </c>
      <c r="CE33" s="23">
        <f t="shared" si="17"/>
        <v>1</v>
      </c>
      <c r="CF33" s="23">
        <f t="shared" si="18"/>
        <v>0</v>
      </c>
      <c r="CG33" s="23">
        <f t="shared" si="19"/>
        <v>0</v>
      </c>
      <c r="CH33" s="23">
        <f t="shared" si="20"/>
        <v>0</v>
      </c>
      <c r="CI33" s="23">
        <f t="shared" si="21"/>
        <v>1</v>
      </c>
      <c r="CJ33" s="23">
        <f t="shared" si="22"/>
        <v>0</v>
      </c>
      <c r="CK33" s="23">
        <f t="shared" si="23"/>
        <v>0</v>
      </c>
      <c r="CL33" s="23">
        <f t="shared" si="24"/>
        <v>0</v>
      </c>
      <c r="CM33" s="23">
        <f t="shared" si="25"/>
        <v>1</v>
      </c>
      <c r="CN33" s="23">
        <f t="shared" si="26"/>
        <v>0</v>
      </c>
      <c r="CO33" s="23">
        <f t="shared" si="27"/>
        <v>0</v>
      </c>
      <c r="CP33" s="23">
        <f t="shared" si="28"/>
        <v>0</v>
      </c>
      <c r="CQ33" s="23">
        <f t="shared" si="29"/>
        <v>0</v>
      </c>
      <c r="CR33" s="23">
        <f t="shared" si="30"/>
        <v>0</v>
      </c>
      <c r="CS33" s="23">
        <f t="shared" si="31"/>
        <v>0</v>
      </c>
      <c r="CT33" s="23">
        <f t="shared" si="32"/>
        <v>0</v>
      </c>
      <c r="CU33" s="23">
        <f t="shared" si="33"/>
        <v>0</v>
      </c>
      <c r="CV33" s="23">
        <f t="shared" si="34"/>
        <v>0</v>
      </c>
    </row>
    <row r="34" spans="1:100" ht="13.5">
      <c r="A34" s="15">
        <v>115</v>
      </c>
      <c r="B34" s="27" t="s">
        <v>300</v>
      </c>
      <c r="C34" t="s">
        <v>259</v>
      </c>
      <c r="E34" t="s">
        <v>260</v>
      </c>
      <c r="F34" t="s">
        <v>133</v>
      </c>
      <c r="G34" t="s">
        <v>260</v>
      </c>
      <c r="H34" t="s">
        <v>261</v>
      </c>
      <c r="I34" s="6" t="s">
        <v>136</v>
      </c>
      <c r="J34" s="6">
        <v>1</v>
      </c>
      <c r="L34" s="15">
        <v>1</v>
      </c>
      <c r="M34" s="7">
        <v>46029</v>
      </c>
      <c r="N34" s="7">
        <v>46042</v>
      </c>
      <c r="O34" s="7">
        <v>46041</v>
      </c>
      <c r="P34" s="7">
        <v>46041</v>
      </c>
      <c r="R34" s="6" t="s">
        <v>301</v>
      </c>
      <c r="S34" s="6" t="s">
        <v>260</v>
      </c>
      <c r="U34" s="6" t="s">
        <v>191</v>
      </c>
      <c r="V34" s="6" t="str">
        <f t="shared" si="1"/>
        <v>26/01</v>
      </c>
      <c r="W34">
        <v>21357</v>
      </c>
      <c r="Y34" s="6" t="s">
        <v>192</v>
      </c>
      <c r="Z34" s="6" t="s">
        <v>193</v>
      </c>
      <c r="AD34">
        <v>8219</v>
      </c>
      <c r="AI34" s="23">
        <v>1</v>
      </c>
      <c r="AJ34" s="23">
        <v>1</v>
      </c>
      <c r="AK34" s="23">
        <v>0</v>
      </c>
      <c r="AL34" s="23">
        <v>0</v>
      </c>
      <c r="AM34" s="23">
        <v>1</v>
      </c>
      <c r="AN34" s="23">
        <v>0</v>
      </c>
      <c r="AO34" s="23">
        <v>1</v>
      </c>
      <c r="AP34" s="23">
        <v>0</v>
      </c>
      <c r="AQ34" s="23">
        <v>0</v>
      </c>
      <c r="AR34" s="23">
        <v>0</v>
      </c>
      <c r="AS34" s="23">
        <v>0</v>
      </c>
      <c r="AT34" s="23">
        <v>1</v>
      </c>
      <c r="AU34" s="23">
        <v>1</v>
      </c>
      <c r="AV34" s="23">
        <v>0</v>
      </c>
      <c r="AW34" s="23">
        <v>0</v>
      </c>
      <c r="AX34" s="23">
        <v>1</v>
      </c>
      <c r="AY34" s="23">
        <v>0</v>
      </c>
      <c r="AZ34" s="23">
        <v>0</v>
      </c>
      <c r="BA34" s="23">
        <v>0</v>
      </c>
      <c r="BB34" s="23">
        <v>1</v>
      </c>
      <c r="BC34" s="23">
        <v>0</v>
      </c>
      <c r="BD34" s="23">
        <v>0</v>
      </c>
      <c r="BE34" s="23">
        <v>0</v>
      </c>
      <c r="BF34" s="23">
        <v>1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f t="shared" si="2"/>
        <v>1</v>
      </c>
      <c r="BQ34" s="23">
        <f t="shared" si="3"/>
        <v>1</v>
      </c>
      <c r="BR34" s="23">
        <f t="shared" si="4"/>
        <v>0</v>
      </c>
      <c r="BS34" s="23">
        <f t="shared" si="5"/>
        <v>0</v>
      </c>
      <c r="BT34" s="23">
        <f t="shared" si="6"/>
        <v>1</v>
      </c>
      <c r="BU34" s="23">
        <f t="shared" si="7"/>
        <v>0</v>
      </c>
      <c r="BV34" s="23">
        <f t="shared" si="8"/>
        <v>1</v>
      </c>
      <c r="BW34" s="23">
        <f t="shared" si="9"/>
        <v>0</v>
      </c>
      <c r="BX34" s="23">
        <f t="shared" si="10"/>
        <v>0</v>
      </c>
      <c r="BY34" s="23">
        <f t="shared" si="11"/>
        <v>0</v>
      </c>
      <c r="BZ34" s="23">
        <f t="shared" si="12"/>
        <v>0</v>
      </c>
      <c r="CA34" s="23">
        <f t="shared" si="13"/>
        <v>1</v>
      </c>
      <c r="CB34" s="23">
        <f t="shared" si="14"/>
        <v>1</v>
      </c>
      <c r="CC34" s="23">
        <f t="shared" si="15"/>
        <v>0</v>
      </c>
      <c r="CD34" s="23">
        <f t="shared" si="16"/>
        <v>0</v>
      </c>
      <c r="CE34" s="23">
        <f t="shared" si="17"/>
        <v>1</v>
      </c>
      <c r="CF34" s="23">
        <f t="shared" si="18"/>
        <v>0</v>
      </c>
      <c r="CG34" s="23">
        <f t="shared" si="19"/>
        <v>0</v>
      </c>
      <c r="CH34" s="23">
        <f t="shared" si="20"/>
        <v>0</v>
      </c>
      <c r="CI34" s="23">
        <f t="shared" si="21"/>
        <v>1</v>
      </c>
      <c r="CJ34" s="23">
        <f t="shared" si="22"/>
        <v>0</v>
      </c>
      <c r="CK34" s="23">
        <f t="shared" si="23"/>
        <v>0</v>
      </c>
      <c r="CL34" s="23">
        <f t="shared" si="24"/>
        <v>0</v>
      </c>
      <c r="CM34" s="23">
        <f t="shared" si="25"/>
        <v>1</v>
      </c>
      <c r="CN34" s="23">
        <f t="shared" si="26"/>
        <v>0</v>
      </c>
      <c r="CO34" s="23">
        <f t="shared" si="27"/>
        <v>0</v>
      </c>
      <c r="CP34" s="23">
        <f t="shared" si="28"/>
        <v>0</v>
      </c>
      <c r="CQ34" s="23">
        <f t="shared" si="29"/>
        <v>0</v>
      </c>
      <c r="CR34" s="23">
        <f t="shared" si="30"/>
        <v>0</v>
      </c>
      <c r="CS34" s="23">
        <f t="shared" si="31"/>
        <v>0</v>
      </c>
      <c r="CT34" s="23">
        <f t="shared" si="32"/>
        <v>0</v>
      </c>
      <c r="CU34" s="23">
        <f t="shared" si="33"/>
        <v>0</v>
      </c>
      <c r="CV34" s="23">
        <f t="shared" si="34"/>
        <v>0</v>
      </c>
    </row>
    <row r="35" spans="1:100" ht="13.5">
      <c r="A35" s="15">
        <v>113</v>
      </c>
      <c r="B35" s="27" t="s">
        <v>302</v>
      </c>
      <c r="C35" t="s">
        <v>259</v>
      </c>
      <c r="E35" t="s">
        <v>260</v>
      </c>
      <c r="F35" t="s">
        <v>133</v>
      </c>
      <c r="G35" t="s">
        <v>260</v>
      </c>
      <c r="H35" t="s">
        <v>261</v>
      </c>
      <c r="I35" s="6" t="s">
        <v>136</v>
      </c>
      <c r="J35" s="6">
        <v>1</v>
      </c>
      <c r="L35" s="15">
        <v>1</v>
      </c>
      <c r="M35" s="7">
        <v>46029</v>
      </c>
      <c r="N35" s="7">
        <v>46042</v>
      </c>
      <c r="O35" s="7">
        <v>46041</v>
      </c>
      <c r="P35" s="7">
        <v>46041</v>
      </c>
      <c r="R35" s="6" t="s">
        <v>303</v>
      </c>
      <c r="S35" s="6" t="s">
        <v>260</v>
      </c>
      <c r="U35" s="6" t="s">
        <v>191</v>
      </c>
      <c r="V35" s="6" t="str">
        <f t="shared" si="1"/>
        <v>26/01</v>
      </c>
      <c r="W35">
        <v>21358</v>
      </c>
      <c r="Y35" s="6" t="s">
        <v>192</v>
      </c>
      <c r="Z35" s="6" t="s">
        <v>193</v>
      </c>
      <c r="AD35">
        <v>8220</v>
      </c>
      <c r="AI35" s="23">
        <v>1</v>
      </c>
      <c r="AJ35" s="23">
        <v>1</v>
      </c>
      <c r="AK35" s="23">
        <v>0</v>
      </c>
      <c r="AL35" s="23">
        <v>0</v>
      </c>
      <c r="AM35" s="23">
        <v>1</v>
      </c>
      <c r="AN35" s="23">
        <v>0</v>
      </c>
      <c r="AO35" s="23">
        <v>1</v>
      </c>
      <c r="AP35" s="23">
        <v>0</v>
      </c>
      <c r="AQ35" s="23">
        <v>0</v>
      </c>
      <c r="AR35" s="23">
        <v>0</v>
      </c>
      <c r="AS35" s="23">
        <v>0</v>
      </c>
      <c r="AT35" s="23">
        <v>1</v>
      </c>
      <c r="AU35" s="23">
        <v>1</v>
      </c>
      <c r="AV35" s="23">
        <v>0</v>
      </c>
      <c r="AW35" s="23">
        <v>0</v>
      </c>
      <c r="AX35" s="23">
        <v>1</v>
      </c>
      <c r="AY35" s="23">
        <v>0</v>
      </c>
      <c r="AZ35" s="23">
        <v>0</v>
      </c>
      <c r="BA35" s="23">
        <v>0</v>
      </c>
      <c r="BB35" s="23">
        <v>1</v>
      </c>
      <c r="BC35" s="23">
        <v>0</v>
      </c>
      <c r="BD35" s="23">
        <v>0</v>
      </c>
      <c r="BE35" s="23">
        <v>0</v>
      </c>
      <c r="BF35" s="23">
        <v>1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f t="shared" si="2"/>
        <v>1</v>
      </c>
      <c r="BQ35" s="23">
        <f t="shared" si="3"/>
        <v>1</v>
      </c>
      <c r="BR35" s="23">
        <f t="shared" si="4"/>
        <v>0</v>
      </c>
      <c r="BS35" s="23">
        <f t="shared" si="5"/>
        <v>0</v>
      </c>
      <c r="BT35" s="23">
        <f t="shared" si="6"/>
        <v>1</v>
      </c>
      <c r="BU35" s="23">
        <f t="shared" si="7"/>
        <v>0</v>
      </c>
      <c r="BV35" s="23">
        <f t="shared" si="8"/>
        <v>1</v>
      </c>
      <c r="BW35" s="23">
        <f t="shared" si="9"/>
        <v>0</v>
      </c>
      <c r="BX35" s="23">
        <f t="shared" si="10"/>
        <v>0</v>
      </c>
      <c r="BY35" s="23">
        <f t="shared" si="11"/>
        <v>0</v>
      </c>
      <c r="BZ35" s="23">
        <f t="shared" si="12"/>
        <v>0</v>
      </c>
      <c r="CA35" s="23">
        <f t="shared" si="13"/>
        <v>1</v>
      </c>
      <c r="CB35" s="23">
        <f t="shared" si="14"/>
        <v>1</v>
      </c>
      <c r="CC35" s="23">
        <f t="shared" si="15"/>
        <v>0</v>
      </c>
      <c r="CD35" s="23">
        <f t="shared" si="16"/>
        <v>0</v>
      </c>
      <c r="CE35" s="23">
        <f t="shared" si="17"/>
        <v>1</v>
      </c>
      <c r="CF35" s="23">
        <f t="shared" si="18"/>
        <v>0</v>
      </c>
      <c r="CG35" s="23">
        <f t="shared" si="19"/>
        <v>0</v>
      </c>
      <c r="CH35" s="23">
        <f t="shared" si="20"/>
        <v>0</v>
      </c>
      <c r="CI35" s="23">
        <f t="shared" si="21"/>
        <v>1</v>
      </c>
      <c r="CJ35" s="23">
        <f t="shared" si="22"/>
        <v>0</v>
      </c>
      <c r="CK35" s="23">
        <f t="shared" si="23"/>
        <v>0</v>
      </c>
      <c r="CL35" s="23">
        <f t="shared" si="24"/>
        <v>0</v>
      </c>
      <c r="CM35" s="23">
        <f t="shared" si="25"/>
        <v>1</v>
      </c>
      <c r="CN35" s="23">
        <f t="shared" si="26"/>
        <v>0</v>
      </c>
      <c r="CO35" s="23">
        <f t="shared" si="27"/>
        <v>0</v>
      </c>
      <c r="CP35" s="23">
        <f t="shared" si="28"/>
        <v>0</v>
      </c>
      <c r="CQ35" s="23">
        <f t="shared" si="29"/>
        <v>0</v>
      </c>
      <c r="CR35" s="23">
        <f t="shared" si="30"/>
        <v>0</v>
      </c>
      <c r="CS35" s="23">
        <f t="shared" si="31"/>
        <v>0</v>
      </c>
      <c r="CT35" s="23">
        <f t="shared" si="32"/>
        <v>0</v>
      </c>
      <c r="CU35" s="23">
        <f t="shared" si="33"/>
        <v>0</v>
      </c>
      <c r="CV35" s="23">
        <f t="shared" si="34"/>
        <v>0</v>
      </c>
    </row>
    <row r="36" spans="1:100" ht="13.5">
      <c r="A36" s="15">
        <v>112</v>
      </c>
      <c r="B36" s="27" t="s">
        <v>304</v>
      </c>
      <c r="C36" t="s">
        <v>259</v>
      </c>
      <c r="E36" t="s">
        <v>260</v>
      </c>
      <c r="F36" t="s">
        <v>133</v>
      </c>
      <c r="G36" t="s">
        <v>260</v>
      </c>
      <c r="H36" t="s">
        <v>261</v>
      </c>
      <c r="I36" s="6" t="s">
        <v>136</v>
      </c>
      <c r="J36" s="6">
        <v>1</v>
      </c>
      <c r="L36" s="15">
        <v>1</v>
      </c>
      <c r="M36" s="7">
        <v>46029</v>
      </c>
      <c r="N36" s="7">
        <v>46042</v>
      </c>
      <c r="O36" s="7">
        <v>46041</v>
      </c>
      <c r="P36" s="7">
        <v>46041</v>
      </c>
      <c r="R36" s="6" t="s">
        <v>305</v>
      </c>
      <c r="S36" s="6" t="s">
        <v>260</v>
      </c>
      <c r="U36" s="6" t="s">
        <v>191</v>
      </c>
      <c r="V36" s="6" t="str">
        <f t="shared" si="1"/>
        <v>26/01</v>
      </c>
      <c r="W36">
        <v>21359</v>
      </c>
      <c r="Y36" s="6" t="s">
        <v>192</v>
      </c>
      <c r="Z36" s="6" t="s">
        <v>193</v>
      </c>
      <c r="AD36">
        <v>8221</v>
      </c>
      <c r="AI36" s="23">
        <v>1</v>
      </c>
      <c r="AJ36" s="23">
        <v>1</v>
      </c>
      <c r="AK36" s="23">
        <v>0</v>
      </c>
      <c r="AL36" s="23">
        <v>0</v>
      </c>
      <c r="AM36" s="23">
        <v>1</v>
      </c>
      <c r="AN36" s="23">
        <v>0</v>
      </c>
      <c r="AO36" s="23">
        <v>1</v>
      </c>
      <c r="AP36" s="23">
        <v>0</v>
      </c>
      <c r="AQ36" s="23">
        <v>0</v>
      </c>
      <c r="AR36" s="23">
        <v>0</v>
      </c>
      <c r="AS36" s="23">
        <v>0</v>
      </c>
      <c r="AT36" s="23">
        <v>1</v>
      </c>
      <c r="AU36" s="23">
        <v>1</v>
      </c>
      <c r="AV36" s="23">
        <v>0</v>
      </c>
      <c r="AW36" s="23">
        <v>0</v>
      </c>
      <c r="AX36" s="23">
        <v>1</v>
      </c>
      <c r="AY36" s="23">
        <v>0</v>
      </c>
      <c r="AZ36" s="23">
        <v>0</v>
      </c>
      <c r="BA36" s="23">
        <v>0</v>
      </c>
      <c r="BB36" s="23">
        <v>1</v>
      </c>
      <c r="BC36" s="23">
        <v>0</v>
      </c>
      <c r="BD36" s="23">
        <v>0</v>
      </c>
      <c r="BE36" s="23">
        <v>0</v>
      </c>
      <c r="BF36" s="23">
        <v>1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f t="shared" si="2"/>
        <v>1</v>
      </c>
      <c r="BQ36" s="23">
        <f t="shared" si="3"/>
        <v>1</v>
      </c>
      <c r="BR36" s="23">
        <f t="shared" si="4"/>
        <v>0</v>
      </c>
      <c r="BS36" s="23">
        <f t="shared" si="5"/>
        <v>0</v>
      </c>
      <c r="BT36" s="23">
        <f t="shared" si="6"/>
        <v>1</v>
      </c>
      <c r="BU36" s="23">
        <f t="shared" si="7"/>
        <v>0</v>
      </c>
      <c r="BV36" s="23">
        <f t="shared" si="8"/>
        <v>1</v>
      </c>
      <c r="BW36" s="23">
        <f t="shared" si="9"/>
        <v>0</v>
      </c>
      <c r="BX36" s="23">
        <f t="shared" si="10"/>
        <v>0</v>
      </c>
      <c r="BY36" s="23">
        <f t="shared" si="11"/>
        <v>0</v>
      </c>
      <c r="BZ36" s="23">
        <f t="shared" si="12"/>
        <v>0</v>
      </c>
      <c r="CA36" s="23">
        <f t="shared" si="13"/>
        <v>1</v>
      </c>
      <c r="CB36" s="23">
        <f t="shared" si="14"/>
        <v>1</v>
      </c>
      <c r="CC36" s="23">
        <f t="shared" si="15"/>
        <v>0</v>
      </c>
      <c r="CD36" s="23">
        <f t="shared" si="16"/>
        <v>0</v>
      </c>
      <c r="CE36" s="23">
        <f t="shared" si="17"/>
        <v>1</v>
      </c>
      <c r="CF36" s="23">
        <f t="shared" si="18"/>
        <v>0</v>
      </c>
      <c r="CG36" s="23">
        <f t="shared" si="19"/>
        <v>0</v>
      </c>
      <c r="CH36" s="23">
        <f t="shared" si="20"/>
        <v>0</v>
      </c>
      <c r="CI36" s="23">
        <f t="shared" si="21"/>
        <v>1</v>
      </c>
      <c r="CJ36" s="23">
        <f t="shared" si="22"/>
        <v>0</v>
      </c>
      <c r="CK36" s="23">
        <f t="shared" si="23"/>
        <v>0</v>
      </c>
      <c r="CL36" s="23">
        <f t="shared" si="24"/>
        <v>0</v>
      </c>
      <c r="CM36" s="23">
        <f t="shared" si="25"/>
        <v>1</v>
      </c>
      <c r="CN36" s="23">
        <f t="shared" si="26"/>
        <v>0</v>
      </c>
      <c r="CO36" s="23">
        <f t="shared" si="27"/>
        <v>0</v>
      </c>
      <c r="CP36" s="23">
        <f t="shared" si="28"/>
        <v>0</v>
      </c>
      <c r="CQ36" s="23">
        <f t="shared" si="29"/>
        <v>0</v>
      </c>
      <c r="CR36" s="23">
        <f t="shared" si="30"/>
        <v>0</v>
      </c>
      <c r="CS36" s="23">
        <f t="shared" si="31"/>
        <v>0</v>
      </c>
      <c r="CT36" s="23">
        <f t="shared" si="32"/>
        <v>0</v>
      </c>
      <c r="CU36" s="23">
        <f t="shared" si="33"/>
        <v>0</v>
      </c>
      <c r="CV36" s="23">
        <f t="shared" si="34"/>
        <v>0</v>
      </c>
    </row>
    <row r="37" spans="1:100" ht="13.5">
      <c r="A37" s="15">
        <v>114</v>
      </c>
      <c r="B37" s="27" t="s">
        <v>306</v>
      </c>
      <c r="C37" t="s">
        <v>259</v>
      </c>
      <c r="E37" t="s">
        <v>260</v>
      </c>
      <c r="F37" t="s">
        <v>133</v>
      </c>
      <c r="G37" t="s">
        <v>260</v>
      </c>
      <c r="H37" t="s">
        <v>261</v>
      </c>
      <c r="I37" s="6" t="s">
        <v>136</v>
      </c>
      <c r="J37" s="6">
        <v>1</v>
      </c>
      <c r="L37" s="15">
        <v>1</v>
      </c>
      <c r="M37" s="7">
        <v>46029</v>
      </c>
      <c r="N37" s="7">
        <v>46042</v>
      </c>
      <c r="O37" s="7">
        <v>46041</v>
      </c>
      <c r="P37" s="7">
        <v>46041</v>
      </c>
      <c r="R37" s="6" t="s">
        <v>307</v>
      </c>
      <c r="S37" s="6" t="s">
        <v>260</v>
      </c>
      <c r="U37" s="6" t="s">
        <v>191</v>
      </c>
      <c r="V37" s="6" t="str">
        <f t="shared" si="1"/>
        <v>26/01</v>
      </c>
      <c r="W37">
        <v>21360</v>
      </c>
      <c r="Y37" s="6" t="s">
        <v>192</v>
      </c>
      <c r="Z37" s="6" t="s">
        <v>193</v>
      </c>
      <c r="AD37">
        <v>8222</v>
      </c>
      <c r="AI37" s="23">
        <v>1</v>
      </c>
      <c r="AJ37" s="23">
        <v>1</v>
      </c>
      <c r="AK37" s="23">
        <v>0</v>
      </c>
      <c r="AL37" s="23">
        <v>0</v>
      </c>
      <c r="AM37" s="23">
        <v>1</v>
      </c>
      <c r="AN37" s="23">
        <v>0</v>
      </c>
      <c r="AO37" s="23">
        <v>1</v>
      </c>
      <c r="AP37" s="23">
        <v>0</v>
      </c>
      <c r="AQ37" s="23">
        <v>0</v>
      </c>
      <c r="AR37" s="23">
        <v>0</v>
      </c>
      <c r="AS37" s="23">
        <v>0</v>
      </c>
      <c r="AT37" s="23">
        <v>1</v>
      </c>
      <c r="AU37" s="23">
        <v>1</v>
      </c>
      <c r="AV37" s="23">
        <v>0</v>
      </c>
      <c r="AW37" s="23">
        <v>0</v>
      </c>
      <c r="AX37" s="23">
        <v>1</v>
      </c>
      <c r="AY37" s="23">
        <v>0</v>
      </c>
      <c r="AZ37" s="23">
        <v>0</v>
      </c>
      <c r="BA37" s="23">
        <v>0</v>
      </c>
      <c r="BB37" s="23">
        <v>1</v>
      </c>
      <c r="BC37" s="23">
        <v>0</v>
      </c>
      <c r="BD37" s="23">
        <v>0</v>
      </c>
      <c r="BE37" s="23">
        <v>0</v>
      </c>
      <c r="BF37" s="23">
        <v>1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f t="shared" si="2"/>
        <v>1</v>
      </c>
      <c r="BQ37" s="23">
        <f t="shared" si="3"/>
        <v>1</v>
      </c>
      <c r="BR37" s="23">
        <f t="shared" si="4"/>
        <v>0</v>
      </c>
      <c r="BS37" s="23">
        <f t="shared" si="5"/>
        <v>0</v>
      </c>
      <c r="BT37" s="23">
        <f t="shared" si="6"/>
        <v>1</v>
      </c>
      <c r="BU37" s="23">
        <f t="shared" si="7"/>
        <v>0</v>
      </c>
      <c r="BV37" s="23">
        <f t="shared" si="8"/>
        <v>1</v>
      </c>
      <c r="BW37" s="23">
        <f t="shared" si="9"/>
        <v>0</v>
      </c>
      <c r="BX37" s="23">
        <f t="shared" si="10"/>
        <v>0</v>
      </c>
      <c r="BY37" s="23">
        <f t="shared" si="11"/>
        <v>0</v>
      </c>
      <c r="BZ37" s="23">
        <f t="shared" si="12"/>
        <v>0</v>
      </c>
      <c r="CA37" s="23">
        <f t="shared" si="13"/>
        <v>1</v>
      </c>
      <c r="CB37" s="23">
        <f t="shared" si="14"/>
        <v>1</v>
      </c>
      <c r="CC37" s="23">
        <f t="shared" si="15"/>
        <v>0</v>
      </c>
      <c r="CD37" s="23">
        <f t="shared" si="16"/>
        <v>0</v>
      </c>
      <c r="CE37" s="23">
        <f t="shared" si="17"/>
        <v>1</v>
      </c>
      <c r="CF37" s="23">
        <f t="shared" si="18"/>
        <v>0</v>
      </c>
      <c r="CG37" s="23">
        <f t="shared" si="19"/>
        <v>0</v>
      </c>
      <c r="CH37" s="23">
        <f t="shared" si="20"/>
        <v>0</v>
      </c>
      <c r="CI37" s="23">
        <f t="shared" si="21"/>
        <v>1</v>
      </c>
      <c r="CJ37" s="23">
        <f t="shared" si="22"/>
        <v>0</v>
      </c>
      <c r="CK37" s="23">
        <f t="shared" si="23"/>
        <v>0</v>
      </c>
      <c r="CL37" s="23">
        <f t="shared" si="24"/>
        <v>0</v>
      </c>
      <c r="CM37" s="23">
        <f t="shared" si="25"/>
        <v>1</v>
      </c>
      <c r="CN37" s="23">
        <f t="shared" si="26"/>
        <v>0</v>
      </c>
      <c r="CO37" s="23">
        <f t="shared" si="27"/>
        <v>0</v>
      </c>
      <c r="CP37" s="23">
        <f t="shared" si="28"/>
        <v>0</v>
      </c>
      <c r="CQ37" s="23">
        <f t="shared" si="29"/>
        <v>0</v>
      </c>
      <c r="CR37" s="23">
        <f t="shared" si="30"/>
        <v>0</v>
      </c>
      <c r="CS37" s="23">
        <f t="shared" si="31"/>
        <v>0</v>
      </c>
      <c r="CT37" s="23">
        <f t="shared" si="32"/>
        <v>0</v>
      </c>
      <c r="CU37" s="23">
        <f t="shared" si="33"/>
        <v>0</v>
      </c>
      <c r="CV37" s="23">
        <f t="shared" si="34"/>
        <v>0</v>
      </c>
    </row>
    <row r="38" spans="1:100" ht="13.5">
      <c r="A38" s="15">
        <v>131</v>
      </c>
      <c r="B38" s="27" t="s">
        <v>308</v>
      </c>
      <c r="C38" t="s">
        <v>164</v>
      </c>
      <c r="D38" t="s">
        <v>309</v>
      </c>
      <c r="E38" t="s">
        <v>297</v>
      </c>
      <c r="F38" t="s">
        <v>194</v>
      </c>
      <c r="G38" t="s">
        <v>195</v>
      </c>
      <c r="H38" t="s">
        <v>196</v>
      </c>
      <c r="I38" s="6" t="s">
        <v>147</v>
      </c>
      <c r="J38" s="6">
        <v>1</v>
      </c>
      <c r="K38" t="s">
        <v>298</v>
      </c>
      <c r="L38" s="15">
        <v>1</v>
      </c>
      <c r="M38" s="7">
        <v>46029</v>
      </c>
      <c r="N38" s="7">
        <v>46042</v>
      </c>
      <c r="O38" s="7">
        <v>46041</v>
      </c>
      <c r="P38" s="7">
        <v>46044</v>
      </c>
      <c r="R38" s="6" t="s">
        <v>310</v>
      </c>
      <c r="S38" s="6" t="s">
        <v>190</v>
      </c>
      <c r="U38" s="6" t="s">
        <v>191</v>
      </c>
      <c r="V38" s="6" t="str">
        <f t="shared" si="1"/>
        <v>26/01</v>
      </c>
      <c r="W38">
        <v>21361</v>
      </c>
      <c r="Y38" s="6" t="s">
        <v>192</v>
      </c>
      <c r="Z38" s="6" t="s">
        <v>193</v>
      </c>
      <c r="AD38">
        <v>8223</v>
      </c>
      <c r="AI38" s="23">
        <v>1</v>
      </c>
      <c r="AJ38" s="23">
        <v>1</v>
      </c>
      <c r="AK38" s="23">
        <v>0</v>
      </c>
      <c r="AL38" s="23">
        <v>0</v>
      </c>
      <c r="AM38" s="23">
        <v>1</v>
      </c>
      <c r="AN38" s="23">
        <v>0</v>
      </c>
      <c r="AO38" s="23">
        <v>1</v>
      </c>
      <c r="AP38" s="23">
        <v>0</v>
      </c>
      <c r="AQ38" s="23">
        <v>0</v>
      </c>
      <c r="AR38" s="23">
        <v>0</v>
      </c>
      <c r="AS38" s="23">
        <v>1</v>
      </c>
      <c r="AT38" s="23">
        <v>0</v>
      </c>
      <c r="AU38" s="23">
        <v>1</v>
      </c>
      <c r="AV38" s="23">
        <v>0</v>
      </c>
      <c r="AW38" s="23">
        <v>0</v>
      </c>
      <c r="AX38" s="23">
        <v>1</v>
      </c>
      <c r="AY38" s="23">
        <v>0</v>
      </c>
      <c r="AZ38" s="23">
        <v>0</v>
      </c>
      <c r="BA38" s="23">
        <v>0</v>
      </c>
      <c r="BB38" s="23">
        <v>1</v>
      </c>
      <c r="BC38" s="23">
        <v>0</v>
      </c>
      <c r="BD38" s="23">
        <v>0</v>
      </c>
      <c r="BE38" s="23">
        <v>0</v>
      </c>
      <c r="BF38" s="23">
        <v>1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0</v>
      </c>
      <c r="BP38" s="23">
        <f t="shared" si="2"/>
        <v>1</v>
      </c>
      <c r="BQ38" s="23">
        <f t="shared" si="3"/>
        <v>1</v>
      </c>
      <c r="BR38" s="23">
        <f t="shared" si="4"/>
        <v>0</v>
      </c>
      <c r="BS38" s="23">
        <f t="shared" si="5"/>
        <v>0</v>
      </c>
      <c r="BT38" s="23">
        <f t="shared" si="6"/>
        <v>1</v>
      </c>
      <c r="BU38" s="23">
        <f t="shared" si="7"/>
        <v>0</v>
      </c>
      <c r="BV38" s="23">
        <f t="shared" si="8"/>
        <v>1</v>
      </c>
      <c r="BW38" s="23">
        <f t="shared" si="9"/>
        <v>0</v>
      </c>
      <c r="BX38" s="23">
        <f t="shared" si="10"/>
        <v>0</v>
      </c>
      <c r="BY38" s="23">
        <f t="shared" si="11"/>
        <v>0</v>
      </c>
      <c r="BZ38" s="23">
        <f t="shared" si="12"/>
        <v>1</v>
      </c>
      <c r="CA38" s="23">
        <f t="shared" si="13"/>
        <v>0</v>
      </c>
      <c r="CB38" s="23">
        <f t="shared" si="14"/>
        <v>1</v>
      </c>
      <c r="CC38" s="23">
        <f t="shared" si="15"/>
        <v>0</v>
      </c>
      <c r="CD38" s="23">
        <f t="shared" si="16"/>
        <v>0</v>
      </c>
      <c r="CE38" s="23">
        <f t="shared" si="17"/>
        <v>1</v>
      </c>
      <c r="CF38" s="23">
        <f t="shared" si="18"/>
        <v>0</v>
      </c>
      <c r="CG38" s="23">
        <f t="shared" si="19"/>
        <v>0</v>
      </c>
      <c r="CH38" s="23">
        <f t="shared" si="20"/>
        <v>0</v>
      </c>
      <c r="CI38" s="23">
        <f t="shared" si="21"/>
        <v>1</v>
      </c>
      <c r="CJ38" s="23">
        <f t="shared" si="22"/>
        <v>0</v>
      </c>
      <c r="CK38" s="23">
        <f t="shared" si="23"/>
        <v>0</v>
      </c>
      <c r="CL38" s="23">
        <f t="shared" si="24"/>
        <v>0</v>
      </c>
      <c r="CM38" s="23">
        <f t="shared" si="25"/>
        <v>1</v>
      </c>
      <c r="CN38" s="23">
        <f t="shared" si="26"/>
        <v>0</v>
      </c>
      <c r="CO38" s="23">
        <f t="shared" si="27"/>
        <v>0</v>
      </c>
      <c r="CP38" s="23">
        <f t="shared" si="28"/>
        <v>0</v>
      </c>
      <c r="CQ38" s="23">
        <f t="shared" si="29"/>
        <v>0</v>
      </c>
      <c r="CR38" s="23">
        <f t="shared" si="30"/>
        <v>0</v>
      </c>
      <c r="CS38" s="23">
        <f t="shared" si="31"/>
        <v>0</v>
      </c>
      <c r="CT38" s="23">
        <f t="shared" si="32"/>
        <v>0</v>
      </c>
      <c r="CU38" s="23">
        <f t="shared" si="33"/>
        <v>0</v>
      </c>
      <c r="CV38" s="23">
        <f t="shared" si="34"/>
        <v>0</v>
      </c>
    </row>
    <row r="39" spans="1:100" ht="13.5">
      <c r="A39" s="15">
        <v>132</v>
      </c>
      <c r="B39" s="27" t="s">
        <v>311</v>
      </c>
      <c r="C39" t="s">
        <v>164</v>
      </c>
      <c r="D39" t="s">
        <v>312</v>
      </c>
      <c r="F39" t="s">
        <v>165</v>
      </c>
      <c r="G39" t="s">
        <v>166</v>
      </c>
      <c r="H39" t="s">
        <v>167</v>
      </c>
      <c r="I39" s="6" t="s">
        <v>147</v>
      </c>
      <c r="J39" s="6">
        <v>1</v>
      </c>
      <c r="K39" t="s">
        <v>298</v>
      </c>
      <c r="L39" s="15">
        <v>1</v>
      </c>
      <c r="M39" s="7">
        <v>46029</v>
      </c>
      <c r="N39" s="7">
        <v>46042</v>
      </c>
      <c r="O39" s="7">
        <v>46041</v>
      </c>
      <c r="P39" s="7">
        <v>46044</v>
      </c>
      <c r="R39" s="6" t="s">
        <v>313</v>
      </c>
      <c r="S39" s="6" t="s">
        <v>190</v>
      </c>
      <c r="U39" s="6" t="s">
        <v>191</v>
      </c>
      <c r="V39" s="6" t="str">
        <f t="shared" si="1"/>
        <v>26/01</v>
      </c>
      <c r="W39">
        <v>21362</v>
      </c>
      <c r="Y39" s="6" t="s">
        <v>192</v>
      </c>
      <c r="Z39" s="6" t="s">
        <v>193</v>
      </c>
      <c r="AD39">
        <v>8224</v>
      </c>
      <c r="AI39" s="23">
        <v>1</v>
      </c>
      <c r="AJ39" s="23">
        <v>1</v>
      </c>
      <c r="AK39" s="23">
        <v>0</v>
      </c>
      <c r="AL39" s="23">
        <v>0</v>
      </c>
      <c r="AM39" s="23">
        <v>1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1</v>
      </c>
      <c r="AT39" s="23">
        <v>0</v>
      </c>
      <c r="AU39" s="23">
        <v>1</v>
      </c>
      <c r="AV39" s="23">
        <v>0</v>
      </c>
      <c r="AW39" s="23">
        <v>0</v>
      </c>
      <c r="AX39" s="23">
        <v>1</v>
      </c>
      <c r="AY39" s="23">
        <v>0</v>
      </c>
      <c r="AZ39" s="23">
        <v>0</v>
      </c>
      <c r="BA39" s="23">
        <v>0</v>
      </c>
      <c r="BB39" s="23">
        <v>1</v>
      </c>
      <c r="BC39" s="23">
        <v>0</v>
      </c>
      <c r="BD39" s="23">
        <v>0</v>
      </c>
      <c r="BE39" s="23">
        <v>0</v>
      </c>
      <c r="BF39" s="23">
        <v>1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f t="shared" si="2"/>
        <v>1</v>
      </c>
      <c r="BQ39" s="23">
        <f t="shared" si="3"/>
        <v>1</v>
      </c>
      <c r="BR39" s="23">
        <f t="shared" si="4"/>
        <v>0</v>
      </c>
      <c r="BS39" s="23">
        <f t="shared" si="5"/>
        <v>0</v>
      </c>
      <c r="BT39" s="23">
        <f t="shared" si="6"/>
        <v>1</v>
      </c>
      <c r="BU39" s="23">
        <f t="shared" si="7"/>
        <v>0</v>
      </c>
      <c r="BV39" s="23">
        <f t="shared" si="8"/>
        <v>1</v>
      </c>
      <c r="BW39" s="23">
        <f t="shared" si="9"/>
        <v>0</v>
      </c>
      <c r="BX39" s="23">
        <f t="shared" si="10"/>
        <v>0</v>
      </c>
      <c r="BY39" s="23">
        <f t="shared" si="11"/>
        <v>0</v>
      </c>
      <c r="BZ39" s="23">
        <f t="shared" si="12"/>
        <v>1</v>
      </c>
      <c r="CA39" s="23">
        <f t="shared" si="13"/>
        <v>0</v>
      </c>
      <c r="CB39" s="23">
        <f t="shared" si="14"/>
        <v>1</v>
      </c>
      <c r="CC39" s="23">
        <f t="shared" si="15"/>
        <v>0</v>
      </c>
      <c r="CD39" s="23">
        <f t="shared" si="16"/>
        <v>0</v>
      </c>
      <c r="CE39" s="23">
        <f t="shared" si="17"/>
        <v>1</v>
      </c>
      <c r="CF39" s="23">
        <f t="shared" si="18"/>
        <v>0</v>
      </c>
      <c r="CG39" s="23">
        <f t="shared" si="19"/>
        <v>0</v>
      </c>
      <c r="CH39" s="23">
        <f t="shared" si="20"/>
        <v>0</v>
      </c>
      <c r="CI39" s="23">
        <f t="shared" si="21"/>
        <v>1</v>
      </c>
      <c r="CJ39" s="23">
        <f t="shared" si="22"/>
        <v>0</v>
      </c>
      <c r="CK39" s="23">
        <f t="shared" si="23"/>
        <v>0</v>
      </c>
      <c r="CL39" s="23">
        <f t="shared" si="24"/>
        <v>0</v>
      </c>
      <c r="CM39" s="23">
        <f t="shared" si="25"/>
        <v>1</v>
      </c>
      <c r="CN39" s="23">
        <f t="shared" si="26"/>
        <v>0</v>
      </c>
      <c r="CO39" s="23">
        <f t="shared" si="27"/>
        <v>0</v>
      </c>
      <c r="CP39" s="23">
        <f t="shared" si="28"/>
        <v>0</v>
      </c>
      <c r="CQ39" s="23">
        <f t="shared" si="29"/>
        <v>0</v>
      </c>
      <c r="CR39" s="23">
        <f t="shared" si="30"/>
        <v>0</v>
      </c>
      <c r="CS39" s="23">
        <f t="shared" si="31"/>
        <v>0</v>
      </c>
      <c r="CT39" s="23">
        <f t="shared" si="32"/>
        <v>0</v>
      </c>
      <c r="CU39" s="23">
        <f t="shared" si="33"/>
        <v>0</v>
      </c>
      <c r="CV39" s="23">
        <f t="shared" si="34"/>
        <v>0</v>
      </c>
    </row>
    <row r="40" spans="1:100" ht="13.5">
      <c r="A40" s="15">
        <v>120</v>
      </c>
      <c r="B40" s="27" t="s">
        <v>314</v>
      </c>
      <c r="C40" t="s">
        <v>259</v>
      </c>
      <c r="E40" t="s">
        <v>260</v>
      </c>
      <c r="F40" t="s">
        <v>133</v>
      </c>
      <c r="G40" t="s">
        <v>260</v>
      </c>
      <c r="H40" t="s">
        <v>261</v>
      </c>
      <c r="I40" s="6" t="s">
        <v>136</v>
      </c>
      <c r="J40" s="6">
        <v>1</v>
      </c>
      <c r="L40" s="15">
        <v>1</v>
      </c>
      <c r="M40" s="7">
        <v>46030</v>
      </c>
      <c r="N40" s="7">
        <v>46043</v>
      </c>
      <c r="O40" s="7">
        <v>46042</v>
      </c>
      <c r="P40" s="7">
        <v>46042</v>
      </c>
      <c r="R40" s="6" t="s">
        <v>315</v>
      </c>
      <c r="S40" s="6" t="s">
        <v>260</v>
      </c>
      <c r="U40" s="6" t="s">
        <v>191</v>
      </c>
      <c r="V40" s="6" t="str">
        <f t="shared" si="1"/>
        <v>26/01</v>
      </c>
      <c r="W40">
        <v>21363</v>
      </c>
      <c r="Y40" s="6" t="s">
        <v>192</v>
      </c>
      <c r="Z40" s="6" t="s">
        <v>193</v>
      </c>
      <c r="AD40">
        <v>8225</v>
      </c>
      <c r="AI40" s="23">
        <v>1</v>
      </c>
      <c r="AJ40" s="23">
        <v>1</v>
      </c>
      <c r="AK40" s="23">
        <v>0</v>
      </c>
      <c r="AL40" s="23">
        <v>0</v>
      </c>
      <c r="AM40" s="23">
        <v>1</v>
      </c>
      <c r="AN40" s="23">
        <v>0</v>
      </c>
      <c r="AO40" s="23">
        <v>1</v>
      </c>
      <c r="AP40" s="23">
        <v>0</v>
      </c>
      <c r="AQ40" s="23">
        <v>0</v>
      </c>
      <c r="AR40" s="23">
        <v>0</v>
      </c>
      <c r="AS40" s="23">
        <v>0</v>
      </c>
      <c r="AT40" s="23">
        <v>1</v>
      </c>
      <c r="AU40" s="23">
        <v>1</v>
      </c>
      <c r="AV40" s="23">
        <v>0</v>
      </c>
      <c r="AW40" s="23">
        <v>0</v>
      </c>
      <c r="AX40" s="23">
        <v>1</v>
      </c>
      <c r="AY40" s="23">
        <v>0</v>
      </c>
      <c r="AZ40" s="23">
        <v>0</v>
      </c>
      <c r="BA40" s="23">
        <v>0</v>
      </c>
      <c r="BB40" s="23">
        <v>1</v>
      </c>
      <c r="BC40" s="23">
        <v>0</v>
      </c>
      <c r="BD40" s="23">
        <v>0</v>
      </c>
      <c r="BE40" s="23">
        <v>0</v>
      </c>
      <c r="BF40" s="23">
        <v>1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f t="shared" si="2"/>
        <v>1</v>
      </c>
      <c r="BQ40" s="23">
        <f t="shared" si="3"/>
        <v>1</v>
      </c>
      <c r="BR40" s="23">
        <f t="shared" si="4"/>
        <v>0</v>
      </c>
      <c r="BS40" s="23">
        <f t="shared" si="5"/>
        <v>0</v>
      </c>
      <c r="BT40" s="23">
        <f t="shared" si="6"/>
        <v>1</v>
      </c>
      <c r="BU40" s="23">
        <f t="shared" si="7"/>
        <v>0</v>
      </c>
      <c r="BV40" s="23">
        <f t="shared" si="8"/>
        <v>1</v>
      </c>
      <c r="BW40" s="23">
        <f t="shared" si="9"/>
        <v>0</v>
      </c>
      <c r="BX40" s="23">
        <f t="shared" si="10"/>
        <v>0</v>
      </c>
      <c r="BY40" s="23">
        <f t="shared" si="11"/>
        <v>0</v>
      </c>
      <c r="BZ40" s="23">
        <f t="shared" si="12"/>
        <v>0</v>
      </c>
      <c r="CA40" s="23">
        <f t="shared" si="13"/>
        <v>1</v>
      </c>
      <c r="CB40" s="23">
        <f t="shared" si="14"/>
        <v>1</v>
      </c>
      <c r="CC40" s="23">
        <f t="shared" si="15"/>
        <v>0</v>
      </c>
      <c r="CD40" s="23">
        <f t="shared" si="16"/>
        <v>0</v>
      </c>
      <c r="CE40" s="23">
        <f t="shared" si="17"/>
        <v>1</v>
      </c>
      <c r="CF40" s="23">
        <f t="shared" si="18"/>
        <v>0</v>
      </c>
      <c r="CG40" s="23">
        <f t="shared" si="19"/>
        <v>0</v>
      </c>
      <c r="CH40" s="23">
        <f t="shared" si="20"/>
        <v>0</v>
      </c>
      <c r="CI40" s="23">
        <f t="shared" si="21"/>
        <v>1</v>
      </c>
      <c r="CJ40" s="23">
        <f t="shared" si="22"/>
        <v>0</v>
      </c>
      <c r="CK40" s="23">
        <f t="shared" si="23"/>
        <v>0</v>
      </c>
      <c r="CL40" s="23">
        <f t="shared" si="24"/>
        <v>0</v>
      </c>
      <c r="CM40" s="23">
        <f t="shared" si="25"/>
        <v>1</v>
      </c>
      <c r="CN40" s="23">
        <f t="shared" si="26"/>
        <v>0</v>
      </c>
      <c r="CO40" s="23">
        <f t="shared" si="27"/>
        <v>0</v>
      </c>
      <c r="CP40" s="23">
        <f t="shared" si="28"/>
        <v>0</v>
      </c>
      <c r="CQ40" s="23">
        <f t="shared" si="29"/>
        <v>0</v>
      </c>
      <c r="CR40" s="23">
        <f t="shared" si="30"/>
        <v>0</v>
      </c>
      <c r="CS40" s="23">
        <f t="shared" si="31"/>
        <v>0</v>
      </c>
      <c r="CT40" s="23">
        <f t="shared" si="32"/>
        <v>0</v>
      </c>
      <c r="CU40" s="23">
        <f t="shared" si="33"/>
        <v>0</v>
      </c>
      <c r="CV40" s="23">
        <f t="shared" si="34"/>
        <v>0</v>
      </c>
    </row>
    <row r="41" spans="1:100" ht="13.5">
      <c r="A41" s="15">
        <v>121</v>
      </c>
      <c r="B41" s="27" t="s">
        <v>316</v>
      </c>
      <c r="C41" t="s">
        <v>259</v>
      </c>
      <c r="E41" t="s">
        <v>260</v>
      </c>
      <c r="F41" t="s">
        <v>133</v>
      </c>
      <c r="G41" t="s">
        <v>260</v>
      </c>
      <c r="H41" t="s">
        <v>261</v>
      </c>
      <c r="I41" s="6" t="s">
        <v>136</v>
      </c>
      <c r="J41" s="6">
        <v>1</v>
      </c>
      <c r="L41" s="15">
        <v>1</v>
      </c>
      <c r="M41" s="7">
        <v>46030</v>
      </c>
      <c r="N41" s="7">
        <v>46043</v>
      </c>
      <c r="O41" s="7">
        <v>46042</v>
      </c>
      <c r="P41" s="7">
        <v>46042</v>
      </c>
      <c r="R41" s="6" t="s">
        <v>317</v>
      </c>
      <c r="S41" s="6" t="s">
        <v>260</v>
      </c>
      <c r="U41" s="6" t="s">
        <v>191</v>
      </c>
      <c r="V41" s="6" t="str">
        <f t="shared" si="1"/>
        <v>26/01</v>
      </c>
      <c r="W41">
        <v>21364</v>
      </c>
      <c r="Y41" s="6" t="s">
        <v>192</v>
      </c>
      <c r="Z41" s="6" t="s">
        <v>193</v>
      </c>
      <c r="AD41">
        <v>8226</v>
      </c>
      <c r="AI41" s="23">
        <v>1</v>
      </c>
      <c r="AJ41" s="23">
        <v>1</v>
      </c>
      <c r="AK41" s="23">
        <v>0</v>
      </c>
      <c r="AL41" s="23">
        <v>0</v>
      </c>
      <c r="AM41" s="23">
        <v>1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1</v>
      </c>
      <c r="AU41" s="23">
        <v>1</v>
      </c>
      <c r="AV41" s="23">
        <v>0</v>
      </c>
      <c r="AW41" s="23">
        <v>0</v>
      </c>
      <c r="AX41" s="23">
        <v>1</v>
      </c>
      <c r="AY41" s="23">
        <v>0</v>
      </c>
      <c r="AZ41" s="23">
        <v>0</v>
      </c>
      <c r="BA41" s="23">
        <v>0</v>
      </c>
      <c r="BB41" s="23">
        <v>1</v>
      </c>
      <c r="BC41" s="23">
        <v>0</v>
      </c>
      <c r="BD41" s="23">
        <v>0</v>
      </c>
      <c r="BE41" s="23">
        <v>0</v>
      </c>
      <c r="BF41" s="23">
        <v>1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f t="shared" si="2"/>
        <v>1</v>
      </c>
      <c r="BQ41" s="23">
        <f t="shared" si="3"/>
        <v>1</v>
      </c>
      <c r="BR41" s="23">
        <f t="shared" si="4"/>
        <v>0</v>
      </c>
      <c r="BS41" s="23">
        <f t="shared" si="5"/>
        <v>0</v>
      </c>
      <c r="BT41" s="23">
        <f t="shared" si="6"/>
        <v>1</v>
      </c>
      <c r="BU41" s="23">
        <f t="shared" si="7"/>
        <v>0</v>
      </c>
      <c r="BV41" s="23">
        <f t="shared" si="8"/>
        <v>1</v>
      </c>
      <c r="BW41" s="23">
        <f t="shared" si="9"/>
        <v>0</v>
      </c>
      <c r="BX41" s="23">
        <f t="shared" si="10"/>
        <v>0</v>
      </c>
      <c r="BY41" s="23">
        <f t="shared" si="11"/>
        <v>0</v>
      </c>
      <c r="BZ41" s="23">
        <f t="shared" si="12"/>
        <v>0</v>
      </c>
      <c r="CA41" s="23">
        <f t="shared" si="13"/>
        <v>1</v>
      </c>
      <c r="CB41" s="23">
        <f t="shared" si="14"/>
        <v>1</v>
      </c>
      <c r="CC41" s="23">
        <f t="shared" si="15"/>
        <v>0</v>
      </c>
      <c r="CD41" s="23">
        <f t="shared" si="16"/>
        <v>0</v>
      </c>
      <c r="CE41" s="23">
        <f t="shared" si="17"/>
        <v>1</v>
      </c>
      <c r="CF41" s="23">
        <f t="shared" si="18"/>
        <v>0</v>
      </c>
      <c r="CG41" s="23">
        <f t="shared" si="19"/>
        <v>0</v>
      </c>
      <c r="CH41" s="23">
        <f t="shared" si="20"/>
        <v>0</v>
      </c>
      <c r="CI41" s="23">
        <f t="shared" si="21"/>
        <v>1</v>
      </c>
      <c r="CJ41" s="23">
        <f t="shared" si="22"/>
        <v>0</v>
      </c>
      <c r="CK41" s="23">
        <f t="shared" si="23"/>
        <v>0</v>
      </c>
      <c r="CL41" s="23">
        <f t="shared" si="24"/>
        <v>0</v>
      </c>
      <c r="CM41" s="23">
        <f t="shared" si="25"/>
        <v>1</v>
      </c>
      <c r="CN41" s="23">
        <f t="shared" si="26"/>
        <v>0</v>
      </c>
      <c r="CO41" s="23">
        <f t="shared" si="27"/>
        <v>0</v>
      </c>
      <c r="CP41" s="23">
        <f t="shared" si="28"/>
        <v>0</v>
      </c>
      <c r="CQ41" s="23">
        <f t="shared" si="29"/>
        <v>0</v>
      </c>
      <c r="CR41" s="23">
        <f t="shared" si="30"/>
        <v>0</v>
      </c>
      <c r="CS41" s="23">
        <f t="shared" si="31"/>
        <v>0</v>
      </c>
      <c r="CT41" s="23">
        <f t="shared" si="32"/>
        <v>0</v>
      </c>
      <c r="CU41" s="23">
        <f t="shared" si="33"/>
        <v>0</v>
      </c>
      <c r="CV41" s="23">
        <f t="shared" si="34"/>
        <v>0</v>
      </c>
    </row>
    <row r="42" spans="1:100" ht="13.5">
      <c r="A42" s="15">
        <v>136</v>
      </c>
      <c r="B42" s="27" t="s">
        <v>318</v>
      </c>
      <c r="C42" t="s">
        <v>164</v>
      </c>
      <c r="D42" t="s">
        <v>319</v>
      </c>
      <c r="E42" t="s">
        <v>145</v>
      </c>
      <c r="F42" t="s">
        <v>194</v>
      </c>
      <c r="G42" t="s">
        <v>195</v>
      </c>
      <c r="H42" t="s">
        <v>196</v>
      </c>
      <c r="I42" s="6" t="s">
        <v>147</v>
      </c>
      <c r="J42" s="6">
        <v>1</v>
      </c>
      <c r="K42" t="s">
        <v>298</v>
      </c>
      <c r="L42" s="15">
        <v>1</v>
      </c>
      <c r="M42" s="7">
        <v>46030</v>
      </c>
      <c r="N42" s="7">
        <v>46043</v>
      </c>
      <c r="O42" s="7">
        <v>46042</v>
      </c>
      <c r="P42" s="7">
        <v>46045</v>
      </c>
      <c r="R42" s="6" t="s">
        <v>320</v>
      </c>
      <c r="S42" s="6" t="s">
        <v>190</v>
      </c>
      <c r="U42" s="6" t="s">
        <v>191</v>
      </c>
      <c r="V42" s="6" t="str">
        <f t="shared" si="1"/>
        <v>26/01</v>
      </c>
      <c r="W42">
        <v>21365</v>
      </c>
      <c r="Y42" s="6" t="s">
        <v>192</v>
      </c>
      <c r="Z42" s="6" t="s">
        <v>193</v>
      </c>
      <c r="AD42">
        <v>8227</v>
      </c>
      <c r="AI42" s="23">
        <v>1</v>
      </c>
      <c r="AJ42" s="23">
        <v>1</v>
      </c>
      <c r="AK42" s="23">
        <v>0</v>
      </c>
      <c r="AL42" s="23">
        <v>0</v>
      </c>
      <c r="AM42" s="23">
        <v>1</v>
      </c>
      <c r="AN42" s="23">
        <v>0</v>
      </c>
      <c r="AO42" s="23">
        <v>1</v>
      </c>
      <c r="AP42" s="23">
        <v>0</v>
      </c>
      <c r="AQ42" s="23">
        <v>0</v>
      </c>
      <c r="AR42" s="23">
        <v>0</v>
      </c>
      <c r="AS42" s="23">
        <v>1</v>
      </c>
      <c r="AT42" s="23">
        <v>0</v>
      </c>
      <c r="AU42" s="23">
        <v>1</v>
      </c>
      <c r="AV42" s="23">
        <v>0</v>
      </c>
      <c r="AW42" s="23">
        <v>0</v>
      </c>
      <c r="AX42" s="23">
        <v>1</v>
      </c>
      <c r="AY42" s="23">
        <v>0</v>
      </c>
      <c r="AZ42" s="23">
        <v>0</v>
      </c>
      <c r="BA42" s="23">
        <v>0</v>
      </c>
      <c r="BB42" s="23">
        <v>1</v>
      </c>
      <c r="BC42" s="23">
        <v>0</v>
      </c>
      <c r="BD42" s="23">
        <v>0</v>
      </c>
      <c r="BE42" s="23">
        <v>0</v>
      </c>
      <c r="BF42" s="23">
        <v>1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f t="shared" si="2"/>
        <v>1</v>
      </c>
      <c r="BQ42" s="23">
        <f t="shared" si="3"/>
        <v>1</v>
      </c>
      <c r="BR42" s="23">
        <f t="shared" si="4"/>
        <v>0</v>
      </c>
      <c r="BS42" s="23">
        <f t="shared" si="5"/>
        <v>0</v>
      </c>
      <c r="BT42" s="23">
        <f t="shared" si="6"/>
        <v>1</v>
      </c>
      <c r="BU42" s="23">
        <f t="shared" si="7"/>
        <v>0</v>
      </c>
      <c r="BV42" s="23">
        <f t="shared" si="8"/>
        <v>1</v>
      </c>
      <c r="BW42" s="23">
        <f t="shared" si="9"/>
        <v>0</v>
      </c>
      <c r="BX42" s="23">
        <f t="shared" si="10"/>
        <v>0</v>
      </c>
      <c r="BY42" s="23">
        <f t="shared" si="11"/>
        <v>0</v>
      </c>
      <c r="BZ42" s="23">
        <f t="shared" si="12"/>
        <v>1</v>
      </c>
      <c r="CA42" s="23">
        <f t="shared" si="13"/>
        <v>0</v>
      </c>
      <c r="CB42" s="23">
        <f t="shared" si="14"/>
        <v>1</v>
      </c>
      <c r="CC42" s="23">
        <f t="shared" si="15"/>
        <v>0</v>
      </c>
      <c r="CD42" s="23">
        <f t="shared" si="16"/>
        <v>0</v>
      </c>
      <c r="CE42" s="23">
        <f t="shared" si="17"/>
        <v>1</v>
      </c>
      <c r="CF42" s="23">
        <f t="shared" si="18"/>
        <v>0</v>
      </c>
      <c r="CG42" s="23">
        <f t="shared" si="19"/>
        <v>0</v>
      </c>
      <c r="CH42" s="23">
        <f t="shared" si="20"/>
        <v>0</v>
      </c>
      <c r="CI42" s="23">
        <f t="shared" si="21"/>
        <v>1</v>
      </c>
      <c r="CJ42" s="23">
        <f t="shared" si="22"/>
        <v>0</v>
      </c>
      <c r="CK42" s="23">
        <f t="shared" si="23"/>
        <v>0</v>
      </c>
      <c r="CL42" s="23">
        <f t="shared" si="24"/>
        <v>0</v>
      </c>
      <c r="CM42" s="23">
        <f t="shared" si="25"/>
        <v>1</v>
      </c>
      <c r="CN42" s="23">
        <f t="shared" si="26"/>
        <v>0</v>
      </c>
      <c r="CO42" s="23">
        <f t="shared" si="27"/>
        <v>0</v>
      </c>
      <c r="CP42" s="23">
        <f t="shared" si="28"/>
        <v>0</v>
      </c>
      <c r="CQ42" s="23">
        <f t="shared" si="29"/>
        <v>0</v>
      </c>
      <c r="CR42" s="23">
        <f t="shared" si="30"/>
        <v>0</v>
      </c>
      <c r="CS42" s="23">
        <f t="shared" si="31"/>
        <v>0</v>
      </c>
      <c r="CT42" s="23">
        <f t="shared" si="32"/>
        <v>0</v>
      </c>
      <c r="CU42" s="23">
        <f t="shared" si="33"/>
        <v>0</v>
      </c>
      <c r="CV42" s="23">
        <f t="shared" si="34"/>
        <v>0</v>
      </c>
    </row>
    <row r="43" spans="1:100" ht="13.5">
      <c r="A43" s="15">
        <v>137</v>
      </c>
      <c r="B43" s="27" t="s">
        <v>321</v>
      </c>
      <c r="C43" t="s">
        <v>164</v>
      </c>
      <c r="D43" t="s">
        <v>322</v>
      </c>
      <c r="E43" t="s">
        <v>145</v>
      </c>
      <c r="F43" t="s">
        <v>194</v>
      </c>
      <c r="G43" t="s">
        <v>195</v>
      </c>
      <c r="H43" t="s">
        <v>196</v>
      </c>
      <c r="I43" s="6" t="s">
        <v>147</v>
      </c>
      <c r="J43" s="6">
        <v>1</v>
      </c>
      <c r="K43" t="s">
        <v>298</v>
      </c>
      <c r="L43" s="15">
        <v>1</v>
      </c>
      <c r="M43" s="7">
        <v>46030</v>
      </c>
      <c r="N43" s="7">
        <v>46043</v>
      </c>
      <c r="O43" s="7">
        <v>46042</v>
      </c>
      <c r="P43" s="7">
        <v>46045</v>
      </c>
      <c r="R43" s="6" t="s">
        <v>323</v>
      </c>
      <c r="S43" s="6" t="s">
        <v>190</v>
      </c>
      <c r="U43" s="6" t="s">
        <v>191</v>
      </c>
      <c r="V43" s="6" t="str">
        <f t="shared" si="1"/>
        <v>26/01</v>
      </c>
      <c r="W43">
        <v>21366</v>
      </c>
      <c r="Y43" s="6" t="s">
        <v>192</v>
      </c>
      <c r="Z43" s="6" t="s">
        <v>193</v>
      </c>
      <c r="AD43">
        <v>8228</v>
      </c>
      <c r="AI43" s="23">
        <v>1</v>
      </c>
      <c r="AJ43" s="23">
        <v>1</v>
      </c>
      <c r="AK43" s="23">
        <v>0</v>
      </c>
      <c r="AL43" s="23">
        <v>0</v>
      </c>
      <c r="AM43" s="23">
        <v>1</v>
      </c>
      <c r="AN43" s="23">
        <v>0</v>
      </c>
      <c r="AO43" s="23">
        <v>1</v>
      </c>
      <c r="AP43" s="23">
        <v>0</v>
      </c>
      <c r="AQ43" s="23">
        <v>0</v>
      </c>
      <c r="AR43" s="23">
        <v>0</v>
      </c>
      <c r="AS43" s="23">
        <v>1</v>
      </c>
      <c r="AT43" s="23">
        <v>0</v>
      </c>
      <c r="AU43" s="23">
        <v>1</v>
      </c>
      <c r="AV43" s="23">
        <v>0</v>
      </c>
      <c r="AW43" s="23">
        <v>0</v>
      </c>
      <c r="AX43" s="23">
        <v>1</v>
      </c>
      <c r="AY43" s="23">
        <v>0</v>
      </c>
      <c r="AZ43" s="23">
        <v>0</v>
      </c>
      <c r="BA43" s="23">
        <v>0</v>
      </c>
      <c r="BB43" s="23">
        <v>1</v>
      </c>
      <c r="BC43" s="23">
        <v>0</v>
      </c>
      <c r="BD43" s="23">
        <v>0</v>
      </c>
      <c r="BE43" s="23">
        <v>0</v>
      </c>
      <c r="BF43" s="23">
        <v>1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f t="shared" si="2"/>
        <v>1</v>
      </c>
      <c r="BQ43" s="23">
        <f t="shared" si="3"/>
        <v>1</v>
      </c>
      <c r="BR43" s="23">
        <f t="shared" si="4"/>
        <v>0</v>
      </c>
      <c r="BS43" s="23">
        <f t="shared" si="5"/>
        <v>0</v>
      </c>
      <c r="BT43" s="23">
        <f t="shared" si="6"/>
        <v>1</v>
      </c>
      <c r="BU43" s="23">
        <f t="shared" si="7"/>
        <v>0</v>
      </c>
      <c r="BV43" s="23">
        <f t="shared" si="8"/>
        <v>1</v>
      </c>
      <c r="BW43" s="23">
        <f t="shared" si="9"/>
        <v>0</v>
      </c>
      <c r="BX43" s="23">
        <f t="shared" si="10"/>
        <v>0</v>
      </c>
      <c r="BY43" s="23">
        <f t="shared" si="11"/>
        <v>0</v>
      </c>
      <c r="BZ43" s="23">
        <f t="shared" si="12"/>
        <v>1</v>
      </c>
      <c r="CA43" s="23">
        <f t="shared" si="13"/>
        <v>0</v>
      </c>
      <c r="CB43" s="23">
        <f t="shared" si="14"/>
        <v>1</v>
      </c>
      <c r="CC43" s="23">
        <f t="shared" si="15"/>
        <v>0</v>
      </c>
      <c r="CD43" s="23">
        <f t="shared" si="16"/>
        <v>0</v>
      </c>
      <c r="CE43" s="23">
        <f t="shared" si="17"/>
        <v>1</v>
      </c>
      <c r="CF43" s="23">
        <f t="shared" si="18"/>
        <v>0</v>
      </c>
      <c r="CG43" s="23">
        <f t="shared" si="19"/>
        <v>0</v>
      </c>
      <c r="CH43" s="23">
        <f t="shared" si="20"/>
        <v>0</v>
      </c>
      <c r="CI43" s="23">
        <f t="shared" si="21"/>
        <v>1</v>
      </c>
      <c r="CJ43" s="23">
        <f t="shared" si="22"/>
        <v>0</v>
      </c>
      <c r="CK43" s="23">
        <f t="shared" si="23"/>
        <v>0</v>
      </c>
      <c r="CL43" s="23">
        <f t="shared" si="24"/>
        <v>0</v>
      </c>
      <c r="CM43" s="23">
        <f t="shared" si="25"/>
        <v>1</v>
      </c>
      <c r="CN43" s="23">
        <f t="shared" si="26"/>
        <v>0</v>
      </c>
      <c r="CO43" s="23">
        <f t="shared" si="27"/>
        <v>0</v>
      </c>
      <c r="CP43" s="23">
        <f t="shared" si="28"/>
        <v>0</v>
      </c>
      <c r="CQ43" s="23">
        <f t="shared" si="29"/>
        <v>0</v>
      </c>
      <c r="CR43" s="23">
        <f t="shared" si="30"/>
        <v>0</v>
      </c>
      <c r="CS43" s="23">
        <f t="shared" si="31"/>
        <v>0</v>
      </c>
      <c r="CT43" s="23">
        <f t="shared" si="32"/>
        <v>0</v>
      </c>
      <c r="CU43" s="23">
        <f t="shared" si="33"/>
        <v>0</v>
      </c>
      <c r="CV43" s="23">
        <f t="shared" si="34"/>
        <v>0</v>
      </c>
    </row>
    <row r="44" spans="1:100" ht="13.5">
      <c r="A44" s="15">
        <v>141</v>
      </c>
      <c r="B44" s="27" t="s">
        <v>324</v>
      </c>
      <c r="C44" t="s">
        <v>164</v>
      </c>
      <c r="D44" t="s">
        <v>325</v>
      </c>
      <c r="E44" t="s">
        <v>297</v>
      </c>
      <c r="F44" t="s">
        <v>194</v>
      </c>
      <c r="G44" t="s">
        <v>195</v>
      </c>
      <c r="H44" t="s">
        <v>196</v>
      </c>
      <c r="I44" s="6" t="s">
        <v>147</v>
      </c>
      <c r="J44" s="6">
        <v>1</v>
      </c>
      <c r="K44" t="s">
        <v>298</v>
      </c>
      <c r="L44" s="15">
        <v>1</v>
      </c>
      <c r="M44" s="7">
        <v>46031</v>
      </c>
      <c r="N44" s="7">
        <v>46044</v>
      </c>
      <c r="O44" s="7">
        <v>46043</v>
      </c>
      <c r="P44" s="7">
        <v>46048</v>
      </c>
      <c r="R44" s="6" t="s">
        <v>326</v>
      </c>
      <c r="S44" s="6" t="s">
        <v>190</v>
      </c>
      <c r="U44" s="6" t="s">
        <v>191</v>
      </c>
      <c r="V44" s="6" t="str">
        <f t="shared" si="1"/>
        <v>26/01</v>
      </c>
      <c r="W44">
        <v>21367</v>
      </c>
      <c r="Y44" s="6" t="s">
        <v>192</v>
      </c>
      <c r="Z44" s="6" t="s">
        <v>193</v>
      </c>
      <c r="AD44">
        <v>8229</v>
      </c>
      <c r="AI44" s="23">
        <v>1</v>
      </c>
      <c r="AJ44" s="23">
        <v>1</v>
      </c>
      <c r="AK44" s="23">
        <v>0</v>
      </c>
      <c r="AL44" s="23">
        <v>0</v>
      </c>
      <c r="AM44" s="23">
        <v>1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1</v>
      </c>
      <c r="AV44" s="23">
        <v>0</v>
      </c>
      <c r="AW44" s="23">
        <v>0</v>
      </c>
      <c r="AX44" s="23">
        <v>1</v>
      </c>
      <c r="AY44" s="23">
        <v>0</v>
      </c>
      <c r="AZ44" s="23">
        <v>0</v>
      </c>
      <c r="BA44" s="23">
        <v>0</v>
      </c>
      <c r="BB44" s="23">
        <v>1</v>
      </c>
      <c r="BC44" s="23">
        <v>0</v>
      </c>
      <c r="BD44" s="23">
        <v>0</v>
      </c>
      <c r="BE44" s="23">
        <v>0</v>
      </c>
      <c r="BF44" s="23">
        <v>1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f t="shared" si="2"/>
        <v>1</v>
      </c>
      <c r="BQ44" s="23">
        <f t="shared" si="3"/>
        <v>1</v>
      </c>
      <c r="BR44" s="23">
        <f t="shared" si="4"/>
        <v>0</v>
      </c>
      <c r="BS44" s="23">
        <f t="shared" si="5"/>
        <v>0</v>
      </c>
      <c r="BT44" s="23">
        <f t="shared" si="6"/>
        <v>1</v>
      </c>
      <c r="BU44" s="23">
        <f t="shared" si="7"/>
        <v>0</v>
      </c>
      <c r="BV44" s="23">
        <f t="shared" si="8"/>
        <v>1</v>
      </c>
      <c r="BW44" s="23">
        <f t="shared" si="9"/>
        <v>0</v>
      </c>
      <c r="BX44" s="23">
        <f t="shared" si="10"/>
        <v>0</v>
      </c>
      <c r="BY44" s="23">
        <f t="shared" si="11"/>
        <v>0</v>
      </c>
      <c r="BZ44" s="23">
        <f t="shared" si="12"/>
        <v>1</v>
      </c>
      <c r="CA44" s="23">
        <f t="shared" si="13"/>
        <v>0</v>
      </c>
      <c r="CB44" s="23">
        <f t="shared" si="14"/>
        <v>1</v>
      </c>
      <c r="CC44" s="23">
        <f t="shared" si="15"/>
        <v>0</v>
      </c>
      <c r="CD44" s="23">
        <f t="shared" si="16"/>
        <v>0</v>
      </c>
      <c r="CE44" s="23">
        <f t="shared" si="17"/>
        <v>1</v>
      </c>
      <c r="CF44" s="23">
        <f t="shared" si="18"/>
        <v>0</v>
      </c>
      <c r="CG44" s="23">
        <f t="shared" si="19"/>
        <v>0</v>
      </c>
      <c r="CH44" s="23">
        <f t="shared" si="20"/>
        <v>0</v>
      </c>
      <c r="CI44" s="23">
        <f t="shared" si="21"/>
        <v>1</v>
      </c>
      <c r="CJ44" s="23">
        <f t="shared" si="22"/>
        <v>0</v>
      </c>
      <c r="CK44" s="23">
        <f t="shared" si="23"/>
        <v>0</v>
      </c>
      <c r="CL44" s="23">
        <f t="shared" si="24"/>
        <v>0</v>
      </c>
      <c r="CM44" s="23">
        <f t="shared" si="25"/>
        <v>1</v>
      </c>
      <c r="CN44" s="23">
        <f t="shared" si="26"/>
        <v>0</v>
      </c>
      <c r="CO44" s="23">
        <f t="shared" si="27"/>
        <v>0</v>
      </c>
      <c r="CP44" s="23">
        <f t="shared" si="28"/>
        <v>0</v>
      </c>
      <c r="CQ44" s="23">
        <f t="shared" si="29"/>
        <v>0</v>
      </c>
      <c r="CR44" s="23">
        <f t="shared" si="30"/>
        <v>0</v>
      </c>
      <c r="CS44" s="23">
        <f t="shared" si="31"/>
        <v>0</v>
      </c>
      <c r="CT44" s="23">
        <f t="shared" si="32"/>
        <v>0</v>
      </c>
      <c r="CU44" s="23">
        <f t="shared" si="33"/>
        <v>0</v>
      </c>
      <c r="CV44" s="23">
        <f t="shared" si="34"/>
        <v>0</v>
      </c>
    </row>
    <row r="45" spans="1:100" ht="13.5">
      <c r="A45" s="15">
        <v>146</v>
      </c>
      <c r="B45" s="27" t="s">
        <v>327</v>
      </c>
      <c r="C45" t="s">
        <v>164</v>
      </c>
      <c r="D45" t="s">
        <v>328</v>
      </c>
      <c r="F45" t="s">
        <v>165</v>
      </c>
      <c r="G45" t="s">
        <v>166</v>
      </c>
      <c r="H45" t="s">
        <v>167</v>
      </c>
      <c r="I45" s="6" t="s">
        <v>147</v>
      </c>
      <c r="J45" s="6">
        <v>1</v>
      </c>
      <c r="K45" t="s">
        <v>298</v>
      </c>
      <c r="L45" s="15">
        <v>1</v>
      </c>
      <c r="M45" s="7">
        <v>46035</v>
      </c>
      <c r="N45" s="7">
        <v>46045</v>
      </c>
      <c r="O45" s="7">
        <v>46044</v>
      </c>
      <c r="P45" s="7">
        <v>46049</v>
      </c>
      <c r="S45" s="6" t="s">
        <v>190</v>
      </c>
      <c r="U45" s="6" t="s">
        <v>191</v>
      </c>
      <c r="V45" s="6" t="str">
        <f t="shared" si="1"/>
        <v>26/01</v>
      </c>
      <c r="W45">
        <v>21368</v>
      </c>
      <c r="Y45" s="6" t="s">
        <v>192</v>
      </c>
      <c r="Z45" s="6" t="s">
        <v>193</v>
      </c>
      <c r="AD45">
        <v>8230</v>
      </c>
      <c r="AI45" s="23">
        <v>1</v>
      </c>
      <c r="AJ45" s="23">
        <v>1</v>
      </c>
      <c r="AK45" s="23">
        <v>0</v>
      </c>
      <c r="AL45" s="23">
        <v>0</v>
      </c>
      <c r="AM45" s="23">
        <v>1</v>
      </c>
      <c r="AN45" s="23">
        <v>0</v>
      </c>
      <c r="AO45" s="23">
        <v>1</v>
      </c>
      <c r="AP45" s="23">
        <v>0</v>
      </c>
      <c r="AQ45" s="23">
        <v>0</v>
      </c>
      <c r="AR45" s="23">
        <v>0</v>
      </c>
      <c r="AS45" s="23">
        <v>1</v>
      </c>
      <c r="AT45" s="23">
        <v>0</v>
      </c>
      <c r="AU45" s="23">
        <v>1</v>
      </c>
      <c r="AV45" s="23">
        <v>0</v>
      </c>
      <c r="AW45" s="23">
        <v>0</v>
      </c>
      <c r="AX45" s="23">
        <v>1</v>
      </c>
      <c r="AY45" s="23">
        <v>0</v>
      </c>
      <c r="AZ45" s="23">
        <v>0</v>
      </c>
      <c r="BA45" s="23">
        <v>0</v>
      </c>
      <c r="BB45" s="23">
        <v>1</v>
      </c>
      <c r="BC45" s="23">
        <v>0</v>
      </c>
      <c r="BD45" s="23">
        <v>0</v>
      </c>
      <c r="BE45" s="23">
        <v>0</v>
      </c>
      <c r="BF45" s="23">
        <v>1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f t="shared" si="2"/>
        <v>1</v>
      </c>
      <c r="BQ45" s="23">
        <f t="shared" si="3"/>
        <v>1</v>
      </c>
      <c r="BR45" s="23">
        <f t="shared" si="4"/>
        <v>0</v>
      </c>
      <c r="BS45" s="23">
        <f t="shared" si="5"/>
        <v>0</v>
      </c>
      <c r="BT45" s="23">
        <f t="shared" si="6"/>
        <v>1</v>
      </c>
      <c r="BU45" s="23">
        <f t="shared" si="7"/>
        <v>0</v>
      </c>
      <c r="BV45" s="23">
        <f t="shared" si="8"/>
        <v>1</v>
      </c>
      <c r="BW45" s="23">
        <f t="shared" si="9"/>
        <v>0</v>
      </c>
      <c r="BX45" s="23">
        <f t="shared" si="10"/>
        <v>0</v>
      </c>
      <c r="BY45" s="23">
        <f t="shared" si="11"/>
        <v>0</v>
      </c>
      <c r="BZ45" s="23">
        <f t="shared" si="12"/>
        <v>1</v>
      </c>
      <c r="CA45" s="23">
        <f t="shared" si="13"/>
        <v>0</v>
      </c>
      <c r="CB45" s="23">
        <f t="shared" si="14"/>
        <v>1</v>
      </c>
      <c r="CC45" s="23">
        <f t="shared" si="15"/>
        <v>0</v>
      </c>
      <c r="CD45" s="23">
        <f t="shared" si="16"/>
        <v>0</v>
      </c>
      <c r="CE45" s="23">
        <f t="shared" si="17"/>
        <v>1</v>
      </c>
      <c r="CF45" s="23">
        <f t="shared" si="18"/>
        <v>0</v>
      </c>
      <c r="CG45" s="23">
        <f t="shared" si="19"/>
        <v>0</v>
      </c>
      <c r="CH45" s="23">
        <f t="shared" si="20"/>
        <v>0</v>
      </c>
      <c r="CI45" s="23">
        <f t="shared" si="21"/>
        <v>1</v>
      </c>
      <c r="CJ45" s="23">
        <f t="shared" si="22"/>
        <v>0</v>
      </c>
      <c r="CK45" s="23">
        <f t="shared" si="23"/>
        <v>0</v>
      </c>
      <c r="CL45" s="23">
        <f t="shared" si="24"/>
        <v>0</v>
      </c>
      <c r="CM45" s="23">
        <f t="shared" si="25"/>
        <v>1</v>
      </c>
      <c r="CN45" s="23">
        <f t="shared" si="26"/>
        <v>0</v>
      </c>
      <c r="CO45" s="23">
        <f t="shared" si="27"/>
        <v>0</v>
      </c>
      <c r="CP45" s="23">
        <f t="shared" si="28"/>
        <v>0</v>
      </c>
      <c r="CQ45" s="23">
        <f t="shared" si="29"/>
        <v>0</v>
      </c>
      <c r="CR45" s="23">
        <f t="shared" si="30"/>
        <v>0</v>
      </c>
      <c r="CS45" s="23">
        <f t="shared" si="31"/>
        <v>0</v>
      </c>
      <c r="CT45" s="23">
        <f t="shared" si="32"/>
        <v>0</v>
      </c>
      <c r="CU45" s="23">
        <f t="shared" si="33"/>
        <v>0</v>
      </c>
      <c r="CV45" s="23">
        <f t="shared" si="34"/>
        <v>0</v>
      </c>
    </row>
    <row r="46" spans="1:100" ht="13.5">
      <c r="A46" s="15">
        <v>150</v>
      </c>
      <c r="B46" s="27" t="s">
        <v>329</v>
      </c>
      <c r="C46" t="s">
        <v>279</v>
      </c>
      <c r="D46" t="s">
        <v>330</v>
      </c>
      <c r="F46" t="s">
        <v>281</v>
      </c>
      <c r="G46" t="s">
        <v>282</v>
      </c>
      <c r="H46" t="s">
        <v>283</v>
      </c>
      <c r="I46" s="6" t="s">
        <v>147</v>
      </c>
      <c r="J46" s="6">
        <v>1</v>
      </c>
      <c r="L46" s="15">
        <v>1</v>
      </c>
      <c r="M46" s="7">
        <v>46036</v>
      </c>
      <c r="N46" s="7">
        <v>46048</v>
      </c>
      <c r="O46" s="7">
        <v>46045</v>
      </c>
      <c r="P46" s="7">
        <v>46050</v>
      </c>
      <c r="S46" s="6" t="s">
        <v>285</v>
      </c>
      <c r="U46" s="6" t="s">
        <v>191</v>
      </c>
      <c r="V46" s="6" t="str">
        <f t="shared" si="1"/>
        <v>26/01</v>
      </c>
      <c r="W46">
        <v>21369</v>
      </c>
      <c r="Y46" s="6" t="s">
        <v>286</v>
      </c>
      <c r="Z46" s="6" t="s">
        <v>193</v>
      </c>
      <c r="AE46">
        <v>1254</v>
      </c>
      <c r="AI46" s="23">
        <v>1</v>
      </c>
      <c r="AJ46" s="23">
        <v>1</v>
      </c>
      <c r="AK46" s="23">
        <v>0</v>
      </c>
      <c r="AL46" s="23">
        <v>0</v>
      </c>
      <c r="AM46" s="23">
        <v>1</v>
      </c>
      <c r="AN46" s="23">
        <v>0</v>
      </c>
      <c r="AO46" s="23">
        <v>0</v>
      </c>
      <c r="AP46" s="23">
        <v>1</v>
      </c>
      <c r="AQ46" s="23">
        <v>0</v>
      </c>
      <c r="AR46" s="23">
        <v>0</v>
      </c>
      <c r="AS46" s="23">
        <v>1</v>
      </c>
      <c r="AT46" s="23">
        <v>0</v>
      </c>
      <c r="AU46" s="23">
        <v>1</v>
      </c>
      <c r="AV46" s="23">
        <v>0</v>
      </c>
      <c r="AW46" s="23">
        <v>0</v>
      </c>
      <c r="AX46" s="23">
        <v>1</v>
      </c>
      <c r="AY46" s="23">
        <v>0</v>
      </c>
      <c r="AZ46" s="23">
        <v>0</v>
      </c>
      <c r="BA46" s="23">
        <v>0</v>
      </c>
      <c r="BB46" s="23">
        <v>1</v>
      </c>
      <c r="BC46" s="23">
        <v>0</v>
      </c>
      <c r="BD46" s="23">
        <v>0</v>
      </c>
      <c r="BE46" s="23">
        <v>0</v>
      </c>
      <c r="BF46" s="23">
        <v>1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f t="shared" si="2"/>
        <v>1</v>
      </c>
      <c r="BQ46" s="23">
        <f t="shared" si="3"/>
        <v>1</v>
      </c>
      <c r="BR46" s="23">
        <f t="shared" si="4"/>
        <v>0</v>
      </c>
      <c r="BS46" s="23">
        <f t="shared" si="5"/>
        <v>0</v>
      </c>
      <c r="BT46" s="23">
        <f t="shared" si="6"/>
        <v>1</v>
      </c>
      <c r="BU46" s="23">
        <f t="shared" si="7"/>
        <v>0</v>
      </c>
      <c r="BV46" s="23">
        <f t="shared" si="8"/>
        <v>0</v>
      </c>
      <c r="BW46" s="23">
        <f t="shared" si="9"/>
        <v>1</v>
      </c>
      <c r="BX46" s="23">
        <f t="shared" si="10"/>
        <v>0</v>
      </c>
      <c r="BY46" s="23">
        <f t="shared" si="11"/>
        <v>0</v>
      </c>
      <c r="BZ46" s="23">
        <f t="shared" si="12"/>
        <v>1</v>
      </c>
      <c r="CA46" s="23">
        <f t="shared" si="13"/>
        <v>0</v>
      </c>
      <c r="CB46" s="23">
        <f t="shared" si="14"/>
        <v>1</v>
      </c>
      <c r="CC46" s="23">
        <f t="shared" si="15"/>
        <v>0</v>
      </c>
      <c r="CD46" s="23">
        <f t="shared" si="16"/>
        <v>0</v>
      </c>
      <c r="CE46" s="23">
        <f t="shared" si="17"/>
        <v>1</v>
      </c>
      <c r="CF46" s="23">
        <f t="shared" si="18"/>
        <v>0</v>
      </c>
      <c r="CG46" s="23">
        <f t="shared" si="19"/>
        <v>0</v>
      </c>
      <c r="CH46" s="23">
        <f t="shared" si="20"/>
        <v>0</v>
      </c>
      <c r="CI46" s="23">
        <f t="shared" si="21"/>
        <v>1</v>
      </c>
      <c r="CJ46" s="23">
        <f t="shared" si="22"/>
        <v>0</v>
      </c>
      <c r="CK46" s="23">
        <f t="shared" si="23"/>
        <v>0</v>
      </c>
      <c r="CL46" s="23">
        <f t="shared" si="24"/>
        <v>0</v>
      </c>
      <c r="CM46" s="23">
        <f t="shared" si="25"/>
        <v>1</v>
      </c>
      <c r="CN46" s="23">
        <f t="shared" si="26"/>
        <v>0</v>
      </c>
      <c r="CO46" s="23">
        <f t="shared" si="27"/>
        <v>0</v>
      </c>
      <c r="CP46" s="23">
        <f t="shared" si="28"/>
        <v>0</v>
      </c>
      <c r="CQ46" s="23">
        <f t="shared" si="29"/>
        <v>0</v>
      </c>
      <c r="CR46" s="23">
        <f t="shared" si="30"/>
        <v>0</v>
      </c>
      <c r="CS46" s="23">
        <f t="shared" si="31"/>
        <v>0</v>
      </c>
      <c r="CT46" s="23">
        <f t="shared" si="32"/>
        <v>0</v>
      </c>
      <c r="CU46" s="23">
        <f t="shared" si="33"/>
        <v>0</v>
      </c>
      <c r="CV46" s="23">
        <f t="shared" si="34"/>
        <v>0</v>
      </c>
    </row>
    <row r="47" spans="1:100" ht="13.5">
      <c r="A47" s="15">
        <v>156</v>
      </c>
      <c r="B47" s="27" t="s">
        <v>332</v>
      </c>
      <c r="C47" t="s">
        <v>259</v>
      </c>
      <c r="E47" t="s">
        <v>260</v>
      </c>
      <c r="F47" t="s">
        <v>133</v>
      </c>
      <c r="G47" t="s">
        <v>260</v>
      </c>
      <c r="H47" t="s">
        <v>261</v>
      </c>
      <c r="I47" s="6" t="s">
        <v>136</v>
      </c>
      <c r="J47" s="6">
        <v>1</v>
      </c>
      <c r="L47" s="15">
        <v>1</v>
      </c>
      <c r="M47" s="7">
        <v>46043</v>
      </c>
      <c r="N47" s="7">
        <v>46055</v>
      </c>
      <c r="O47" s="7">
        <v>46052</v>
      </c>
      <c r="P47" s="7">
        <v>46052</v>
      </c>
      <c r="S47" s="6" t="s">
        <v>260</v>
      </c>
      <c r="U47" s="6" t="s">
        <v>191</v>
      </c>
      <c r="V47" s="6" t="str">
        <f t="shared" si="1"/>
        <v>26/02</v>
      </c>
      <c r="W47">
        <v>21370</v>
      </c>
      <c r="Y47" s="6" t="s">
        <v>192</v>
      </c>
      <c r="Z47" s="6" t="s">
        <v>193</v>
      </c>
      <c r="AD47">
        <v>8231</v>
      </c>
      <c r="AI47" s="23">
        <v>1</v>
      </c>
      <c r="AJ47" s="23">
        <v>1</v>
      </c>
      <c r="AK47" s="23">
        <v>0</v>
      </c>
      <c r="AL47" s="23">
        <v>0</v>
      </c>
      <c r="AM47" s="23">
        <v>1</v>
      </c>
      <c r="AN47" s="23">
        <v>0</v>
      </c>
      <c r="AO47" s="23">
        <v>1</v>
      </c>
      <c r="AP47" s="23">
        <v>0</v>
      </c>
      <c r="AQ47" s="23">
        <v>0</v>
      </c>
      <c r="AR47" s="23">
        <v>0</v>
      </c>
      <c r="AS47" s="23">
        <v>0</v>
      </c>
      <c r="AT47" s="23">
        <v>1</v>
      </c>
      <c r="AU47" s="23">
        <v>1</v>
      </c>
      <c r="AV47" s="23">
        <v>0</v>
      </c>
      <c r="AW47" s="23">
        <v>0</v>
      </c>
      <c r="AX47" s="23">
        <v>1</v>
      </c>
      <c r="AY47" s="23">
        <v>0</v>
      </c>
      <c r="AZ47" s="23">
        <v>0</v>
      </c>
      <c r="BA47" s="23">
        <v>0</v>
      </c>
      <c r="BB47" s="23">
        <v>1</v>
      </c>
      <c r="BC47" s="23">
        <v>0</v>
      </c>
      <c r="BD47" s="23">
        <v>0</v>
      </c>
      <c r="BE47" s="23">
        <v>0</v>
      </c>
      <c r="BF47" s="23">
        <v>1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f t="shared" si="2"/>
        <v>1</v>
      </c>
      <c r="BQ47" s="23">
        <f t="shared" si="3"/>
        <v>1</v>
      </c>
      <c r="BR47" s="23">
        <f t="shared" si="4"/>
        <v>0</v>
      </c>
      <c r="BS47" s="23">
        <f t="shared" si="5"/>
        <v>0</v>
      </c>
      <c r="BT47" s="23">
        <f t="shared" si="6"/>
        <v>1</v>
      </c>
      <c r="BU47" s="23">
        <f t="shared" si="7"/>
        <v>0</v>
      </c>
      <c r="BV47" s="23">
        <f t="shared" si="8"/>
        <v>1</v>
      </c>
      <c r="BW47" s="23">
        <f t="shared" si="9"/>
        <v>0</v>
      </c>
      <c r="BX47" s="23">
        <f t="shared" si="10"/>
        <v>0</v>
      </c>
      <c r="BY47" s="23">
        <f t="shared" si="11"/>
        <v>0</v>
      </c>
      <c r="BZ47" s="23">
        <f t="shared" si="12"/>
        <v>0</v>
      </c>
      <c r="CA47" s="23">
        <f t="shared" si="13"/>
        <v>1</v>
      </c>
      <c r="CB47" s="23">
        <f t="shared" si="14"/>
        <v>1</v>
      </c>
      <c r="CC47" s="23">
        <f t="shared" si="15"/>
        <v>0</v>
      </c>
      <c r="CD47" s="23">
        <f t="shared" si="16"/>
        <v>0</v>
      </c>
      <c r="CE47" s="23">
        <f t="shared" si="17"/>
        <v>1</v>
      </c>
      <c r="CF47" s="23">
        <f t="shared" si="18"/>
        <v>0</v>
      </c>
      <c r="CG47" s="23">
        <f t="shared" si="19"/>
        <v>0</v>
      </c>
      <c r="CH47" s="23">
        <f t="shared" si="20"/>
        <v>0</v>
      </c>
      <c r="CI47" s="23">
        <f t="shared" si="21"/>
        <v>1</v>
      </c>
      <c r="CJ47" s="23">
        <f t="shared" si="22"/>
        <v>0</v>
      </c>
      <c r="CK47" s="23">
        <f t="shared" si="23"/>
        <v>0</v>
      </c>
      <c r="CL47" s="23">
        <f t="shared" si="24"/>
        <v>0</v>
      </c>
      <c r="CM47" s="23">
        <f t="shared" si="25"/>
        <v>1</v>
      </c>
      <c r="CN47" s="23">
        <f t="shared" si="26"/>
        <v>0</v>
      </c>
      <c r="CO47" s="23">
        <f t="shared" si="27"/>
        <v>0</v>
      </c>
      <c r="CP47" s="23">
        <f t="shared" si="28"/>
        <v>0</v>
      </c>
      <c r="CQ47" s="23">
        <f t="shared" si="29"/>
        <v>0</v>
      </c>
      <c r="CR47" s="23">
        <f t="shared" si="30"/>
        <v>0</v>
      </c>
      <c r="CS47" s="23">
        <f t="shared" si="31"/>
        <v>0</v>
      </c>
      <c r="CT47" s="23">
        <f t="shared" si="32"/>
        <v>0</v>
      </c>
      <c r="CU47" s="23">
        <f t="shared" si="33"/>
        <v>0</v>
      </c>
      <c r="CV47" s="23">
        <f t="shared" si="34"/>
        <v>0</v>
      </c>
    </row>
    <row r="48" spans="1:100" ht="13.5">
      <c r="A48" s="15">
        <v>155</v>
      </c>
      <c r="B48" s="27" t="s">
        <v>331</v>
      </c>
      <c r="C48" t="s">
        <v>259</v>
      </c>
      <c r="E48" t="s">
        <v>260</v>
      </c>
      <c r="F48" t="s">
        <v>133</v>
      </c>
      <c r="G48" t="s">
        <v>260</v>
      </c>
      <c r="H48" t="s">
        <v>261</v>
      </c>
      <c r="I48" s="6" t="s">
        <v>136</v>
      </c>
      <c r="J48" s="6">
        <v>1</v>
      </c>
      <c r="L48" s="15">
        <v>1</v>
      </c>
      <c r="M48" s="7">
        <v>46043</v>
      </c>
      <c r="N48" s="7">
        <v>46055</v>
      </c>
      <c r="O48" s="7">
        <v>46052</v>
      </c>
      <c r="P48" s="7">
        <v>46052</v>
      </c>
      <c r="S48" s="6" t="s">
        <v>260</v>
      </c>
      <c r="U48" s="6" t="s">
        <v>191</v>
      </c>
      <c r="V48" s="6" t="str">
        <f t="shared" si="1"/>
        <v>26/02</v>
      </c>
      <c r="W48">
        <v>21371</v>
      </c>
      <c r="Y48" s="6" t="s">
        <v>192</v>
      </c>
      <c r="Z48" s="6" t="s">
        <v>193</v>
      </c>
      <c r="AD48">
        <v>8232</v>
      </c>
      <c r="AI48" s="23">
        <v>1</v>
      </c>
      <c r="AJ48" s="23">
        <v>1</v>
      </c>
      <c r="AK48" s="23">
        <v>0</v>
      </c>
      <c r="AL48" s="23">
        <v>0</v>
      </c>
      <c r="AM48" s="23">
        <v>1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1</v>
      </c>
      <c r="AU48" s="23">
        <v>1</v>
      </c>
      <c r="AV48" s="23">
        <v>0</v>
      </c>
      <c r="AW48" s="23">
        <v>0</v>
      </c>
      <c r="AX48" s="23">
        <v>1</v>
      </c>
      <c r="AY48" s="23">
        <v>0</v>
      </c>
      <c r="AZ48" s="23">
        <v>0</v>
      </c>
      <c r="BA48" s="23">
        <v>0</v>
      </c>
      <c r="BB48" s="23">
        <v>1</v>
      </c>
      <c r="BC48" s="23">
        <v>0</v>
      </c>
      <c r="BD48" s="23">
        <v>0</v>
      </c>
      <c r="BE48" s="23">
        <v>0</v>
      </c>
      <c r="BF48" s="23">
        <v>1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f t="shared" si="2"/>
        <v>1</v>
      </c>
      <c r="BQ48" s="23">
        <f t="shared" si="3"/>
        <v>1</v>
      </c>
      <c r="BR48" s="23">
        <f t="shared" si="4"/>
        <v>0</v>
      </c>
      <c r="BS48" s="23">
        <f t="shared" si="5"/>
        <v>0</v>
      </c>
      <c r="BT48" s="23">
        <f t="shared" si="6"/>
        <v>1</v>
      </c>
      <c r="BU48" s="23">
        <f t="shared" si="7"/>
        <v>0</v>
      </c>
      <c r="BV48" s="23">
        <f t="shared" si="8"/>
        <v>1</v>
      </c>
      <c r="BW48" s="23">
        <f t="shared" si="9"/>
        <v>0</v>
      </c>
      <c r="BX48" s="23">
        <f t="shared" si="10"/>
        <v>0</v>
      </c>
      <c r="BY48" s="23">
        <f t="shared" si="11"/>
        <v>0</v>
      </c>
      <c r="BZ48" s="23">
        <f t="shared" si="12"/>
        <v>0</v>
      </c>
      <c r="CA48" s="23">
        <f t="shared" si="13"/>
        <v>1</v>
      </c>
      <c r="CB48" s="23">
        <f t="shared" si="14"/>
        <v>1</v>
      </c>
      <c r="CC48" s="23">
        <f t="shared" si="15"/>
        <v>0</v>
      </c>
      <c r="CD48" s="23">
        <f t="shared" si="16"/>
        <v>0</v>
      </c>
      <c r="CE48" s="23">
        <f t="shared" si="17"/>
        <v>1</v>
      </c>
      <c r="CF48" s="23">
        <f t="shared" si="18"/>
        <v>0</v>
      </c>
      <c r="CG48" s="23">
        <f t="shared" si="19"/>
        <v>0</v>
      </c>
      <c r="CH48" s="23">
        <f t="shared" si="20"/>
        <v>0</v>
      </c>
      <c r="CI48" s="23">
        <f t="shared" si="21"/>
        <v>1</v>
      </c>
      <c r="CJ48" s="23">
        <f t="shared" si="22"/>
        <v>0</v>
      </c>
      <c r="CK48" s="23">
        <f t="shared" si="23"/>
        <v>0</v>
      </c>
      <c r="CL48" s="23">
        <f t="shared" si="24"/>
        <v>0</v>
      </c>
      <c r="CM48" s="23">
        <f t="shared" si="25"/>
        <v>1</v>
      </c>
      <c r="CN48" s="23">
        <f t="shared" si="26"/>
        <v>0</v>
      </c>
      <c r="CO48" s="23">
        <f t="shared" si="27"/>
        <v>0</v>
      </c>
      <c r="CP48" s="23">
        <f t="shared" si="28"/>
        <v>0</v>
      </c>
      <c r="CQ48" s="23">
        <f t="shared" si="29"/>
        <v>0</v>
      </c>
      <c r="CR48" s="23">
        <f t="shared" si="30"/>
        <v>0</v>
      </c>
      <c r="CS48" s="23">
        <f t="shared" si="31"/>
        <v>0</v>
      </c>
      <c r="CT48" s="23">
        <f t="shared" si="32"/>
        <v>0</v>
      </c>
      <c r="CU48" s="23">
        <f t="shared" si="33"/>
        <v>0</v>
      </c>
      <c r="CV48" s="23">
        <f t="shared" si="34"/>
        <v>0</v>
      </c>
    </row>
    <row r="49" spans="1:100" ht="13.5">
      <c r="A49" s="15">
        <v>166</v>
      </c>
      <c r="B49" s="27" t="s">
        <v>333</v>
      </c>
      <c r="C49" t="s">
        <v>164</v>
      </c>
      <c r="D49" t="s">
        <v>334</v>
      </c>
      <c r="F49" t="s">
        <v>186</v>
      </c>
      <c r="G49" t="s">
        <v>187</v>
      </c>
      <c r="H49" t="s">
        <v>188</v>
      </c>
      <c r="I49" s="6" t="s">
        <v>147</v>
      </c>
      <c r="J49" s="6">
        <v>1</v>
      </c>
      <c r="K49" t="s">
        <v>189</v>
      </c>
      <c r="L49" s="15">
        <v>1</v>
      </c>
      <c r="M49" s="7">
        <v>46044</v>
      </c>
      <c r="N49" s="7">
        <v>46056</v>
      </c>
      <c r="O49" s="7">
        <v>46055</v>
      </c>
      <c r="P49" s="7">
        <v>46058</v>
      </c>
      <c r="S49" s="6" t="s">
        <v>190</v>
      </c>
      <c r="U49" s="6" t="s">
        <v>191</v>
      </c>
      <c r="V49" s="6" t="str">
        <f t="shared" si="1"/>
        <v>26/02</v>
      </c>
      <c r="W49">
        <v>21372</v>
      </c>
      <c r="Y49" s="6" t="s">
        <v>192</v>
      </c>
      <c r="Z49" s="6" t="s">
        <v>193</v>
      </c>
      <c r="AD49">
        <v>8233</v>
      </c>
      <c r="AI49" s="23">
        <v>1</v>
      </c>
      <c r="AJ49" s="23">
        <v>1</v>
      </c>
      <c r="AK49" s="23">
        <v>0</v>
      </c>
      <c r="AL49" s="23">
        <v>0</v>
      </c>
      <c r="AM49" s="23">
        <v>1</v>
      </c>
      <c r="AN49" s="23">
        <v>0</v>
      </c>
      <c r="AO49" s="23">
        <v>1</v>
      </c>
      <c r="AP49" s="23">
        <v>0</v>
      </c>
      <c r="AQ49" s="23">
        <v>0</v>
      </c>
      <c r="AR49" s="23">
        <v>0</v>
      </c>
      <c r="AS49" s="23">
        <v>1</v>
      </c>
      <c r="AT49" s="23">
        <v>0</v>
      </c>
      <c r="AU49" s="23">
        <v>1</v>
      </c>
      <c r="AV49" s="23">
        <v>0</v>
      </c>
      <c r="AW49" s="23">
        <v>0</v>
      </c>
      <c r="AX49" s="23">
        <v>1</v>
      </c>
      <c r="AY49" s="23">
        <v>0</v>
      </c>
      <c r="AZ49" s="23">
        <v>0</v>
      </c>
      <c r="BA49" s="23">
        <v>0</v>
      </c>
      <c r="BB49" s="23">
        <v>1</v>
      </c>
      <c r="BC49" s="23">
        <v>0</v>
      </c>
      <c r="BD49" s="23">
        <v>0</v>
      </c>
      <c r="BE49" s="23">
        <v>0</v>
      </c>
      <c r="BF49" s="23">
        <v>1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f t="shared" si="2"/>
        <v>1</v>
      </c>
      <c r="BQ49" s="23">
        <f t="shared" si="3"/>
        <v>1</v>
      </c>
      <c r="BR49" s="23">
        <f t="shared" si="4"/>
        <v>0</v>
      </c>
      <c r="BS49" s="23">
        <f t="shared" si="5"/>
        <v>0</v>
      </c>
      <c r="BT49" s="23">
        <f t="shared" si="6"/>
        <v>1</v>
      </c>
      <c r="BU49" s="23">
        <f t="shared" si="7"/>
        <v>0</v>
      </c>
      <c r="BV49" s="23">
        <f t="shared" si="8"/>
        <v>1</v>
      </c>
      <c r="BW49" s="23">
        <f t="shared" si="9"/>
        <v>0</v>
      </c>
      <c r="BX49" s="23">
        <f t="shared" si="10"/>
        <v>0</v>
      </c>
      <c r="BY49" s="23">
        <f t="shared" si="11"/>
        <v>0</v>
      </c>
      <c r="BZ49" s="23">
        <f t="shared" si="12"/>
        <v>1</v>
      </c>
      <c r="CA49" s="23">
        <f t="shared" si="13"/>
        <v>0</v>
      </c>
      <c r="CB49" s="23">
        <f t="shared" si="14"/>
        <v>1</v>
      </c>
      <c r="CC49" s="23">
        <f t="shared" si="15"/>
        <v>0</v>
      </c>
      <c r="CD49" s="23">
        <f t="shared" si="16"/>
        <v>0</v>
      </c>
      <c r="CE49" s="23">
        <f t="shared" si="17"/>
        <v>1</v>
      </c>
      <c r="CF49" s="23">
        <f t="shared" si="18"/>
        <v>0</v>
      </c>
      <c r="CG49" s="23">
        <f t="shared" si="19"/>
        <v>0</v>
      </c>
      <c r="CH49" s="23">
        <f t="shared" si="20"/>
        <v>0</v>
      </c>
      <c r="CI49" s="23">
        <f t="shared" si="21"/>
        <v>1</v>
      </c>
      <c r="CJ49" s="23">
        <f t="shared" si="22"/>
        <v>0</v>
      </c>
      <c r="CK49" s="23">
        <f t="shared" si="23"/>
        <v>0</v>
      </c>
      <c r="CL49" s="23">
        <f t="shared" si="24"/>
        <v>0</v>
      </c>
      <c r="CM49" s="23">
        <f t="shared" si="25"/>
        <v>1</v>
      </c>
      <c r="CN49" s="23">
        <f t="shared" si="26"/>
        <v>0</v>
      </c>
      <c r="CO49" s="23">
        <f t="shared" si="27"/>
        <v>0</v>
      </c>
      <c r="CP49" s="23">
        <f t="shared" si="28"/>
        <v>0</v>
      </c>
      <c r="CQ49" s="23">
        <f t="shared" si="29"/>
        <v>0</v>
      </c>
      <c r="CR49" s="23">
        <f t="shared" si="30"/>
        <v>0</v>
      </c>
      <c r="CS49" s="23">
        <f t="shared" si="31"/>
        <v>0</v>
      </c>
      <c r="CT49" s="23">
        <f t="shared" si="32"/>
        <v>0</v>
      </c>
      <c r="CU49" s="23">
        <f t="shared" si="33"/>
        <v>0</v>
      </c>
      <c r="CV49" s="23">
        <f t="shared" si="34"/>
        <v>0</v>
      </c>
    </row>
    <row r="50" spans="1:100" ht="13.5">
      <c r="A50" s="15">
        <v>174</v>
      </c>
      <c r="B50" s="27" t="s">
        <v>335</v>
      </c>
      <c r="C50" t="s">
        <v>151</v>
      </c>
      <c r="D50" t="s">
        <v>336</v>
      </c>
      <c r="E50" t="s">
        <v>198</v>
      </c>
      <c r="F50" t="s">
        <v>337</v>
      </c>
      <c r="G50" t="s">
        <v>338</v>
      </c>
      <c r="H50" t="s">
        <v>339</v>
      </c>
      <c r="I50" s="6" t="s">
        <v>147</v>
      </c>
      <c r="J50" s="6">
        <v>0</v>
      </c>
      <c r="L50" s="15">
        <v>1</v>
      </c>
      <c r="M50" s="7">
        <v>46051</v>
      </c>
      <c r="N50" s="7">
        <v>46063</v>
      </c>
      <c r="O50" s="7">
        <v>46062</v>
      </c>
      <c r="P50" s="7">
        <v>46066</v>
      </c>
      <c r="S50" s="6" t="s">
        <v>199</v>
      </c>
      <c r="U50" s="6" t="s">
        <v>191</v>
      </c>
      <c r="V50" s="6" t="str">
        <f t="shared" si="1"/>
        <v>26/02</v>
      </c>
      <c r="W50">
        <v>21373</v>
      </c>
      <c r="Y50" s="6" t="s">
        <v>200</v>
      </c>
      <c r="Z50" s="6" t="s">
        <v>193</v>
      </c>
      <c r="AG50">
        <v>3532</v>
      </c>
      <c r="AI50" s="23">
        <v>1</v>
      </c>
      <c r="AJ50" s="23">
        <v>1</v>
      </c>
      <c r="AK50" s="23">
        <v>0</v>
      </c>
      <c r="AL50" s="23">
        <v>0</v>
      </c>
      <c r="AM50" s="23">
        <v>1</v>
      </c>
      <c r="AN50" s="23">
        <v>0</v>
      </c>
      <c r="AO50" s="23">
        <v>0</v>
      </c>
      <c r="AP50" s="23">
        <v>0</v>
      </c>
      <c r="AQ50" s="23">
        <v>1</v>
      </c>
      <c r="AR50" s="23">
        <v>0</v>
      </c>
      <c r="AS50" s="23">
        <v>1</v>
      </c>
      <c r="AT50" s="23">
        <v>0</v>
      </c>
      <c r="AU50" s="23">
        <v>0</v>
      </c>
      <c r="AV50" s="23">
        <v>0</v>
      </c>
      <c r="AW50" s="23">
        <v>1</v>
      </c>
      <c r="AX50" s="23">
        <v>0</v>
      </c>
      <c r="AY50" s="23">
        <v>0</v>
      </c>
      <c r="AZ50" s="23">
        <v>0</v>
      </c>
      <c r="BA50" s="23">
        <v>1</v>
      </c>
      <c r="BB50" s="23">
        <v>0</v>
      </c>
      <c r="BC50" s="23">
        <v>0</v>
      </c>
      <c r="BD50" s="23">
        <v>0</v>
      </c>
      <c r="BE50" s="23">
        <v>1</v>
      </c>
      <c r="BF50" s="23">
        <v>1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f t="shared" si="2"/>
        <v>1</v>
      </c>
      <c r="BQ50" s="23">
        <f t="shared" si="3"/>
        <v>1</v>
      </c>
      <c r="BR50" s="23">
        <f t="shared" si="4"/>
        <v>0</v>
      </c>
      <c r="BS50" s="23">
        <f t="shared" si="5"/>
        <v>0</v>
      </c>
      <c r="BT50" s="23">
        <f t="shared" si="6"/>
        <v>1</v>
      </c>
      <c r="BU50" s="23">
        <f t="shared" si="7"/>
        <v>0</v>
      </c>
      <c r="BV50" s="23">
        <f t="shared" si="8"/>
        <v>0</v>
      </c>
      <c r="BW50" s="23">
        <f t="shared" si="9"/>
        <v>0</v>
      </c>
      <c r="BX50" s="23">
        <f t="shared" si="10"/>
        <v>1</v>
      </c>
      <c r="BY50" s="23">
        <f t="shared" si="11"/>
        <v>0</v>
      </c>
      <c r="BZ50" s="23">
        <f t="shared" si="12"/>
        <v>1</v>
      </c>
      <c r="CA50" s="23">
        <f t="shared" si="13"/>
        <v>0</v>
      </c>
      <c r="CB50" s="23">
        <f t="shared" si="14"/>
        <v>0</v>
      </c>
      <c r="CC50" s="23">
        <f t="shared" si="15"/>
        <v>0</v>
      </c>
      <c r="CD50" s="23">
        <f t="shared" si="16"/>
        <v>1</v>
      </c>
      <c r="CE50" s="23">
        <f t="shared" si="17"/>
        <v>0</v>
      </c>
      <c r="CF50" s="23">
        <f t="shared" si="18"/>
        <v>0</v>
      </c>
      <c r="CG50" s="23">
        <f t="shared" si="19"/>
        <v>0</v>
      </c>
      <c r="CH50" s="23">
        <f t="shared" si="20"/>
        <v>1</v>
      </c>
      <c r="CI50" s="23">
        <f t="shared" si="21"/>
        <v>0</v>
      </c>
      <c r="CJ50" s="23">
        <f t="shared" si="22"/>
        <v>0</v>
      </c>
      <c r="CK50" s="23">
        <f t="shared" si="23"/>
        <v>0</v>
      </c>
      <c r="CL50" s="23">
        <f t="shared" si="24"/>
        <v>1</v>
      </c>
      <c r="CM50" s="23">
        <f t="shared" si="25"/>
        <v>1</v>
      </c>
      <c r="CN50" s="23">
        <f t="shared" si="26"/>
        <v>0</v>
      </c>
      <c r="CO50" s="23">
        <f t="shared" si="27"/>
        <v>0</v>
      </c>
      <c r="CP50" s="23">
        <f t="shared" si="28"/>
        <v>0</v>
      </c>
      <c r="CQ50" s="23">
        <f t="shared" si="29"/>
        <v>0</v>
      </c>
      <c r="CR50" s="23">
        <f t="shared" si="30"/>
        <v>0</v>
      </c>
      <c r="CS50" s="23">
        <f t="shared" si="31"/>
        <v>0</v>
      </c>
      <c r="CT50" s="23">
        <f t="shared" si="32"/>
        <v>0</v>
      </c>
      <c r="CU50" s="23">
        <f t="shared" si="33"/>
        <v>0</v>
      </c>
      <c r="CV50" s="23">
        <f t="shared" si="34"/>
        <v>0</v>
      </c>
    </row>
    <row r="51" spans="1:100" ht="13.5">
      <c r="A51" s="15">
        <v>179</v>
      </c>
      <c r="B51" s="27" t="s">
        <v>340</v>
      </c>
      <c r="C51" t="s">
        <v>279</v>
      </c>
      <c r="D51" t="s">
        <v>341</v>
      </c>
      <c r="E51" t="s">
        <v>342</v>
      </c>
      <c r="F51" t="s">
        <v>133</v>
      </c>
      <c r="G51" t="s">
        <v>342</v>
      </c>
      <c r="H51" t="s">
        <v>343</v>
      </c>
      <c r="I51" s="6" t="s">
        <v>136</v>
      </c>
      <c r="J51" s="6">
        <v>0</v>
      </c>
      <c r="L51" s="15">
        <v>1</v>
      </c>
      <c r="M51" s="7">
        <v>46058</v>
      </c>
      <c r="N51" s="7">
        <v>46071</v>
      </c>
      <c r="O51" s="7">
        <v>46070</v>
      </c>
      <c r="P51" s="7">
        <v>46070</v>
      </c>
      <c r="S51" s="6" t="s">
        <v>342</v>
      </c>
      <c r="U51" s="6" t="s">
        <v>191</v>
      </c>
      <c r="V51" s="6" t="str">
        <f t="shared" si="1"/>
        <v>26/02</v>
      </c>
      <c r="W51">
        <v>21374</v>
      </c>
      <c r="Y51" s="6" t="s">
        <v>286</v>
      </c>
      <c r="Z51" s="6" t="s">
        <v>193</v>
      </c>
      <c r="AE51">
        <v>1255</v>
      </c>
      <c r="AI51" s="23">
        <v>1</v>
      </c>
      <c r="AJ51" s="23">
        <v>1</v>
      </c>
      <c r="AK51" s="23">
        <v>0</v>
      </c>
      <c r="AL51" s="23">
        <v>0</v>
      </c>
      <c r="AM51" s="23">
        <v>1</v>
      </c>
      <c r="AN51" s="23">
        <v>0</v>
      </c>
      <c r="AO51" s="23">
        <v>0</v>
      </c>
      <c r="AP51" s="23">
        <v>1</v>
      </c>
      <c r="AQ51" s="23">
        <v>0</v>
      </c>
      <c r="AR51" s="23">
        <v>0</v>
      </c>
      <c r="AS51" s="23">
        <v>1</v>
      </c>
      <c r="AT51" s="23">
        <v>0</v>
      </c>
      <c r="AU51" s="23">
        <v>1</v>
      </c>
      <c r="AV51" s="23">
        <v>0</v>
      </c>
      <c r="AW51" s="23">
        <v>0</v>
      </c>
      <c r="AX51" s="23">
        <v>1</v>
      </c>
      <c r="AY51" s="23">
        <v>0</v>
      </c>
      <c r="AZ51" s="23">
        <v>0</v>
      </c>
      <c r="BA51" s="23">
        <v>0</v>
      </c>
      <c r="BB51" s="23">
        <v>1</v>
      </c>
      <c r="BC51" s="23">
        <v>0</v>
      </c>
      <c r="BD51" s="23">
        <v>0</v>
      </c>
      <c r="BE51" s="23">
        <v>0</v>
      </c>
      <c r="BF51" s="23">
        <v>1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f t="shared" si="2"/>
        <v>1</v>
      </c>
      <c r="BQ51" s="23">
        <f t="shared" si="3"/>
        <v>1</v>
      </c>
      <c r="BR51" s="23">
        <f t="shared" si="4"/>
        <v>0</v>
      </c>
      <c r="BS51" s="23">
        <f t="shared" si="5"/>
        <v>0</v>
      </c>
      <c r="BT51" s="23">
        <f t="shared" si="6"/>
        <v>1</v>
      </c>
      <c r="BU51" s="23">
        <f t="shared" si="7"/>
        <v>0</v>
      </c>
      <c r="BV51" s="23">
        <f t="shared" si="8"/>
        <v>0</v>
      </c>
      <c r="BW51" s="23">
        <f t="shared" si="9"/>
        <v>1</v>
      </c>
      <c r="BX51" s="23">
        <f t="shared" si="10"/>
        <v>0</v>
      </c>
      <c r="BY51" s="23">
        <f t="shared" si="11"/>
        <v>0</v>
      </c>
      <c r="BZ51" s="23">
        <f t="shared" si="12"/>
        <v>1</v>
      </c>
      <c r="CA51" s="23">
        <f t="shared" si="13"/>
        <v>0</v>
      </c>
      <c r="CB51" s="23">
        <f t="shared" si="14"/>
        <v>1</v>
      </c>
      <c r="CC51" s="23">
        <f t="shared" si="15"/>
        <v>0</v>
      </c>
      <c r="CD51" s="23">
        <f t="shared" si="16"/>
        <v>0</v>
      </c>
      <c r="CE51" s="23">
        <f t="shared" si="17"/>
        <v>1</v>
      </c>
      <c r="CF51" s="23">
        <f t="shared" si="18"/>
        <v>0</v>
      </c>
      <c r="CG51" s="23">
        <f t="shared" si="19"/>
        <v>0</v>
      </c>
      <c r="CH51" s="23">
        <f t="shared" si="20"/>
        <v>0</v>
      </c>
      <c r="CI51" s="23">
        <f t="shared" si="21"/>
        <v>1</v>
      </c>
      <c r="CJ51" s="23">
        <f t="shared" si="22"/>
        <v>0</v>
      </c>
      <c r="CK51" s="23">
        <f t="shared" si="23"/>
        <v>0</v>
      </c>
      <c r="CL51" s="23">
        <f t="shared" si="24"/>
        <v>0</v>
      </c>
      <c r="CM51" s="23">
        <f t="shared" si="25"/>
        <v>1</v>
      </c>
      <c r="CN51" s="23">
        <f t="shared" si="26"/>
        <v>0</v>
      </c>
      <c r="CO51" s="23">
        <f t="shared" si="27"/>
        <v>0</v>
      </c>
      <c r="CP51" s="23">
        <f t="shared" si="28"/>
        <v>0</v>
      </c>
      <c r="CQ51" s="23">
        <f t="shared" si="29"/>
        <v>0</v>
      </c>
      <c r="CR51" s="23">
        <f t="shared" si="30"/>
        <v>0</v>
      </c>
      <c r="CS51" s="23">
        <f t="shared" si="31"/>
        <v>0</v>
      </c>
      <c r="CT51" s="23">
        <f t="shared" si="32"/>
        <v>0</v>
      </c>
      <c r="CU51" s="23">
        <f t="shared" si="33"/>
        <v>0</v>
      </c>
      <c r="CV51" s="23">
        <f t="shared" si="34"/>
        <v>0</v>
      </c>
    </row>
    <row r="52" spans="1:100" ht="13.5">
      <c r="A52" s="15">
        <v>180</v>
      </c>
      <c r="B52" s="27" t="s">
        <v>344</v>
      </c>
      <c r="C52" t="s">
        <v>345</v>
      </c>
      <c r="D52" t="s">
        <v>346</v>
      </c>
      <c r="E52" t="s">
        <v>342</v>
      </c>
      <c r="F52" t="s">
        <v>133</v>
      </c>
      <c r="G52" t="s">
        <v>342</v>
      </c>
      <c r="H52" t="s">
        <v>343</v>
      </c>
      <c r="I52" s="6" t="s">
        <v>136</v>
      </c>
      <c r="J52" s="6">
        <v>0</v>
      </c>
      <c r="L52" s="15">
        <v>1</v>
      </c>
      <c r="M52" s="7">
        <v>46059</v>
      </c>
      <c r="N52" s="7">
        <v>46072</v>
      </c>
      <c r="O52" s="7">
        <v>46071</v>
      </c>
      <c r="P52" s="7">
        <v>46071</v>
      </c>
      <c r="S52" s="6" t="s">
        <v>342</v>
      </c>
      <c r="U52" s="6" t="s">
        <v>191</v>
      </c>
      <c r="V52" s="6" t="str">
        <f t="shared" si="1"/>
        <v>26/02</v>
      </c>
      <c r="W52">
        <v>21375</v>
      </c>
      <c r="Y52" s="6" t="s">
        <v>286</v>
      </c>
      <c r="Z52" s="6" t="s">
        <v>193</v>
      </c>
      <c r="AE52">
        <v>1256</v>
      </c>
      <c r="AI52" s="23">
        <v>1</v>
      </c>
      <c r="AJ52" s="23">
        <v>1</v>
      </c>
      <c r="AK52" s="23">
        <v>0</v>
      </c>
      <c r="AL52" s="23">
        <v>0</v>
      </c>
      <c r="AM52" s="23">
        <v>1</v>
      </c>
      <c r="AN52" s="23">
        <v>0</v>
      </c>
      <c r="AO52" s="23">
        <v>0</v>
      </c>
      <c r="AP52" s="23">
        <v>1</v>
      </c>
      <c r="AQ52" s="23">
        <v>0</v>
      </c>
      <c r="AR52" s="23">
        <v>0</v>
      </c>
      <c r="AS52" s="23">
        <v>1</v>
      </c>
      <c r="AT52" s="23">
        <v>0</v>
      </c>
      <c r="AU52" s="23">
        <v>1</v>
      </c>
      <c r="AV52" s="23">
        <v>0</v>
      </c>
      <c r="AW52" s="23">
        <v>0</v>
      </c>
      <c r="AX52" s="23">
        <v>1</v>
      </c>
      <c r="AY52" s="23">
        <v>0</v>
      </c>
      <c r="AZ52" s="23">
        <v>0</v>
      </c>
      <c r="BA52" s="23">
        <v>0</v>
      </c>
      <c r="BB52" s="23">
        <v>1</v>
      </c>
      <c r="BC52" s="23">
        <v>0</v>
      </c>
      <c r="BD52" s="23">
        <v>0</v>
      </c>
      <c r="BE52" s="23">
        <v>0</v>
      </c>
      <c r="BF52" s="23">
        <v>1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f t="shared" si="2"/>
        <v>1</v>
      </c>
      <c r="BQ52" s="23">
        <f t="shared" si="3"/>
        <v>1</v>
      </c>
      <c r="BR52" s="23">
        <f t="shared" si="4"/>
        <v>0</v>
      </c>
      <c r="BS52" s="23">
        <f t="shared" si="5"/>
        <v>0</v>
      </c>
      <c r="BT52" s="23">
        <f t="shared" si="6"/>
        <v>1</v>
      </c>
      <c r="BU52" s="23">
        <f t="shared" si="7"/>
        <v>0</v>
      </c>
      <c r="BV52" s="23">
        <f t="shared" si="8"/>
        <v>0</v>
      </c>
      <c r="BW52" s="23">
        <f t="shared" si="9"/>
        <v>1</v>
      </c>
      <c r="BX52" s="23">
        <f t="shared" si="10"/>
        <v>0</v>
      </c>
      <c r="BY52" s="23">
        <f t="shared" si="11"/>
        <v>0</v>
      </c>
      <c r="BZ52" s="23">
        <f t="shared" si="12"/>
        <v>1</v>
      </c>
      <c r="CA52" s="23">
        <f t="shared" si="13"/>
        <v>0</v>
      </c>
      <c r="CB52" s="23">
        <f t="shared" si="14"/>
        <v>1</v>
      </c>
      <c r="CC52" s="23">
        <f t="shared" si="15"/>
        <v>0</v>
      </c>
      <c r="CD52" s="23">
        <f t="shared" si="16"/>
        <v>0</v>
      </c>
      <c r="CE52" s="23">
        <f t="shared" si="17"/>
        <v>1</v>
      </c>
      <c r="CF52" s="23">
        <f t="shared" si="18"/>
        <v>0</v>
      </c>
      <c r="CG52" s="23">
        <f t="shared" si="19"/>
        <v>0</v>
      </c>
      <c r="CH52" s="23">
        <f t="shared" si="20"/>
        <v>0</v>
      </c>
      <c r="CI52" s="23">
        <f t="shared" si="21"/>
        <v>1</v>
      </c>
      <c r="CJ52" s="23">
        <f t="shared" si="22"/>
        <v>0</v>
      </c>
      <c r="CK52" s="23">
        <f t="shared" si="23"/>
        <v>0</v>
      </c>
      <c r="CL52" s="23">
        <f t="shared" si="24"/>
        <v>0</v>
      </c>
      <c r="CM52" s="23">
        <f t="shared" si="25"/>
        <v>1</v>
      </c>
      <c r="CN52" s="23">
        <f t="shared" si="26"/>
        <v>0</v>
      </c>
      <c r="CO52" s="23">
        <f t="shared" si="27"/>
        <v>0</v>
      </c>
      <c r="CP52" s="23">
        <f t="shared" si="28"/>
        <v>0</v>
      </c>
      <c r="CQ52" s="23">
        <f t="shared" si="29"/>
        <v>0</v>
      </c>
      <c r="CR52" s="23">
        <f t="shared" si="30"/>
        <v>0</v>
      </c>
      <c r="CS52" s="23">
        <f t="shared" si="31"/>
        <v>0</v>
      </c>
      <c r="CT52" s="23">
        <f t="shared" si="32"/>
        <v>0</v>
      </c>
      <c r="CU52" s="23">
        <f t="shared" si="33"/>
        <v>0</v>
      </c>
      <c r="CV52" s="23">
        <f t="shared" si="34"/>
        <v>0</v>
      </c>
    </row>
    <row r="53" spans="1:100" ht="13.5">
      <c r="A53" s="15">
        <v>183</v>
      </c>
      <c r="B53" s="27" t="s">
        <v>347</v>
      </c>
      <c r="C53" t="s">
        <v>208</v>
      </c>
      <c r="E53" t="s">
        <v>134</v>
      </c>
      <c r="F53" t="s">
        <v>133</v>
      </c>
      <c r="G53" t="s">
        <v>134</v>
      </c>
      <c r="H53" t="s">
        <v>209</v>
      </c>
      <c r="I53" s="6" t="s">
        <v>136</v>
      </c>
      <c r="J53" s="6">
        <v>1</v>
      </c>
      <c r="L53" s="15">
        <v>1</v>
      </c>
      <c r="M53" s="7">
        <v>46072</v>
      </c>
      <c r="N53" s="7">
        <v>46085</v>
      </c>
      <c r="O53" s="7">
        <v>46084</v>
      </c>
      <c r="P53" s="7">
        <v>46084</v>
      </c>
      <c r="S53" s="6" t="s">
        <v>134</v>
      </c>
      <c r="U53" s="6" t="s">
        <v>191</v>
      </c>
      <c r="V53" s="6" t="str">
        <f t="shared" si="1"/>
        <v>26/03</v>
      </c>
      <c r="W53">
        <v>21376</v>
      </c>
      <c r="Y53" s="6" t="s">
        <v>211</v>
      </c>
      <c r="Z53" s="6" t="s">
        <v>212</v>
      </c>
      <c r="AA53">
        <v>3220</v>
      </c>
      <c r="AI53" s="23">
        <v>1</v>
      </c>
      <c r="AJ53" s="23">
        <v>1</v>
      </c>
      <c r="AK53" s="23">
        <v>0</v>
      </c>
      <c r="AL53" s="23">
        <v>0</v>
      </c>
      <c r="AM53" s="23">
        <v>1</v>
      </c>
      <c r="AN53" s="23">
        <v>0</v>
      </c>
      <c r="AO53" s="23">
        <v>1</v>
      </c>
      <c r="AP53" s="23">
        <v>0</v>
      </c>
      <c r="AQ53" s="23">
        <v>0</v>
      </c>
      <c r="AR53" s="23">
        <v>0</v>
      </c>
      <c r="AS53" s="23">
        <v>0</v>
      </c>
      <c r="AT53" s="23">
        <v>1</v>
      </c>
      <c r="AU53" s="23">
        <v>1</v>
      </c>
      <c r="AV53" s="23">
        <v>0</v>
      </c>
      <c r="AW53" s="23">
        <v>0</v>
      </c>
      <c r="AX53" s="23">
        <v>1</v>
      </c>
      <c r="AY53" s="23">
        <v>0</v>
      </c>
      <c r="AZ53" s="23">
        <v>0</v>
      </c>
      <c r="BA53" s="23">
        <v>0</v>
      </c>
      <c r="BB53" s="23">
        <v>1</v>
      </c>
      <c r="BC53" s="23">
        <v>0</v>
      </c>
      <c r="BD53" s="23">
        <v>0</v>
      </c>
      <c r="BE53" s="23">
        <v>0</v>
      </c>
      <c r="BF53" s="23">
        <v>1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f t="shared" si="2"/>
        <v>1</v>
      </c>
      <c r="BQ53" s="23">
        <f t="shared" si="3"/>
        <v>1</v>
      </c>
      <c r="BR53" s="23">
        <f t="shared" si="4"/>
        <v>0</v>
      </c>
      <c r="BS53" s="23">
        <f t="shared" si="5"/>
        <v>0</v>
      </c>
      <c r="BT53" s="23">
        <f t="shared" si="6"/>
        <v>1</v>
      </c>
      <c r="BU53" s="23">
        <f t="shared" si="7"/>
        <v>0</v>
      </c>
      <c r="BV53" s="23">
        <f t="shared" si="8"/>
        <v>1</v>
      </c>
      <c r="BW53" s="23">
        <f t="shared" si="9"/>
        <v>0</v>
      </c>
      <c r="BX53" s="23">
        <f t="shared" si="10"/>
        <v>0</v>
      </c>
      <c r="BY53" s="23">
        <f t="shared" si="11"/>
        <v>0</v>
      </c>
      <c r="BZ53" s="23">
        <f t="shared" si="12"/>
        <v>0</v>
      </c>
      <c r="CA53" s="23">
        <f t="shared" si="13"/>
        <v>1</v>
      </c>
      <c r="CB53" s="23">
        <f t="shared" si="14"/>
        <v>1</v>
      </c>
      <c r="CC53" s="23">
        <f t="shared" si="15"/>
        <v>0</v>
      </c>
      <c r="CD53" s="23">
        <f t="shared" si="16"/>
        <v>0</v>
      </c>
      <c r="CE53" s="23">
        <f t="shared" si="17"/>
        <v>1</v>
      </c>
      <c r="CF53" s="23">
        <f t="shared" si="18"/>
        <v>0</v>
      </c>
      <c r="CG53" s="23">
        <f t="shared" si="19"/>
        <v>0</v>
      </c>
      <c r="CH53" s="23">
        <f t="shared" si="20"/>
        <v>0</v>
      </c>
      <c r="CI53" s="23">
        <f t="shared" si="21"/>
        <v>1</v>
      </c>
      <c r="CJ53" s="23">
        <f t="shared" si="22"/>
        <v>0</v>
      </c>
      <c r="CK53" s="23">
        <f t="shared" si="23"/>
        <v>0</v>
      </c>
      <c r="CL53" s="23">
        <f t="shared" si="24"/>
        <v>0</v>
      </c>
      <c r="CM53" s="23">
        <f t="shared" si="25"/>
        <v>1</v>
      </c>
      <c r="CN53" s="23">
        <f t="shared" si="26"/>
        <v>0</v>
      </c>
      <c r="CO53" s="23">
        <f t="shared" si="27"/>
        <v>0</v>
      </c>
      <c r="CP53" s="23">
        <f t="shared" si="28"/>
        <v>0</v>
      </c>
      <c r="CQ53" s="23">
        <f t="shared" si="29"/>
        <v>0</v>
      </c>
      <c r="CR53" s="23">
        <f t="shared" si="30"/>
        <v>0</v>
      </c>
      <c r="CS53" s="23">
        <f t="shared" si="31"/>
        <v>0</v>
      </c>
      <c r="CT53" s="23">
        <f t="shared" si="32"/>
        <v>0</v>
      </c>
      <c r="CU53" s="23">
        <f t="shared" si="33"/>
        <v>0</v>
      </c>
      <c r="CV53" s="23">
        <f t="shared" si="34"/>
        <v>0</v>
      </c>
    </row>
    <row r="54" spans="1:100" ht="13.5">
      <c r="A54" s="15">
        <v>187</v>
      </c>
      <c r="B54" s="27" t="s">
        <v>348</v>
      </c>
      <c r="C54" t="s">
        <v>208</v>
      </c>
      <c r="E54" t="s">
        <v>134</v>
      </c>
      <c r="F54" t="s">
        <v>133</v>
      </c>
      <c r="G54" t="s">
        <v>134</v>
      </c>
      <c r="H54" t="s">
        <v>209</v>
      </c>
      <c r="I54" s="6" t="s">
        <v>136</v>
      </c>
      <c r="J54" s="6">
        <v>1</v>
      </c>
      <c r="L54" s="15">
        <v>1</v>
      </c>
      <c r="M54" s="7">
        <v>46073</v>
      </c>
      <c r="N54" s="7">
        <v>46086</v>
      </c>
      <c r="O54" s="7">
        <v>46085</v>
      </c>
      <c r="P54" s="7">
        <v>46085</v>
      </c>
      <c r="S54" s="6" t="s">
        <v>134</v>
      </c>
      <c r="U54" s="6" t="s">
        <v>191</v>
      </c>
      <c r="V54" s="6" t="str">
        <f t="shared" si="1"/>
        <v>26/03</v>
      </c>
      <c r="W54">
        <v>21377</v>
      </c>
      <c r="Y54" s="6" t="s">
        <v>211</v>
      </c>
      <c r="Z54" s="6" t="s">
        <v>212</v>
      </c>
      <c r="AA54">
        <v>3221</v>
      </c>
      <c r="AI54" s="23">
        <v>1</v>
      </c>
      <c r="AJ54" s="23">
        <v>1</v>
      </c>
      <c r="AK54" s="23">
        <v>0</v>
      </c>
      <c r="AL54" s="23">
        <v>0</v>
      </c>
      <c r="AM54" s="23">
        <v>1</v>
      </c>
      <c r="AN54" s="23">
        <v>0</v>
      </c>
      <c r="AO54" s="23">
        <v>1</v>
      </c>
      <c r="AP54" s="23">
        <v>0</v>
      </c>
      <c r="AQ54" s="23">
        <v>0</v>
      </c>
      <c r="AR54" s="23">
        <v>0</v>
      </c>
      <c r="AS54" s="23">
        <v>0</v>
      </c>
      <c r="AT54" s="23">
        <v>1</v>
      </c>
      <c r="AU54" s="23">
        <v>1</v>
      </c>
      <c r="AV54" s="23">
        <v>0</v>
      </c>
      <c r="AW54" s="23">
        <v>0</v>
      </c>
      <c r="AX54" s="23">
        <v>1</v>
      </c>
      <c r="AY54" s="23">
        <v>0</v>
      </c>
      <c r="AZ54" s="23">
        <v>0</v>
      </c>
      <c r="BA54" s="23">
        <v>0</v>
      </c>
      <c r="BB54" s="23">
        <v>1</v>
      </c>
      <c r="BC54" s="23">
        <v>0</v>
      </c>
      <c r="BD54" s="23">
        <v>0</v>
      </c>
      <c r="BE54" s="23">
        <v>0</v>
      </c>
      <c r="BF54" s="23">
        <v>1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f t="shared" si="2"/>
        <v>1</v>
      </c>
      <c r="BQ54" s="23">
        <f t="shared" si="3"/>
        <v>1</v>
      </c>
      <c r="BR54" s="23">
        <f t="shared" si="4"/>
        <v>0</v>
      </c>
      <c r="BS54" s="23">
        <f t="shared" si="5"/>
        <v>0</v>
      </c>
      <c r="BT54" s="23">
        <f t="shared" si="6"/>
        <v>1</v>
      </c>
      <c r="BU54" s="23">
        <f t="shared" si="7"/>
        <v>0</v>
      </c>
      <c r="BV54" s="23">
        <f t="shared" si="8"/>
        <v>1</v>
      </c>
      <c r="BW54" s="23">
        <f t="shared" si="9"/>
        <v>0</v>
      </c>
      <c r="BX54" s="23">
        <f t="shared" si="10"/>
        <v>0</v>
      </c>
      <c r="BY54" s="23">
        <f t="shared" si="11"/>
        <v>0</v>
      </c>
      <c r="BZ54" s="23">
        <f t="shared" si="12"/>
        <v>0</v>
      </c>
      <c r="CA54" s="23">
        <f t="shared" si="13"/>
        <v>1</v>
      </c>
      <c r="CB54" s="23">
        <f t="shared" si="14"/>
        <v>1</v>
      </c>
      <c r="CC54" s="23">
        <f t="shared" si="15"/>
        <v>0</v>
      </c>
      <c r="CD54" s="23">
        <f t="shared" si="16"/>
        <v>0</v>
      </c>
      <c r="CE54" s="23">
        <f t="shared" si="17"/>
        <v>1</v>
      </c>
      <c r="CF54" s="23">
        <f t="shared" si="18"/>
        <v>0</v>
      </c>
      <c r="CG54" s="23">
        <f t="shared" si="19"/>
        <v>0</v>
      </c>
      <c r="CH54" s="23">
        <f t="shared" si="20"/>
        <v>0</v>
      </c>
      <c r="CI54" s="23">
        <f t="shared" si="21"/>
        <v>1</v>
      </c>
      <c r="CJ54" s="23">
        <f t="shared" si="22"/>
        <v>0</v>
      </c>
      <c r="CK54" s="23">
        <f t="shared" si="23"/>
        <v>0</v>
      </c>
      <c r="CL54" s="23">
        <f t="shared" si="24"/>
        <v>0</v>
      </c>
      <c r="CM54" s="23">
        <f t="shared" si="25"/>
        <v>1</v>
      </c>
      <c r="CN54" s="23">
        <f t="shared" si="26"/>
        <v>0</v>
      </c>
      <c r="CO54" s="23">
        <f t="shared" si="27"/>
        <v>0</v>
      </c>
      <c r="CP54" s="23">
        <f t="shared" si="28"/>
        <v>0</v>
      </c>
      <c r="CQ54" s="23">
        <f t="shared" si="29"/>
        <v>0</v>
      </c>
      <c r="CR54" s="23">
        <f t="shared" si="30"/>
        <v>0</v>
      </c>
      <c r="CS54" s="23">
        <f t="shared" si="31"/>
        <v>0</v>
      </c>
      <c r="CT54" s="23">
        <f t="shared" si="32"/>
        <v>0</v>
      </c>
      <c r="CU54" s="23">
        <f t="shared" si="33"/>
        <v>0</v>
      </c>
      <c r="CV54" s="23">
        <f t="shared" si="34"/>
        <v>0</v>
      </c>
    </row>
    <row r="55" spans="1:100" ht="13.5">
      <c r="A55" s="15">
        <v>188</v>
      </c>
      <c r="B55" s="27" t="s">
        <v>349</v>
      </c>
      <c r="C55" t="s">
        <v>208</v>
      </c>
      <c r="E55" t="s">
        <v>134</v>
      </c>
      <c r="F55" t="s">
        <v>133</v>
      </c>
      <c r="G55" t="s">
        <v>134</v>
      </c>
      <c r="H55" t="s">
        <v>209</v>
      </c>
      <c r="I55" s="6" t="s">
        <v>136</v>
      </c>
      <c r="J55" s="6">
        <v>1</v>
      </c>
      <c r="L55" s="15">
        <v>1</v>
      </c>
      <c r="M55" s="7">
        <v>46077</v>
      </c>
      <c r="N55" s="7">
        <v>46087</v>
      </c>
      <c r="O55" s="7">
        <v>46086</v>
      </c>
      <c r="P55" s="7">
        <v>46086</v>
      </c>
      <c r="S55" s="6" t="s">
        <v>134</v>
      </c>
      <c r="U55" s="6" t="s">
        <v>191</v>
      </c>
      <c r="V55" s="6" t="str">
        <f t="shared" si="1"/>
        <v>26/03</v>
      </c>
      <c r="W55">
        <v>21378</v>
      </c>
      <c r="Y55" s="6" t="s">
        <v>211</v>
      </c>
      <c r="Z55" s="6" t="s">
        <v>212</v>
      </c>
      <c r="AA55">
        <v>3222</v>
      </c>
      <c r="AI55" s="23">
        <v>1</v>
      </c>
      <c r="AJ55" s="23">
        <v>1</v>
      </c>
      <c r="AK55" s="23">
        <v>0</v>
      </c>
      <c r="AL55" s="23">
        <v>0</v>
      </c>
      <c r="AM55" s="23">
        <v>1</v>
      </c>
      <c r="AN55" s="23">
        <v>0</v>
      </c>
      <c r="AO55" s="23">
        <v>1</v>
      </c>
      <c r="AP55" s="23">
        <v>0</v>
      </c>
      <c r="AQ55" s="23">
        <v>0</v>
      </c>
      <c r="AR55" s="23">
        <v>0</v>
      </c>
      <c r="AS55" s="23">
        <v>0</v>
      </c>
      <c r="AT55" s="23">
        <v>1</v>
      </c>
      <c r="AU55" s="23">
        <v>1</v>
      </c>
      <c r="AV55" s="23">
        <v>0</v>
      </c>
      <c r="AW55" s="23">
        <v>0</v>
      </c>
      <c r="AX55" s="23">
        <v>1</v>
      </c>
      <c r="AY55" s="23">
        <v>0</v>
      </c>
      <c r="AZ55" s="23">
        <v>0</v>
      </c>
      <c r="BA55" s="23">
        <v>0</v>
      </c>
      <c r="BB55" s="23">
        <v>1</v>
      </c>
      <c r="BC55" s="23">
        <v>0</v>
      </c>
      <c r="BD55" s="23">
        <v>0</v>
      </c>
      <c r="BE55" s="23">
        <v>0</v>
      </c>
      <c r="BF55" s="23">
        <v>1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f t="shared" si="2"/>
        <v>1</v>
      </c>
      <c r="BQ55" s="23">
        <f t="shared" si="3"/>
        <v>1</v>
      </c>
      <c r="BR55" s="23">
        <f t="shared" si="4"/>
        <v>0</v>
      </c>
      <c r="BS55" s="23">
        <f t="shared" si="5"/>
        <v>0</v>
      </c>
      <c r="BT55" s="23">
        <f t="shared" si="6"/>
        <v>1</v>
      </c>
      <c r="BU55" s="23">
        <f t="shared" si="7"/>
        <v>0</v>
      </c>
      <c r="BV55" s="23">
        <f t="shared" si="8"/>
        <v>1</v>
      </c>
      <c r="BW55" s="23">
        <f t="shared" si="9"/>
        <v>0</v>
      </c>
      <c r="BX55" s="23">
        <f t="shared" si="10"/>
        <v>0</v>
      </c>
      <c r="BY55" s="23">
        <f t="shared" si="11"/>
        <v>0</v>
      </c>
      <c r="BZ55" s="23">
        <f t="shared" si="12"/>
        <v>0</v>
      </c>
      <c r="CA55" s="23">
        <f t="shared" si="13"/>
        <v>1</v>
      </c>
      <c r="CB55" s="23">
        <f t="shared" si="14"/>
        <v>1</v>
      </c>
      <c r="CC55" s="23">
        <f t="shared" si="15"/>
        <v>0</v>
      </c>
      <c r="CD55" s="23">
        <f t="shared" si="16"/>
        <v>0</v>
      </c>
      <c r="CE55" s="23">
        <f t="shared" si="17"/>
        <v>1</v>
      </c>
      <c r="CF55" s="23">
        <f t="shared" si="18"/>
        <v>0</v>
      </c>
      <c r="CG55" s="23">
        <f t="shared" si="19"/>
        <v>0</v>
      </c>
      <c r="CH55" s="23">
        <f t="shared" si="20"/>
        <v>0</v>
      </c>
      <c r="CI55" s="23">
        <f t="shared" si="21"/>
        <v>1</v>
      </c>
      <c r="CJ55" s="23">
        <f t="shared" si="22"/>
        <v>0</v>
      </c>
      <c r="CK55" s="23">
        <f t="shared" si="23"/>
        <v>0</v>
      </c>
      <c r="CL55" s="23">
        <f t="shared" si="24"/>
        <v>0</v>
      </c>
      <c r="CM55" s="23">
        <f t="shared" si="25"/>
        <v>1</v>
      </c>
      <c r="CN55" s="23">
        <f t="shared" si="26"/>
        <v>0</v>
      </c>
      <c r="CO55" s="23">
        <f t="shared" si="27"/>
        <v>0</v>
      </c>
      <c r="CP55" s="23">
        <f t="shared" si="28"/>
        <v>0</v>
      </c>
      <c r="CQ55" s="23">
        <f t="shared" si="29"/>
        <v>0</v>
      </c>
      <c r="CR55" s="23">
        <f t="shared" si="30"/>
        <v>0</v>
      </c>
      <c r="CS55" s="23">
        <f t="shared" si="31"/>
        <v>0</v>
      </c>
      <c r="CT55" s="23">
        <f t="shared" si="32"/>
        <v>0</v>
      </c>
      <c r="CU55" s="23">
        <f t="shared" si="33"/>
        <v>0</v>
      </c>
      <c r="CV55" s="23">
        <f t="shared" si="34"/>
        <v>0</v>
      </c>
    </row>
    <row r="56" spans="1:100" ht="13.5">
      <c r="A56" s="15">
        <v>190</v>
      </c>
      <c r="B56" s="27" t="s">
        <v>350</v>
      </c>
      <c r="C56" t="s">
        <v>208</v>
      </c>
      <c r="E56" t="s">
        <v>134</v>
      </c>
      <c r="F56" t="s">
        <v>133</v>
      </c>
      <c r="G56" t="s">
        <v>134</v>
      </c>
      <c r="H56" t="s">
        <v>209</v>
      </c>
      <c r="I56" s="6" t="s">
        <v>136</v>
      </c>
      <c r="J56" s="6">
        <v>1</v>
      </c>
      <c r="L56" s="15">
        <v>1</v>
      </c>
      <c r="M56" s="7">
        <v>46078</v>
      </c>
      <c r="N56" s="7">
        <v>46090</v>
      </c>
      <c r="O56" s="7">
        <v>46087</v>
      </c>
      <c r="P56" s="7">
        <v>46087</v>
      </c>
      <c r="S56" s="6" t="s">
        <v>134</v>
      </c>
      <c r="U56" s="6" t="s">
        <v>191</v>
      </c>
      <c r="V56" s="6" t="str">
        <f t="shared" si="1"/>
        <v>26/03</v>
      </c>
      <c r="W56">
        <v>21379</v>
      </c>
      <c r="Y56" s="6" t="s">
        <v>211</v>
      </c>
      <c r="Z56" s="6" t="s">
        <v>212</v>
      </c>
      <c r="AA56">
        <v>3223</v>
      </c>
      <c r="AI56" s="23">
        <v>1</v>
      </c>
      <c r="AJ56" s="23">
        <v>1</v>
      </c>
      <c r="AK56" s="23">
        <v>0</v>
      </c>
      <c r="AL56" s="23">
        <v>0</v>
      </c>
      <c r="AM56" s="23">
        <v>1</v>
      </c>
      <c r="AN56" s="23">
        <v>0</v>
      </c>
      <c r="AO56" s="23">
        <v>1</v>
      </c>
      <c r="AP56" s="23">
        <v>0</v>
      </c>
      <c r="AQ56" s="23">
        <v>0</v>
      </c>
      <c r="AR56" s="23">
        <v>0</v>
      </c>
      <c r="AS56" s="23">
        <v>0</v>
      </c>
      <c r="AT56" s="23">
        <v>1</v>
      </c>
      <c r="AU56" s="23">
        <v>1</v>
      </c>
      <c r="AV56" s="23">
        <v>0</v>
      </c>
      <c r="AW56" s="23">
        <v>0</v>
      </c>
      <c r="AX56" s="23">
        <v>1</v>
      </c>
      <c r="AY56" s="23">
        <v>0</v>
      </c>
      <c r="AZ56" s="23">
        <v>0</v>
      </c>
      <c r="BA56" s="23">
        <v>0</v>
      </c>
      <c r="BB56" s="23">
        <v>1</v>
      </c>
      <c r="BC56" s="23">
        <v>0</v>
      </c>
      <c r="BD56" s="23">
        <v>0</v>
      </c>
      <c r="BE56" s="23">
        <v>0</v>
      </c>
      <c r="BF56" s="23">
        <v>1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f t="shared" si="2"/>
        <v>1</v>
      </c>
      <c r="BQ56" s="23">
        <f t="shared" si="3"/>
        <v>1</v>
      </c>
      <c r="BR56" s="23">
        <f t="shared" si="4"/>
        <v>0</v>
      </c>
      <c r="BS56" s="23">
        <f t="shared" si="5"/>
        <v>0</v>
      </c>
      <c r="BT56" s="23">
        <f t="shared" si="6"/>
        <v>1</v>
      </c>
      <c r="BU56" s="23">
        <f t="shared" si="7"/>
        <v>0</v>
      </c>
      <c r="BV56" s="23">
        <f t="shared" si="8"/>
        <v>1</v>
      </c>
      <c r="BW56" s="23">
        <f t="shared" si="9"/>
        <v>0</v>
      </c>
      <c r="BX56" s="23">
        <f t="shared" si="10"/>
        <v>0</v>
      </c>
      <c r="BY56" s="23">
        <f t="shared" si="11"/>
        <v>0</v>
      </c>
      <c r="BZ56" s="23">
        <f t="shared" si="12"/>
        <v>0</v>
      </c>
      <c r="CA56" s="23">
        <f t="shared" si="13"/>
        <v>1</v>
      </c>
      <c r="CB56" s="23">
        <f t="shared" si="14"/>
        <v>1</v>
      </c>
      <c r="CC56" s="23">
        <f t="shared" si="15"/>
        <v>0</v>
      </c>
      <c r="CD56" s="23">
        <f t="shared" si="16"/>
        <v>0</v>
      </c>
      <c r="CE56" s="23">
        <f t="shared" si="17"/>
        <v>1</v>
      </c>
      <c r="CF56" s="23">
        <f t="shared" si="18"/>
        <v>0</v>
      </c>
      <c r="CG56" s="23">
        <f t="shared" si="19"/>
        <v>0</v>
      </c>
      <c r="CH56" s="23">
        <f t="shared" si="20"/>
        <v>0</v>
      </c>
      <c r="CI56" s="23">
        <f t="shared" si="21"/>
        <v>1</v>
      </c>
      <c r="CJ56" s="23">
        <f t="shared" si="22"/>
        <v>0</v>
      </c>
      <c r="CK56" s="23">
        <f t="shared" si="23"/>
        <v>0</v>
      </c>
      <c r="CL56" s="23">
        <f t="shared" si="24"/>
        <v>0</v>
      </c>
      <c r="CM56" s="23">
        <f t="shared" si="25"/>
        <v>1</v>
      </c>
      <c r="CN56" s="23">
        <f t="shared" si="26"/>
        <v>0</v>
      </c>
      <c r="CO56" s="23">
        <f t="shared" si="27"/>
        <v>0</v>
      </c>
      <c r="CP56" s="23">
        <f t="shared" si="28"/>
        <v>0</v>
      </c>
      <c r="CQ56" s="23">
        <f t="shared" si="29"/>
        <v>0</v>
      </c>
      <c r="CR56" s="23">
        <f t="shared" si="30"/>
        <v>0</v>
      </c>
      <c r="CS56" s="23">
        <f t="shared" si="31"/>
        <v>0</v>
      </c>
      <c r="CT56" s="23">
        <f t="shared" si="32"/>
        <v>0</v>
      </c>
      <c r="CU56" s="23">
        <f t="shared" si="33"/>
        <v>0</v>
      </c>
      <c r="CV56" s="23">
        <f t="shared" si="34"/>
        <v>0</v>
      </c>
    </row>
    <row r="57" spans="1:100" ht="13.5">
      <c r="A57" s="15">
        <v>192</v>
      </c>
      <c r="B57" s="27" t="s">
        <v>351</v>
      </c>
      <c r="C57" t="s">
        <v>208</v>
      </c>
      <c r="E57" t="s">
        <v>134</v>
      </c>
      <c r="F57" t="s">
        <v>133</v>
      </c>
      <c r="G57" t="s">
        <v>134</v>
      </c>
      <c r="H57" t="s">
        <v>209</v>
      </c>
      <c r="I57" s="6" t="s">
        <v>136</v>
      </c>
      <c r="J57" s="6">
        <v>1</v>
      </c>
      <c r="L57" s="15">
        <v>1</v>
      </c>
      <c r="M57" s="7">
        <v>46079</v>
      </c>
      <c r="N57" s="7">
        <v>46091</v>
      </c>
      <c r="O57" s="7">
        <v>46090</v>
      </c>
      <c r="P57" s="7">
        <v>46090</v>
      </c>
      <c r="S57" s="6" t="s">
        <v>134</v>
      </c>
      <c r="U57" s="6" t="s">
        <v>191</v>
      </c>
      <c r="V57" s="6" t="str">
        <f t="shared" si="1"/>
        <v>26/03</v>
      </c>
      <c r="W57">
        <v>21380</v>
      </c>
      <c r="Y57" s="6" t="s">
        <v>211</v>
      </c>
      <c r="Z57" s="6" t="s">
        <v>212</v>
      </c>
      <c r="AA57">
        <v>3224</v>
      </c>
      <c r="AI57" s="23">
        <v>1</v>
      </c>
      <c r="AJ57" s="23">
        <v>1</v>
      </c>
      <c r="AK57" s="23">
        <v>0</v>
      </c>
      <c r="AL57" s="23">
        <v>0</v>
      </c>
      <c r="AM57" s="23">
        <v>1</v>
      </c>
      <c r="AN57" s="23">
        <v>0</v>
      </c>
      <c r="AO57" s="23">
        <v>1</v>
      </c>
      <c r="AP57" s="23">
        <v>0</v>
      </c>
      <c r="AQ57" s="23">
        <v>0</v>
      </c>
      <c r="AR57" s="23">
        <v>0</v>
      </c>
      <c r="AS57" s="23">
        <v>0</v>
      </c>
      <c r="AT57" s="23">
        <v>1</v>
      </c>
      <c r="AU57" s="23">
        <v>1</v>
      </c>
      <c r="AV57" s="23">
        <v>0</v>
      </c>
      <c r="AW57" s="23">
        <v>0</v>
      </c>
      <c r="AX57" s="23">
        <v>1</v>
      </c>
      <c r="AY57" s="23">
        <v>0</v>
      </c>
      <c r="AZ57" s="23">
        <v>0</v>
      </c>
      <c r="BA57" s="23">
        <v>0</v>
      </c>
      <c r="BB57" s="23">
        <v>1</v>
      </c>
      <c r="BC57" s="23">
        <v>0</v>
      </c>
      <c r="BD57" s="23">
        <v>0</v>
      </c>
      <c r="BE57" s="23">
        <v>0</v>
      </c>
      <c r="BF57" s="23">
        <v>1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f t="shared" si="2"/>
        <v>1</v>
      </c>
      <c r="BQ57" s="23">
        <f t="shared" si="3"/>
        <v>1</v>
      </c>
      <c r="BR57" s="23">
        <f t="shared" si="4"/>
        <v>0</v>
      </c>
      <c r="BS57" s="23">
        <f t="shared" si="5"/>
        <v>0</v>
      </c>
      <c r="BT57" s="23">
        <f t="shared" si="6"/>
        <v>1</v>
      </c>
      <c r="BU57" s="23">
        <f t="shared" si="7"/>
        <v>0</v>
      </c>
      <c r="BV57" s="23">
        <f t="shared" si="8"/>
        <v>1</v>
      </c>
      <c r="BW57" s="23">
        <f t="shared" si="9"/>
        <v>0</v>
      </c>
      <c r="BX57" s="23">
        <f t="shared" si="10"/>
        <v>0</v>
      </c>
      <c r="BY57" s="23">
        <f t="shared" si="11"/>
        <v>0</v>
      </c>
      <c r="BZ57" s="23">
        <f t="shared" si="12"/>
        <v>0</v>
      </c>
      <c r="CA57" s="23">
        <f t="shared" si="13"/>
        <v>1</v>
      </c>
      <c r="CB57" s="23">
        <f t="shared" si="14"/>
        <v>1</v>
      </c>
      <c r="CC57" s="23">
        <f t="shared" si="15"/>
        <v>0</v>
      </c>
      <c r="CD57" s="23">
        <f t="shared" si="16"/>
        <v>0</v>
      </c>
      <c r="CE57" s="23">
        <f t="shared" si="17"/>
        <v>1</v>
      </c>
      <c r="CF57" s="23">
        <f t="shared" si="18"/>
        <v>0</v>
      </c>
      <c r="CG57" s="23">
        <f t="shared" si="19"/>
        <v>0</v>
      </c>
      <c r="CH57" s="23">
        <f t="shared" si="20"/>
        <v>0</v>
      </c>
      <c r="CI57" s="23">
        <f t="shared" si="21"/>
        <v>1</v>
      </c>
      <c r="CJ57" s="23">
        <f t="shared" si="22"/>
        <v>0</v>
      </c>
      <c r="CK57" s="23">
        <f t="shared" si="23"/>
        <v>0</v>
      </c>
      <c r="CL57" s="23">
        <f t="shared" si="24"/>
        <v>0</v>
      </c>
      <c r="CM57" s="23">
        <f t="shared" si="25"/>
        <v>1</v>
      </c>
      <c r="CN57" s="23">
        <f t="shared" si="26"/>
        <v>0</v>
      </c>
      <c r="CO57" s="23">
        <f t="shared" si="27"/>
        <v>0</v>
      </c>
      <c r="CP57" s="23">
        <f t="shared" si="28"/>
        <v>0</v>
      </c>
      <c r="CQ57" s="23">
        <f t="shared" si="29"/>
        <v>0</v>
      </c>
      <c r="CR57" s="23">
        <f t="shared" si="30"/>
        <v>0</v>
      </c>
      <c r="CS57" s="23">
        <f t="shared" si="31"/>
        <v>0</v>
      </c>
      <c r="CT57" s="23">
        <f t="shared" si="32"/>
        <v>0</v>
      </c>
      <c r="CU57" s="23">
        <f t="shared" si="33"/>
        <v>0</v>
      </c>
      <c r="CV57" s="23">
        <f t="shared" si="34"/>
        <v>0</v>
      </c>
    </row>
    <row r="58" spans="1:100" ht="13.5">
      <c r="A58" s="15">
        <v>194</v>
      </c>
      <c r="B58" s="27" t="s">
        <v>358</v>
      </c>
      <c r="C58" t="s">
        <v>208</v>
      </c>
      <c r="E58" t="s">
        <v>134</v>
      </c>
      <c r="F58" t="s">
        <v>133</v>
      </c>
      <c r="G58" t="s">
        <v>134</v>
      </c>
      <c r="H58" t="s">
        <v>209</v>
      </c>
      <c r="I58" s="6" t="s">
        <v>136</v>
      </c>
      <c r="J58" s="6">
        <v>1</v>
      </c>
      <c r="L58" s="15">
        <v>1</v>
      </c>
      <c r="M58" s="7">
        <v>46080</v>
      </c>
      <c r="N58" s="7">
        <v>46092</v>
      </c>
      <c r="O58" s="7">
        <v>46091</v>
      </c>
      <c r="P58" s="7">
        <v>46091</v>
      </c>
      <c r="S58" s="6" t="s">
        <v>134</v>
      </c>
      <c r="U58" s="6" t="s">
        <v>191</v>
      </c>
      <c r="V58" s="6" t="str">
        <f t="shared" si="1"/>
        <v>26/03</v>
      </c>
      <c r="W58">
        <v>21381</v>
      </c>
      <c r="Y58" s="6" t="s">
        <v>211</v>
      </c>
      <c r="Z58" s="6" t="s">
        <v>212</v>
      </c>
      <c r="AA58">
        <v>3225</v>
      </c>
      <c r="AI58" s="23">
        <v>1</v>
      </c>
      <c r="AJ58" s="23">
        <v>1</v>
      </c>
      <c r="AK58" s="23">
        <v>0</v>
      </c>
      <c r="AL58" s="23">
        <v>0</v>
      </c>
      <c r="AM58" s="23">
        <v>1</v>
      </c>
      <c r="AN58" s="23">
        <v>0</v>
      </c>
      <c r="AO58" s="23">
        <v>1</v>
      </c>
      <c r="AP58" s="23">
        <v>0</v>
      </c>
      <c r="AQ58" s="23">
        <v>0</v>
      </c>
      <c r="AR58" s="23">
        <v>0</v>
      </c>
      <c r="AS58" s="23">
        <v>0</v>
      </c>
      <c r="AT58" s="23">
        <v>1</v>
      </c>
      <c r="AU58" s="23">
        <v>1</v>
      </c>
      <c r="AV58" s="23">
        <v>0</v>
      </c>
      <c r="AW58" s="23">
        <v>0</v>
      </c>
      <c r="AX58" s="23">
        <v>1</v>
      </c>
      <c r="AY58" s="23">
        <v>0</v>
      </c>
      <c r="AZ58" s="23">
        <v>0</v>
      </c>
      <c r="BA58" s="23">
        <v>0</v>
      </c>
      <c r="BB58" s="23">
        <v>1</v>
      </c>
      <c r="BC58" s="23">
        <v>0</v>
      </c>
      <c r="BD58" s="23">
        <v>0</v>
      </c>
      <c r="BE58" s="23">
        <v>0</v>
      </c>
      <c r="BF58" s="23">
        <v>1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f t="shared" si="2"/>
        <v>1</v>
      </c>
      <c r="BQ58" s="23">
        <f t="shared" si="3"/>
        <v>1</v>
      </c>
      <c r="BR58" s="23">
        <f t="shared" si="4"/>
        <v>0</v>
      </c>
      <c r="BS58" s="23">
        <f t="shared" si="5"/>
        <v>0</v>
      </c>
      <c r="BT58" s="23">
        <f t="shared" si="6"/>
        <v>1</v>
      </c>
      <c r="BU58" s="23">
        <f t="shared" si="7"/>
        <v>0</v>
      </c>
      <c r="BV58" s="23">
        <f t="shared" si="8"/>
        <v>1</v>
      </c>
      <c r="BW58" s="23">
        <f t="shared" si="9"/>
        <v>0</v>
      </c>
      <c r="BX58" s="23">
        <f t="shared" si="10"/>
        <v>0</v>
      </c>
      <c r="BY58" s="23">
        <f t="shared" si="11"/>
        <v>0</v>
      </c>
      <c r="BZ58" s="23">
        <f t="shared" si="12"/>
        <v>0</v>
      </c>
      <c r="CA58" s="23">
        <f t="shared" si="13"/>
        <v>1</v>
      </c>
      <c r="CB58" s="23">
        <f t="shared" si="14"/>
        <v>1</v>
      </c>
      <c r="CC58" s="23">
        <f t="shared" si="15"/>
        <v>0</v>
      </c>
      <c r="CD58" s="23">
        <f t="shared" si="16"/>
        <v>0</v>
      </c>
      <c r="CE58" s="23">
        <f t="shared" si="17"/>
        <v>1</v>
      </c>
      <c r="CF58" s="23">
        <f t="shared" si="18"/>
        <v>0</v>
      </c>
      <c r="CG58" s="23">
        <f t="shared" si="19"/>
        <v>0</v>
      </c>
      <c r="CH58" s="23">
        <f t="shared" si="20"/>
        <v>0</v>
      </c>
      <c r="CI58" s="23">
        <f t="shared" si="21"/>
        <v>1</v>
      </c>
      <c r="CJ58" s="23">
        <f t="shared" si="22"/>
        <v>0</v>
      </c>
      <c r="CK58" s="23">
        <f t="shared" si="23"/>
        <v>0</v>
      </c>
      <c r="CL58" s="23">
        <f t="shared" si="24"/>
        <v>0</v>
      </c>
      <c r="CM58" s="23">
        <f t="shared" si="25"/>
        <v>1</v>
      </c>
      <c r="CN58" s="23">
        <f t="shared" si="26"/>
        <v>0</v>
      </c>
      <c r="CO58" s="23">
        <f t="shared" si="27"/>
        <v>0</v>
      </c>
      <c r="CP58" s="23">
        <f t="shared" si="28"/>
        <v>0</v>
      </c>
      <c r="CQ58" s="23">
        <f t="shared" si="29"/>
        <v>0</v>
      </c>
      <c r="CR58" s="23">
        <f t="shared" si="30"/>
        <v>0</v>
      </c>
      <c r="CS58" s="23">
        <f t="shared" si="31"/>
        <v>0</v>
      </c>
      <c r="CT58" s="23">
        <f t="shared" si="32"/>
        <v>0</v>
      </c>
      <c r="CU58" s="23">
        <f t="shared" si="33"/>
        <v>0</v>
      </c>
      <c r="CV58" s="23">
        <f t="shared" si="34"/>
        <v>0</v>
      </c>
    </row>
    <row r="59" spans="1:100" ht="13.5">
      <c r="A59" s="15">
        <v>196</v>
      </c>
      <c r="B59" s="27" t="s">
        <v>352</v>
      </c>
      <c r="C59" t="s">
        <v>151</v>
      </c>
      <c r="D59" t="s">
        <v>353</v>
      </c>
      <c r="E59" t="s">
        <v>354</v>
      </c>
      <c r="F59" t="s">
        <v>233</v>
      </c>
      <c r="G59" t="s">
        <v>355</v>
      </c>
      <c r="H59" t="s">
        <v>356</v>
      </c>
      <c r="I59" s="6" t="s">
        <v>147</v>
      </c>
      <c r="J59" s="6">
        <v>1</v>
      </c>
      <c r="K59" t="s">
        <v>357</v>
      </c>
      <c r="L59" s="15">
        <v>1</v>
      </c>
      <c r="M59" s="7">
        <v>46080</v>
      </c>
      <c r="N59" s="7">
        <v>46092</v>
      </c>
      <c r="O59" s="7">
        <v>46091</v>
      </c>
      <c r="P59" s="7">
        <v>46094</v>
      </c>
      <c r="S59" s="6" t="s">
        <v>199</v>
      </c>
      <c r="U59" s="6" t="s">
        <v>191</v>
      </c>
      <c r="V59" s="6" t="str">
        <f t="shared" si="1"/>
        <v>26/03</v>
      </c>
      <c r="W59" s="37">
        <v>21382</v>
      </c>
      <c r="Y59" s="6" t="s">
        <v>200</v>
      </c>
      <c r="Z59" s="6" t="s">
        <v>193</v>
      </c>
      <c r="AG59" s="37">
        <v>3533</v>
      </c>
      <c r="AI59" s="23">
        <v>1</v>
      </c>
      <c r="AJ59" s="23">
        <v>1</v>
      </c>
      <c r="AK59" s="23">
        <v>0</v>
      </c>
      <c r="AL59" s="23">
        <v>0</v>
      </c>
      <c r="AM59" s="23">
        <v>1</v>
      </c>
      <c r="AN59" s="23">
        <v>0</v>
      </c>
      <c r="AO59" s="23">
        <v>0</v>
      </c>
      <c r="AP59" s="23">
        <v>0</v>
      </c>
      <c r="AQ59" s="23">
        <v>1</v>
      </c>
      <c r="AR59" s="23">
        <v>0</v>
      </c>
      <c r="AS59" s="23">
        <v>1</v>
      </c>
      <c r="AT59" s="23">
        <v>0</v>
      </c>
      <c r="AU59" s="23">
        <v>0</v>
      </c>
      <c r="AV59" s="23">
        <v>0</v>
      </c>
      <c r="AW59" s="23">
        <v>1</v>
      </c>
      <c r="AX59" s="23">
        <v>0</v>
      </c>
      <c r="AY59" s="23">
        <v>0</v>
      </c>
      <c r="AZ59" s="23">
        <v>0</v>
      </c>
      <c r="BA59" s="23">
        <v>1</v>
      </c>
      <c r="BB59" s="23">
        <v>0</v>
      </c>
      <c r="BC59" s="23">
        <v>0</v>
      </c>
      <c r="BD59" s="23">
        <v>0</v>
      </c>
      <c r="BE59" s="23">
        <v>1</v>
      </c>
      <c r="BF59" s="23">
        <v>1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f t="shared" si="2"/>
        <v>1</v>
      </c>
      <c r="BQ59" s="23">
        <f t="shared" si="3"/>
        <v>1</v>
      </c>
      <c r="BR59" s="23">
        <f t="shared" si="4"/>
        <v>0</v>
      </c>
      <c r="BS59" s="23">
        <f t="shared" si="5"/>
        <v>0</v>
      </c>
      <c r="BT59" s="23">
        <f t="shared" si="6"/>
        <v>1</v>
      </c>
      <c r="BU59" s="23">
        <f t="shared" si="7"/>
        <v>0</v>
      </c>
      <c r="BV59" s="23">
        <f t="shared" si="8"/>
        <v>0</v>
      </c>
      <c r="BW59" s="23">
        <f t="shared" si="9"/>
        <v>0</v>
      </c>
      <c r="BX59" s="23">
        <f t="shared" si="10"/>
        <v>1</v>
      </c>
      <c r="BY59" s="23">
        <f t="shared" si="11"/>
        <v>0</v>
      </c>
      <c r="BZ59" s="23">
        <f t="shared" si="12"/>
        <v>1</v>
      </c>
      <c r="CA59" s="23">
        <f t="shared" si="13"/>
        <v>0</v>
      </c>
      <c r="CB59" s="23">
        <f t="shared" si="14"/>
        <v>0</v>
      </c>
      <c r="CC59" s="23">
        <f t="shared" si="15"/>
        <v>0</v>
      </c>
      <c r="CD59" s="23">
        <f t="shared" si="16"/>
        <v>1</v>
      </c>
      <c r="CE59" s="23">
        <f t="shared" si="17"/>
        <v>0</v>
      </c>
      <c r="CF59" s="23">
        <f t="shared" si="18"/>
        <v>0</v>
      </c>
      <c r="CG59" s="23">
        <f t="shared" si="19"/>
        <v>0</v>
      </c>
      <c r="CH59" s="23">
        <f t="shared" si="20"/>
        <v>1</v>
      </c>
      <c r="CI59" s="23">
        <f t="shared" si="21"/>
        <v>0</v>
      </c>
      <c r="CJ59" s="23">
        <f t="shared" si="22"/>
        <v>0</v>
      </c>
      <c r="CK59" s="23">
        <f t="shared" si="23"/>
        <v>0</v>
      </c>
      <c r="CL59" s="23">
        <f t="shared" si="24"/>
        <v>1</v>
      </c>
      <c r="CM59" s="23">
        <f t="shared" si="25"/>
        <v>1</v>
      </c>
      <c r="CN59" s="23">
        <f t="shared" si="26"/>
        <v>0</v>
      </c>
      <c r="CO59" s="23">
        <f t="shared" si="27"/>
        <v>0</v>
      </c>
      <c r="CP59" s="23">
        <f t="shared" si="28"/>
        <v>0</v>
      </c>
      <c r="CQ59" s="23">
        <f t="shared" si="29"/>
        <v>0</v>
      </c>
      <c r="CR59" s="23">
        <f t="shared" si="30"/>
        <v>0</v>
      </c>
      <c r="CS59" s="23">
        <f t="shared" si="31"/>
        <v>0</v>
      </c>
      <c r="CT59" s="23">
        <f t="shared" si="32"/>
        <v>0</v>
      </c>
      <c r="CU59" s="23">
        <f t="shared" si="33"/>
        <v>0</v>
      </c>
      <c r="CV59" s="23">
        <f t="shared" si="34"/>
        <v>0</v>
      </c>
    </row>
    <row r="60" spans="1:100" ht="13.5">
      <c r="A60" s="15">
        <v>195</v>
      </c>
      <c r="B60" s="27" t="s">
        <v>361</v>
      </c>
      <c r="C60" t="s">
        <v>208</v>
      </c>
      <c r="E60" t="s">
        <v>134</v>
      </c>
      <c r="F60" t="s">
        <v>133</v>
      </c>
      <c r="G60" t="s">
        <v>134</v>
      </c>
      <c r="H60" t="s">
        <v>209</v>
      </c>
      <c r="I60" s="6" t="s">
        <v>136</v>
      </c>
      <c r="J60" s="6">
        <v>1</v>
      </c>
      <c r="L60" s="15">
        <v>1</v>
      </c>
      <c r="M60" s="7">
        <v>46083</v>
      </c>
      <c r="N60" s="7">
        <v>46093</v>
      </c>
      <c r="O60" s="7">
        <v>46092</v>
      </c>
      <c r="P60" s="7">
        <v>46092</v>
      </c>
      <c r="S60" s="6" t="s">
        <v>134</v>
      </c>
      <c r="U60" s="6" t="s">
        <v>191</v>
      </c>
      <c r="V60" s="6" t="str">
        <f t="shared" si="1"/>
        <v>26/03</v>
      </c>
      <c r="W60" s="37">
        <v>21383</v>
      </c>
      <c r="Y60" s="6" t="s">
        <v>211</v>
      </c>
      <c r="Z60" s="6" t="s">
        <v>212</v>
      </c>
      <c r="AA60">
        <v>3226</v>
      </c>
      <c r="AI60" s="23">
        <v>1</v>
      </c>
      <c r="AJ60" s="23">
        <v>1</v>
      </c>
      <c r="AK60" s="23">
        <v>0</v>
      </c>
      <c r="AL60" s="23">
        <v>0</v>
      </c>
      <c r="AM60" s="23">
        <v>1</v>
      </c>
      <c r="AN60" s="23">
        <v>0</v>
      </c>
      <c r="AO60" s="23">
        <v>1</v>
      </c>
      <c r="AP60" s="23">
        <v>0</v>
      </c>
      <c r="AQ60" s="23">
        <v>0</v>
      </c>
      <c r="AR60" s="23">
        <v>0</v>
      </c>
      <c r="AS60" s="23">
        <v>0</v>
      </c>
      <c r="AT60" s="23">
        <v>1</v>
      </c>
      <c r="AU60" s="23">
        <v>1</v>
      </c>
      <c r="AV60" s="23">
        <v>0</v>
      </c>
      <c r="AW60" s="23">
        <v>0</v>
      </c>
      <c r="AX60" s="23">
        <v>1</v>
      </c>
      <c r="AY60" s="23">
        <v>0</v>
      </c>
      <c r="AZ60" s="23">
        <v>0</v>
      </c>
      <c r="BA60" s="23">
        <v>0</v>
      </c>
      <c r="BB60" s="23">
        <v>1</v>
      </c>
      <c r="BC60" s="23">
        <v>0</v>
      </c>
      <c r="BD60" s="23">
        <v>0</v>
      </c>
      <c r="BE60" s="23">
        <v>0</v>
      </c>
      <c r="BF60" s="23">
        <v>1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f t="shared" si="2"/>
        <v>1</v>
      </c>
      <c r="BQ60" s="23">
        <f t="shared" si="3"/>
        <v>1</v>
      </c>
      <c r="BR60" s="23">
        <f t="shared" si="4"/>
        <v>0</v>
      </c>
      <c r="BS60" s="23">
        <f t="shared" si="5"/>
        <v>0</v>
      </c>
      <c r="BT60" s="23">
        <f t="shared" si="6"/>
        <v>1</v>
      </c>
      <c r="BU60" s="23">
        <f t="shared" si="7"/>
        <v>0</v>
      </c>
      <c r="BV60" s="23">
        <f t="shared" si="8"/>
        <v>1</v>
      </c>
      <c r="BW60" s="23">
        <f t="shared" si="9"/>
        <v>0</v>
      </c>
      <c r="BX60" s="23">
        <f t="shared" si="10"/>
        <v>0</v>
      </c>
      <c r="BY60" s="23">
        <f t="shared" si="11"/>
        <v>0</v>
      </c>
      <c r="BZ60" s="23">
        <f t="shared" si="12"/>
        <v>0</v>
      </c>
      <c r="CA60" s="23">
        <f t="shared" si="13"/>
        <v>1</v>
      </c>
      <c r="CB60" s="23">
        <f t="shared" si="14"/>
        <v>1</v>
      </c>
      <c r="CC60" s="23">
        <f t="shared" si="15"/>
        <v>0</v>
      </c>
      <c r="CD60" s="23">
        <f t="shared" si="16"/>
        <v>0</v>
      </c>
      <c r="CE60" s="23">
        <f t="shared" si="17"/>
        <v>1</v>
      </c>
      <c r="CF60" s="23">
        <f t="shared" si="18"/>
        <v>0</v>
      </c>
      <c r="CG60" s="23">
        <f t="shared" si="19"/>
        <v>0</v>
      </c>
      <c r="CH60" s="23">
        <f t="shared" si="20"/>
        <v>0</v>
      </c>
      <c r="CI60" s="23">
        <f t="shared" si="21"/>
        <v>1</v>
      </c>
      <c r="CJ60" s="23">
        <f t="shared" si="22"/>
        <v>0</v>
      </c>
      <c r="CK60" s="23">
        <f t="shared" si="23"/>
        <v>0</v>
      </c>
      <c r="CL60" s="23">
        <f t="shared" si="24"/>
        <v>0</v>
      </c>
      <c r="CM60" s="23">
        <f t="shared" si="25"/>
        <v>1</v>
      </c>
      <c r="CN60" s="23">
        <f t="shared" si="26"/>
        <v>0</v>
      </c>
      <c r="CO60" s="23">
        <f t="shared" si="27"/>
        <v>0</v>
      </c>
      <c r="CP60" s="23">
        <f t="shared" si="28"/>
        <v>0</v>
      </c>
      <c r="CQ60" s="23">
        <f t="shared" si="29"/>
        <v>0</v>
      </c>
      <c r="CR60" s="23">
        <f t="shared" si="30"/>
        <v>0</v>
      </c>
      <c r="CS60" s="23">
        <f t="shared" si="31"/>
        <v>0</v>
      </c>
      <c r="CT60" s="23">
        <f t="shared" si="32"/>
        <v>0</v>
      </c>
      <c r="CU60" s="23">
        <f t="shared" si="33"/>
        <v>0</v>
      </c>
      <c r="CV60" s="23">
        <f t="shared" si="34"/>
        <v>0</v>
      </c>
    </row>
    <row r="61" spans="1:100" ht="13.5">
      <c r="A61" s="15">
        <v>197</v>
      </c>
      <c r="B61" s="27" t="s">
        <v>359</v>
      </c>
      <c r="C61" t="s">
        <v>151</v>
      </c>
      <c r="D61" t="s">
        <v>360</v>
      </c>
      <c r="E61" t="s">
        <v>198</v>
      </c>
      <c r="F61" t="s">
        <v>233</v>
      </c>
      <c r="G61" t="s">
        <v>244</v>
      </c>
      <c r="H61" t="s">
        <v>245</v>
      </c>
      <c r="I61" s="6" t="s">
        <v>147</v>
      </c>
      <c r="J61" s="6">
        <v>1</v>
      </c>
      <c r="K61" t="s">
        <v>189</v>
      </c>
      <c r="L61" s="15">
        <v>1</v>
      </c>
      <c r="M61" s="7">
        <v>46083</v>
      </c>
      <c r="N61" s="7">
        <v>46093</v>
      </c>
      <c r="O61" s="7">
        <v>46092</v>
      </c>
      <c r="P61" s="7">
        <v>46097</v>
      </c>
      <c r="S61" s="6" t="s">
        <v>199</v>
      </c>
      <c r="U61" s="6" t="s">
        <v>191</v>
      </c>
      <c r="V61" s="6" t="str">
        <f t="shared" si="1"/>
        <v>26/03</v>
      </c>
      <c r="W61" s="37">
        <v>21384</v>
      </c>
      <c r="Y61" s="6" t="s">
        <v>200</v>
      </c>
      <c r="Z61" s="6" t="s">
        <v>193</v>
      </c>
      <c r="AG61" s="37">
        <v>3534</v>
      </c>
      <c r="AI61" s="23">
        <v>1</v>
      </c>
      <c r="AJ61" s="23">
        <v>1</v>
      </c>
      <c r="AK61" s="23">
        <v>0</v>
      </c>
      <c r="AL61" s="23">
        <v>0</v>
      </c>
      <c r="AM61" s="23">
        <v>1</v>
      </c>
      <c r="AN61" s="23">
        <v>0</v>
      </c>
      <c r="AO61" s="23">
        <v>0</v>
      </c>
      <c r="AP61" s="23">
        <v>0</v>
      </c>
      <c r="AQ61" s="23">
        <v>1</v>
      </c>
      <c r="AR61" s="23">
        <v>0</v>
      </c>
      <c r="AS61" s="23">
        <v>1</v>
      </c>
      <c r="AT61" s="23">
        <v>0</v>
      </c>
      <c r="AU61" s="23">
        <v>0</v>
      </c>
      <c r="AV61" s="23">
        <v>0</v>
      </c>
      <c r="AW61" s="23">
        <v>1</v>
      </c>
      <c r="AX61" s="23">
        <v>0</v>
      </c>
      <c r="AY61" s="23">
        <v>0</v>
      </c>
      <c r="AZ61" s="23">
        <v>0</v>
      </c>
      <c r="BA61" s="23">
        <v>1</v>
      </c>
      <c r="BB61" s="23">
        <v>0</v>
      </c>
      <c r="BC61" s="23">
        <v>0</v>
      </c>
      <c r="BD61" s="23">
        <v>0</v>
      </c>
      <c r="BE61" s="23">
        <v>1</v>
      </c>
      <c r="BF61" s="23">
        <v>1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0</v>
      </c>
      <c r="BO61" s="23">
        <v>0</v>
      </c>
      <c r="BP61" s="23">
        <f t="shared" si="2"/>
        <v>1</v>
      </c>
      <c r="BQ61" s="23">
        <f t="shared" si="3"/>
        <v>1</v>
      </c>
      <c r="BR61" s="23">
        <f t="shared" si="4"/>
        <v>0</v>
      </c>
      <c r="BS61" s="23">
        <f t="shared" si="5"/>
        <v>0</v>
      </c>
      <c r="BT61" s="23">
        <f t="shared" si="6"/>
        <v>1</v>
      </c>
      <c r="BU61" s="23">
        <f t="shared" si="7"/>
        <v>0</v>
      </c>
      <c r="BV61" s="23">
        <f t="shared" si="8"/>
        <v>0</v>
      </c>
      <c r="BW61" s="23">
        <f t="shared" si="9"/>
        <v>0</v>
      </c>
      <c r="BX61" s="23">
        <f t="shared" si="10"/>
        <v>1</v>
      </c>
      <c r="BY61" s="23">
        <f t="shared" si="11"/>
        <v>0</v>
      </c>
      <c r="BZ61" s="23">
        <f t="shared" si="12"/>
        <v>1</v>
      </c>
      <c r="CA61" s="23">
        <f t="shared" si="13"/>
        <v>0</v>
      </c>
      <c r="CB61" s="23">
        <f t="shared" si="14"/>
        <v>0</v>
      </c>
      <c r="CC61" s="23">
        <f t="shared" si="15"/>
        <v>0</v>
      </c>
      <c r="CD61" s="23">
        <f t="shared" si="16"/>
        <v>1</v>
      </c>
      <c r="CE61" s="23">
        <f t="shared" si="17"/>
        <v>0</v>
      </c>
      <c r="CF61" s="23">
        <f t="shared" si="18"/>
        <v>0</v>
      </c>
      <c r="CG61" s="23">
        <f t="shared" si="19"/>
        <v>0</v>
      </c>
      <c r="CH61" s="23">
        <f t="shared" si="20"/>
        <v>1</v>
      </c>
      <c r="CI61" s="23">
        <f t="shared" si="21"/>
        <v>0</v>
      </c>
      <c r="CJ61" s="23">
        <f t="shared" si="22"/>
        <v>0</v>
      </c>
      <c r="CK61" s="23">
        <f t="shared" si="23"/>
        <v>0</v>
      </c>
      <c r="CL61" s="23">
        <f t="shared" si="24"/>
        <v>1</v>
      </c>
      <c r="CM61" s="23">
        <f t="shared" si="25"/>
        <v>1</v>
      </c>
      <c r="CN61" s="23">
        <f t="shared" si="26"/>
        <v>0</v>
      </c>
      <c r="CO61" s="23">
        <f t="shared" si="27"/>
        <v>0</v>
      </c>
      <c r="CP61" s="23">
        <f t="shared" si="28"/>
        <v>0</v>
      </c>
      <c r="CQ61" s="23">
        <f t="shared" si="29"/>
        <v>0</v>
      </c>
      <c r="CR61" s="23">
        <f t="shared" si="30"/>
        <v>0</v>
      </c>
      <c r="CS61" s="23">
        <f t="shared" si="31"/>
        <v>0</v>
      </c>
      <c r="CT61" s="23">
        <f t="shared" si="32"/>
        <v>0</v>
      </c>
      <c r="CU61" s="23">
        <f t="shared" si="33"/>
        <v>0</v>
      </c>
      <c r="CV61" s="23">
        <f t="shared" si="34"/>
        <v>0</v>
      </c>
    </row>
    <row r="62" spans="1:100" ht="13.5">
      <c r="A62" s="15">
        <v>199</v>
      </c>
      <c r="B62" s="27" t="s">
        <v>362</v>
      </c>
      <c r="C62" t="s">
        <v>151</v>
      </c>
      <c r="D62" t="s">
        <v>363</v>
      </c>
      <c r="F62" t="s">
        <v>233</v>
      </c>
      <c r="G62" t="s">
        <v>355</v>
      </c>
      <c r="H62" t="s">
        <v>356</v>
      </c>
      <c r="I62" s="6" t="s">
        <v>147</v>
      </c>
      <c r="J62" s="6">
        <v>1</v>
      </c>
      <c r="K62" t="s">
        <v>357</v>
      </c>
      <c r="L62" s="15">
        <v>1</v>
      </c>
      <c r="M62" s="7">
        <v>46085</v>
      </c>
      <c r="N62" s="7">
        <v>46097</v>
      </c>
      <c r="O62" s="7">
        <v>46094</v>
      </c>
      <c r="P62" s="7">
        <v>46099</v>
      </c>
      <c r="S62" s="6" t="s">
        <v>199</v>
      </c>
      <c r="U62" s="6" t="s">
        <v>191</v>
      </c>
      <c r="V62" s="6" t="str">
        <f t="shared" si="1"/>
        <v>26/03</v>
      </c>
      <c r="W62" s="37">
        <v>21385</v>
      </c>
      <c r="Y62" s="6" t="s">
        <v>200</v>
      </c>
      <c r="Z62" s="6" t="s">
        <v>193</v>
      </c>
      <c r="AG62" s="37">
        <v>3535</v>
      </c>
      <c r="AI62" s="23">
        <v>1</v>
      </c>
      <c r="AJ62" s="23">
        <v>1</v>
      </c>
      <c r="AK62" s="23">
        <v>0</v>
      </c>
      <c r="AL62" s="23">
        <v>0</v>
      </c>
      <c r="AM62" s="23">
        <v>1</v>
      </c>
      <c r="AN62" s="23">
        <v>0</v>
      </c>
      <c r="AO62" s="23">
        <v>0</v>
      </c>
      <c r="AP62" s="23">
        <v>0</v>
      </c>
      <c r="AQ62" s="23">
        <v>1</v>
      </c>
      <c r="AR62" s="23">
        <v>0</v>
      </c>
      <c r="AS62" s="23">
        <v>1</v>
      </c>
      <c r="AT62" s="23">
        <v>0</v>
      </c>
      <c r="AU62" s="23">
        <v>0</v>
      </c>
      <c r="AV62" s="23">
        <v>0</v>
      </c>
      <c r="AW62" s="23">
        <v>1</v>
      </c>
      <c r="AX62" s="23">
        <v>0</v>
      </c>
      <c r="AY62" s="23">
        <v>0</v>
      </c>
      <c r="AZ62" s="23">
        <v>0</v>
      </c>
      <c r="BA62" s="23">
        <v>1</v>
      </c>
      <c r="BB62" s="23">
        <v>0</v>
      </c>
      <c r="BC62" s="23">
        <v>0</v>
      </c>
      <c r="BD62" s="23">
        <v>0</v>
      </c>
      <c r="BE62" s="23">
        <v>1</v>
      </c>
      <c r="BF62" s="23">
        <v>1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0</v>
      </c>
      <c r="BO62" s="23">
        <v>0</v>
      </c>
      <c r="BP62" s="23">
        <f t="shared" si="2"/>
        <v>1</v>
      </c>
      <c r="BQ62" s="23">
        <f t="shared" si="3"/>
        <v>1</v>
      </c>
      <c r="BR62" s="23">
        <f t="shared" si="4"/>
        <v>0</v>
      </c>
      <c r="BS62" s="23">
        <f t="shared" si="5"/>
        <v>0</v>
      </c>
      <c r="BT62" s="23">
        <f t="shared" si="6"/>
        <v>1</v>
      </c>
      <c r="BU62" s="23">
        <f t="shared" si="7"/>
        <v>0</v>
      </c>
      <c r="BV62" s="23">
        <f t="shared" si="8"/>
        <v>0</v>
      </c>
      <c r="BW62" s="23">
        <f t="shared" si="9"/>
        <v>0</v>
      </c>
      <c r="BX62" s="23">
        <f t="shared" si="10"/>
        <v>1</v>
      </c>
      <c r="BY62" s="23">
        <f t="shared" si="11"/>
        <v>0</v>
      </c>
      <c r="BZ62" s="23">
        <f t="shared" si="12"/>
        <v>1</v>
      </c>
      <c r="CA62" s="23">
        <f t="shared" si="13"/>
        <v>0</v>
      </c>
      <c r="CB62" s="23">
        <f t="shared" si="14"/>
        <v>0</v>
      </c>
      <c r="CC62" s="23">
        <f t="shared" si="15"/>
        <v>0</v>
      </c>
      <c r="CD62" s="23">
        <f t="shared" si="16"/>
        <v>1</v>
      </c>
      <c r="CE62" s="23">
        <f t="shared" si="17"/>
        <v>0</v>
      </c>
      <c r="CF62" s="23">
        <f t="shared" si="18"/>
        <v>0</v>
      </c>
      <c r="CG62" s="23">
        <f t="shared" si="19"/>
        <v>0</v>
      </c>
      <c r="CH62" s="23">
        <f t="shared" si="20"/>
        <v>1</v>
      </c>
      <c r="CI62" s="23">
        <f t="shared" si="21"/>
        <v>0</v>
      </c>
      <c r="CJ62" s="23">
        <f t="shared" si="22"/>
        <v>0</v>
      </c>
      <c r="CK62" s="23">
        <f t="shared" si="23"/>
        <v>0</v>
      </c>
      <c r="CL62" s="23">
        <f t="shared" si="24"/>
        <v>1</v>
      </c>
      <c r="CM62" s="23">
        <f t="shared" si="25"/>
        <v>1</v>
      </c>
      <c r="CN62" s="23">
        <f t="shared" si="26"/>
        <v>0</v>
      </c>
      <c r="CO62" s="23">
        <f t="shared" si="27"/>
        <v>0</v>
      </c>
      <c r="CP62" s="23">
        <f t="shared" si="28"/>
        <v>0</v>
      </c>
      <c r="CQ62" s="23">
        <f t="shared" si="29"/>
        <v>0</v>
      </c>
      <c r="CR62" s="23">
        <f t="shared" si="30"/>
        <v>0</v>
      </c>
      <c r="CS62" s="23">
        <f t="shared" si="31"/>
        <v>0</v>
      </c>
      <c r="CT62" s="23">
        <f t="shared" si="32"/>
        <v>0</v>
      </c>
      <c r="CU62" s="23">
        <f t="shared" si="33"/>
        <v>0</v>
      </c>
      <c r="CV62" s="23">
        <f t="shared" si="34"/>
        <v>0</v>
      </c>
    </row>
    <row r="63" spans="1:100" ht="13.5">
      <c r="A63" s="15">
        <v>198</v>
      </c>
      <c r="B63" s="27" t="s">
        <v>366</v>
      </c>
      <c r="C63" t="s">
        <v>279</v>
      </c>
      <c r="D63" t="s">
        <v>367</v>
      </c>
      <c r="F63" t="s">
        <v>133</v>
      </c>
      <c r="G63" t="s">
        <v>285</v>
      </c>
      <c r="H63" t="s">
        <v>368</v>
      </c>
      <c r="I63" s="6" t="s">
        <v>136</v>
      </c>
      <c r="J63" s="6">
        <v>0</v>
      </c>
      <c r="K63" t="s">
        <v>369</v>
      </c>
      <c r="L63" s="15">
        <v>1</v>
      </c>
      <c r="M63" s="7">
        <v>46087</v>
      </c>
      <c r="N63" s="7">
        <v>46099</v>
      </c>
      <c r="O63" s="7">
        <v>46098</v>
      </c>
      <c r="P63" s="7">
        <v>46098</v>
      </c>
      <c r="S63" s="6" t="s">
        <v>285</v>
      </c>
      <c r="U63" s="6" t="s">
        <v>191</v>
      </c>
      <c r="V63" s="6" t="str">
        <f t="shared" si="1"/>
        <v>26/03</v>
      </c>
      <c r="W63" s="37">
        <v>21386</v>
      </c>
      <c r="Y63" s="6" t="s">
        <v>286</v>
      </c>
      <c r="Z63" s="6" t="s">
        <v>193</v>
      </c>
      <c r="AE63">
        <v>1257</v>
      </c>
      <c r="AI63" s="23">
        <v>1</v>
      </c>
      <c r="AJ63" s="23">
        <v>1</v>
      </c>
      <c r="AK63" s="23">
        <v>0</v>
      </c>
      <c r="AL63" s="23">
        <v>0</v>
      </c>
      <c r="AM63" s="23">
        <v>1</v>
      </c>
      <c r="AN63" s="23">
        <v>0</v>
      </c>
      <c r="AO63" s="23">
        <v>0</v>
      </c>
      <c r="AP63" s="23">
        <v>1</v>
      </c>
      <c r="AQ63" s="23">
        <v>0</v>
      </c>
      <c r="AR63" s="23">
        <v>0</v>
      </c>
      <c r="AS63" s="23">
        <v>1</v>
      </c>
      <c r="AT63" s="23">
        <v>0</v>
      </c>
      <c r="AU63" s="23">
        <v>1</v>
      </c>
      <c r="AV63" s="23">
        <v>0</v>
      </c>
      <c r="AW63" s="23">
        <v>0</v>
      </c>
      <c r="AX63" s="23">
        <v>1</v>
      </c>
      <c r="AY63" s="23">
        <v>0</v>
      </c>
      <c r="AZ63" s="23">
        <v>0</v>
      </c>
      <c r="BA63" s="23">
        <v>0</v>
      </c>
      <c r="BB63" s="23">
        <v>1</v>
      </c>
      <c r="BC63" s="23">
        <v>0</v>
      </c>
      <c r="BD63" s="23">
        <v>0</v>
      </c>
      <c r="BE63" s="23">
        <v>0</v>
      </c>
      <c r="BF63" s="23">
        <v>1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f t="shared" si="2"/>
        <v>1</v>
      </c>
      <c r="BQ63" s="23">
        <f t="shared" si="3"/>
        <v>1</v>
      </c>
      <c r="BR63" s="23">
        <f t="shared" si="4"/>
        <v>0</v>
      </c>
      <c r="BS63" s="23">
        <f t="shared" si="5"/>
        <v>0</v>
      </c>
      <c r="BT63" s="23">
        <f t="shared" si="6"/>
        <v>1</v>
      </c>
      <c r="BU63" s="23">
        <f t="shared" si="7"/>
        <v>0</v>
      </c>
      <c r="BV63" s="23">
        <f t="shared" si="8"/>
        <v>0</v>
      </c>
      <c r="BW63" s="23">
        <f t="shared" si="9"/>
        <v>1</v>
      </c>
      <c r="BX63" s="23">
        <f t="shared" si="10"/>
        <v>0</v>
      </c>
      <c r="BY63" s="23">
        <f t="shared" si="11"/>
        <v>0</v>
      </c>
      <c r="BZ63" s="23">
        <f t="shared" si="12"/>
        <v>1</v>
      </c>
      <c r="CA63" s="23">
        <f t="shared" si="13"/>
        <v>0</v>
      </c>
      <c r="CB63" s="23">
        <f t="shared" si="14"/>
        <v>1</v>
      </c>
      <c r="CC63" s="23">
        <f t="shared" si="15"/>
        <v>0</v>
      </c>
      <c r="CD63" s="23">
        <f t="shared" si="16"/>
        <v>0</v>
      </c>
      <c r="CE63" s="23">
        <f t="shared" si="17"/>
        <v>1</v>
      </c>
      <c r="CF63" s="23">
        <f t="shared" si="18"/>
        <v>0</v>
      </c>
      <c r="CG63" s="23">
        <f t="shared" si="19"/>
        <v>0</v>
      </c>
      <c r="CH63" s="23">
        <f t="shared" si="20"/>
        <v>0</v>
      </c>
      <c r="CI63" s="23">
        <f t="shared" si="21"/>
        <v>1</v>
      </c>
      <c r="CJ63" s="23">
        <f t="shared" si="22"/>
        <v>0</v>
      </c>
      <c r="CK63" s="23">
        <f t="shared" si="23"/>
        <v>0</v>
      </c>
      <c r="CL63" s="23">
        <f t="shared" si="24"/>
        <v>0</v>
      </c>
      <c r="CM63" s="23">
        <f t="shared" si="25"/>
        <v>1</v>
      </c>
      <c r="CN63" s="23">
        <f t="shared" si="26"/>
        <v>0</v>
      </c>
      <c r="CO63" s="23">
        <f t="shared" si="27"/>
        <v>0</v>
      </c>
      <c r="CP63" s="23">
        <f t="shared" si="28"/>
        <v>0</v>
      </c>
      <c r="CQ63" s="23">
        <f t="shared" si="29"/>
        <v>0</v>
      </c>
      <c r="CR63" s="23">
        <f t="shared" si="30"/>
        <v>0</v>
      </c>
      <c r="CS63" s="23">
        <f t="shared" si="31"/>
        <v>0</v>
      </c>
      <c r="CT63" s="23">
        <f t="shared" si="32"/>
        <v>0</v>
      </c>
      <c r="CU63" s="23">
        <f t="shared" si="33"/>
        <v>0</v>
      </c>
      <c r="CV63" s="23">
        <f t="shared" si="34"/>
        <v>0</v>
      </c>
    </row>
    <row r="64" spans="1:100" ht="13.5">
      <c r="A64" s="15">
        <v>203</v>
      </c>
      <c r="B64" s="27" t="s">
        <v>364</v>
      </c>
      <c r="C64" t="s">
        <v>151</v>
      </c>
      <c r="D64" t="s">
        <v>365</v>
      </c>
      <c r="E64" t="s">
        <v>198</v>
      </c>
      <c r="F64" t="s">
        <v>233</v>
      </c>
      <c r="G64" t="s">
        <v>234</v>
      </c>
      <c r="H64" t="s">
        <v>235</v>
      </c>
      <c r="I64" s="6" t="s">
        <v>147</v>
      </c>
      <c r="J64" s="6">
        <v>1</v>
      </c>
      <c r="K64" t="s">
        <v>174</v>
      </c>
      <c r="L64" s="15">
        <v>1</v>
      </c>
      <c r="M64" s="7">
        <v>46087</v>
      </c>
      <c r="N64" s="7">
        <v>46099</v>
      </c>
      <c r="O64" s="7">
        <v>46098</v>
      </c>
      <c r="P64" s="7">
        <v>46104</v>
      </c>
      <c r="S64" s="6" t="s">
        <v>199</v>
      </c>
      <c r="U64" s="6" t="s">
        <v>191</v>
      </c>
      <c r="V64" s="6" t="str">
        <f t="shared" si="1"/>
        <v>26/03</v>
      </c>
      <c r="W64" s="37">
        <v>21387</v>
      </c>
      <c r="Y64" s="6" t="s">
        <v>200</v>
      </c>
      <c r="Z64" s="6" t="s">
        <v>193</v>
      </c>
      <c r="AG64" s="37">
        <v>3536</v>
      </c>
      <c r="AI64" s="23">
        <v>1</v>
      </c>
      <c r="AJ64" s="23">
        <v>1</v>
      </c>
      <c r="AK64" s="23">
        <v>0</v>
      </c>
      <c r="AL64" s="23">
        <v>0</v>
      </c>
      <c r="AM64" s="23">
        <v>1</v>
      </c>
      <c r="AN64" s="23">
        <v>0</v>
      </c>
      <c r="AO64" s="23">
        <v>0</v>
      </c>
      <c r="AP64" s="23">
        <v>0</v>
      </c>
      <c r="AQ64" s="23">
        <v>1</v>
      </c>
      <c r="AR64" s="23">
        <v>0</v>
      </c>
      <c r="AS64" s="23">
        <v>1</v>
      </c>
      <c r="AT64" s="23">
        <v>0</v>
      </c>
      <c r="AU64" s="23">
        <v>0</v>
      </c>
      <c r="AV64" s="23">
        <v>0</v>
      </c>
      <c r="AW64" s="23">
        <v>1</v>
      </c>
      <c r="AX64" s="23">
        <v>0</v>
      </c>
      <c r="AY64" s="23">
        <v>0</v>
      </c>
      <c r="AZ64" s="23">
        <v>0</v>
      </c>
      <c r="BA64" s="23">
        <v>1</v>
      </c>
      <c r="BB64" s="23">
        <v>0</v>
      </c>
      <c r="BC64" s="23">
        <v>0</v>
      </c>
      <c r="BD64" s="23">
        <v>0</v>
      </c>
      <c r="BE64" s="23">
        <v>1</v>
      </c>
      <c r="BF64" s="23">
        <v>1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f t="shared" si="2"/>
        <v>1</v>
      </c>
      <c r="BQ64" s="23">
        <f t="shared" si="3"/>
        <v>1</v>
      </c>
      <c r="BR64" s="23">
        <f t="shared" si="4"/>
        <v>0</v>
      </c>
      <c r="BS64" s="23">
        <f t="shared" si="5"/>
        <v>0</v>
      </c>
      <c r="BT64" s="23">
        <f t="shared" si="6"/>
        <v>1</v>
      </c>
      <c r="BU64" s="23">
        <f t="shared" si="7"/>
        <v>0</v>
      </c>
      <c r="BV64" s="23">
        <f t="shared" si="8"/>
        <v>0</v>
      </c>
      <c r="BW64" s="23">
        <f t="shared" si="9"/>
        <v>0</v>
      </c>
      <c r="BX64" s="23">
        <f t="shared" si="10"/>
        <v>1</v>
      </c>
      <c r="BY64" s="23">
        <f t="shared" si="11"/>
        <v>0</v>
      </c>
      <c r="BZ64" s="23">
        <f t="shared" si="12"/>
        <v>1</v>
      </c>
      <c r="CA64" s="23">
        <f t="shared" si="13"/>
        <v>0</v>
      </c>
      <c r="CB64" s="23">
        <f t="shared" si="14"/>
        <v>0</v>
      </c>
      <c r="CC64" s="23">
        <f t="shared" si="15"/>
        <v>0</v>
      </c>
      <c r="CD64" s="23">
        <f t="shared" si="16"/>
        <v>1</v>
      </c>
      <c r="CE64" s="23">
        <f t="shared" si="17"/>
        <v>0</v>
      </c>
      <c r="CF64" s="23">
        <f t="shared" si="18"/>
        <v>0</v>
      </c>
      <c r="CG64" s="23">
        <f t="shared" si="19"/>
        <v>0</v>
      </c>
      <c r="CH64" s="23">
        <f t="shared" si="20"/>
        <v>1</v>
      </c>
      <c r="CI64" s="23">
        <f t="shared" si="21"/>
        <v>0</v>
      </c>
      <c r="CJ64" s="23">
        <f t="shared" si="22"/>
        <v>0</v>
      </c>
      <c r="CK64" s="23">
        <f t="shared" si="23"/>
        <v>0</v>
      </c>
      <c r="CL64" s="23">
        <f t="shared" si="24"/>
        <v>1</v>
      </c>
      <c r="CM64" s="23">
        <f t="shared" si="25"/>
        <v>1</v>
      </c>
      <c r="CN64" s="23">
        <f t="shared" si="26"/>
        <v>0</v>
      </c>
      <c r="CO64" s="23">
        <f t="shared" si="27"/>
        <v>0</v>
      </c>
      <c r="CP64" s="23">
        <f t="shared" si="28"/>
        <v>0</v>
      </c>
      <c r="CQ64" s="23">
        <f t="shared" si="29"/>
        <v>0</v>
      </c>
      <c r="CR64" s="23">
        <f t="shared" si="30"/>
        <v>0</v>
      </c>
      <c r="CS64" s="23">
        <f t="shared" si="31"/>
        <v>0</v>
      </c>
      <c r="CT64" s="23">
        <f t="shared" si="32"/>
        <v>0</v>
      </c>
      <c r="CU64" s="23">
        <f t="shared" si="33"/>
        <v>0</v>
      </c>
      <c r="CV64" s="23">
        <f t="shared" si="34"/>
        <v>0</v>
      </c>
    </row>
    <row r="65" spans="1:100" ht="13.5">
      <c r="A65" s="15">
        <v>200</v>
      </c>
      <c r="B65" s="27" t="s">
        <v>370</v>
      </c>
      <c r="C65" t="s">
        <v>279</v>
      </c>
      <c r="D65" t="s">
        <v>371</v>
      </c>
      <c r="E65" t="s">
        <v>215</v>
      </c>
      <c r="F65" t="s">
        <v>133</v>
      </c>
      <c r="G65" t="s">
        <v>285</v>
      </c>
      <c r="H65" t="s">
        <v>368</v>
      </c>
      <c r="I65" s="6" t="s">
        <v>136</v>
      </c>
      <c r="J65" s="6">
        <v>0</v>
      </c>
      <c r="K65" t="s">
        <v>369</v>
      </c>
      <c r="L65" s="15">
        <v>1</v>
      </c>
      <c r="M65" s="7">
        <v>46090</v>
      </c>
      <c r="N65" s="7">
        <v>46100</v>
      </c>
      <c r="O65" s="7">
        <v>46099</v>
      </c>
      <c r="P65" s="7">
        <v>46099</v>
      </c>
      <c r="S65" s="6" t="s">
        <v>285</v>
      </c>
      <c r="U65" s="6" t="s">
        <v>191</v>
      </c>
      <c r="V65" s="6" t="str">
        <f t="shared" si="1"/>
        <v>26/03</v>
      </c>
      <c r="W65">
        <v>21388</v>
      </c>
      <c r="Y65" s="6" t="s">
        <v>286</v>
      </c>
      <c r="Z65" s="6" t="s">
        <v>193</v>
      </c>
      <c r="AE65">
        <v>1258</v>
      </c>
      <c r="AI65" s="23">
        <v>1</v>
      </c>
      <c r="AJ65" s="23">
        <v>1</v>
      </c>
      <c r="AK65" s="23">
        <v>0</v>
      </c>
      <c r="AL65" s="23">
        <v>0</v>
      </c>
      <c r="AM65" s="23">
        <v>1</v>
      </c>
      <c r="AN65" s="23">
        <v>0</v>
      </c>
      <c r="AO65" s="23">
        <v>0</v>
      </c>
      <c r="AP65" s="23">
        <v>1</v>
      </c>
      <c r="AQ65" s="23">
        <v>0</v>
      </c>
      <c r="AR65" s="23">
        <v>0</v>
      </c>
      <c r="AS65" s="23">
        <v>1</v>
      </c>
      <c r="AT65" s="23">
        <v>0</v>
      </c>
      <c r="AU65" s="23">
        <v>1</v>
      </c>
      <c r="AV65" s="23">
        <v>0</v>
      </c>
      <c r="AW65" s="23">
        <v>0</v>
      </c>
      <c r="AX65" s="23">
        <v>1</v>
      </c>
      <c r="AY65" s="23">
        <v>0</v>
      </c>
      <c r="AZ65" s="23">
        <v>0</v>
      </c>
      <c r="BA65" s="23">
        <v>0</v>
      </c>
      <c r="BB65" s="23">
        <v>1</v>
      </c>
      <c r="BC65" s="23">
        <v>0</v>
      </c>
      <c r="BD65" s="23">
        <v>0</v>
      </c>
      <c r="BE65" s="23">
        <v>0</v>
      </c>
      <c r="BF65" s="23">
        <v>1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f t="shared" si="2"/>
        <v>1</v>
      </c>
      <c r="BQ65" s="23">
        <f t="shared" si="3"/>
        <v>1</v>
      </c>
      <c r="BR65" s="23">
        <f t="shared" si="4"/>
        <v>0</v>
      </c>
      <c r="BS65" s="23">
        <f t="shared" si="5"/>
        <v>0</v>
      </c>
      <c r="BT65" s="23">
        <f t="shared" si="6"/>
        <v>1</v>
      </c>
      <c r="BU65" s="23">
        <f t="shared" si="7"/>
        <v>0</v>
      </c>
      <c r="BV65" s="23">
        <f t="shared" si="8"/>
        <v>0</v>
      </c>
      <c r="BW65" s="23">
        <f t="shared" si="9"/>
        <v>1</v>
      </c>
      <c r="BX65" s="23">
        <f t="shared" si="10"/>
        <v>0</v>
      </c>
      <c r="BY65" s="23">
        <f t="shared" si="11"/>
        <v>0</v>
      </c>
      <c r="BZ65" s="23">
        <f t="shared" si="12"/>
        <v>1</v>
      </c>
      <c r="CA65" s="23">
        <f t="shared" si="13"/>
        <v>0</v>
      </c>
      <c r="CB65" s="23">
        <f t="shared" si="14"/>
        <v>1</v>
      </c>
      <c r="CC65" s="23">
        <f t="shared" si="15"/>
        <v>0</v>
      </c>
      <c r="CD65" s="23">
        <f t="shared" si="16"/>
        <v>0</v>
      </c>
      <c r="CE65" s="23">
        <f t="shared" si="17"/>
        <v>1</v>
      </c>
      <c r="CF65" s="23">
        <f t="shared" si="18"/>
        <v>0</v>
      </c>
      <c r="CG65" s="23">
        <f t="shared" si="19"/>
        <v>0</v>
      </c>
      <c r="CH65" s="23">
        <f t="shared" si="20"/>
        <v>0</v>
      </c>
      <c r="CI65" s="23">
        <f t="shared" si="21"/>
        <v>1</v>
      </c>
      <c r="CJ65" s="23">
        <f t="shared" si="22"/>
        <v>0</v>
      </c>
      <c r="CK65" s="23">
        <f t="shared" si="23"/>
        <v>0</v>
      </c>
      <c r="CL65" s="23">
        <f t="shared" si="24"/>
        <v>0</v>
      </c>
      <c r="CM65" s="23">
        <f t="shared" si="25"/>
        <v>1</v>
      </c>
      <c r="CN65" s="23">
        <f t="shared" si="26"/>
        <v>0</v>
      </c>
      <c r="CO65" s="23">
        <f t="shared" si="27"/>
        <v>0</v>
      </c>
      <c r="CP65" s="23">
        <f t="shared" si="28"/>
        <v>0</v>
      </c>
      <c r="CQ65" s="23">
        <f t="shared" si="29"/>
        <v>0</v>
      </c>
      <c r="CR65" s="23">
        <f t="shared" si="30"/>
        <v>0</v>
      </c>
      <c r="CS65" s="23">
        <f t="shared" si="31"/>
        <v>0</v>
      </c>
      <c r="CT65" s="23">
        <f t="shared" si="32"/>
        <v>0</v>
      </c>
      <c r="CU65" s="23">
        <f t="shared" si="33"/>
        <v>0</v>
      </c>
      <c r="CV65" s="23">
        <f t="shared" si="34"/>
        <v>0</v>
      </c>
    </row>
    <row r="66" spans="1:100" ht="13.5">
      <c r="A66" s="15">
        <v>201</v>
      </c>
      <c r="B66" s="27" t="s">
        <v>372</v>
      </c>
      <c r="C66" t="s">
        <v>279</v>
      </c>
      <c r="D66" t="s">
        <v>371</v>
      </c>
      <c r="E66" t="s">
        <v>373</v>
      </c>
      <c r="F66" t="s">
        <v>133</v>
      </c>
      <c r="G66" t="s">
        <v>285</v>
      </c>
      <c r="H66" t="s">
        <v>368</v>
      </c>
      <c r="I66" s="6" t="s">
        <v>136</v>
      </c>
      <c r="J66" s="6">
        <v>0</v>
      </c>
      <c r="K66" t="s">
        <v>369</v>
      </c>
      <c r="L66" s="15">
        <v>1</v>
      </c>
      <c r="M66" s="7">
        <v>46091</v>
      </c>
      <c r="N66" s="7">
        <v>46104</v>
      </c>
      <c r="O66" s="7">
        <v>46100</v>
      </c>
      <c r="P66" s="7">
        <v>46100</v>
      </c>
      <c r="S66" s="6" t="s">
        <v>285</v>
      </c>
      <c r="U66" s="6" t="s">
        <v>191</v>
      </c>
      <c r="V66" s="6" t="str">
        <f t="shared" si="1"/>
        <v>26/03</v>
      </c>
      <c r="W66">
        <v>21389</v>
      </c>
      <c r="Y66" s="6" t="s">
        <v>286</v>
      </c>
      <c r="Z66" s="6" t="s">
        <v>193</v>
      </c>
      <c r="AE66">
        <v>1259</v>
      </c>
      <c r="AI66" s="23">
        <v>1</v>
      </c>
      <c r="AJ66" s="23">
        <v>1</v>
      </c>
      <c r="AK66" s="23">
        <v>0</v>
      </c>
      <c r="AL66" s="23">
        <v>0</v>
      </c>
      <c r="AM66" s="23">
        <v>1</v>
      </c>
      <c r="AN66" s="23">
        <v>0</v>
      </c>
      <c r="AO66" s="23">
        <v>0</v>
      </c>
      <c r="AP66" s="23">
        <v>1</v>
      </c>
      <c r="AQ66" s="23">
        <v>0</v>
      </c>
      <c r="AR66" s="23">
        <v>0</v>
      </c>
      <c r="AS66" s="23">
        <v>1</v>
      </c>
      <c r="AT66" s="23">
        <v>0</v>
      </c>
      <c r="AU66" s="23">
        <v>1</v>
      </c>
      <c r="AV66" s="23">
        <v>0</v>
      </c>
      <c r="AW66" s="23">
        <v>0</v>
      </c>
      <c r="AX66" s="23">
        <v>1</v>
      </c>
      <c r="AY66" s="23">
        <v>0</v>
      </c>
      <c r="AZ66" s="23">
        <v>0</v>
      </c>
      <c r="BA66" s="23">
        <v>0</v>
      </c>
      <c r="BB66" s="23">
        <v>1</v>
      </c>
      <c r="BC66" s="23">
        <v>0</v>
      </c>
      <c r="BD66" s="23">
        <v>0</v>
      </c>
      <c r="BE66" s="23">
        <v>0</v>
      </c>
      <c r="BF66" s="23">
        <v>1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f t="shared" si="2"/>
        <v>1</v>
      </c>
      <c r="BQ66" s="23">
        <f t="shared" si="3"/>
        <v>1</v>
      </c>
      <c r="BR66" s="23">
        <f t="shared" si="4"/>
        <v>0</v>
      </c>
      <c r="BS66" s="23">
        <f t="shared" si="5"/>
        <v>0</v>
      </c>
      <c r="BT66" s="23">
        <f t="shared" si="6"/>
        <v>1</v>
      </c>
      <c r="BU66" s="23">
        <f t="shared" si="7"/>
        <v>0</v>
      </c>
      <c r="BV66" s="23">
        <f t="shared" si="8"/>
        <v>0</v>
      </c>
      <c r="BW66" s="23">
        <f t="shared" si="9"/>
        <v>1</v>
      </c>
      <c r="BX66" s="23">
        <f t="shared" si="10"/>
        <v>0</v>
      </c>
      <c r="BY66" s="23">
        <f t="shared" si="11"/>
        <v>0</v>
      </c>
      <c r="BZ66" s="23">
        <f t="shared" si="12"/>
        <v>1</v>
      </c>
      <c r="CA66" s="23">
        <f t="shared" si="13"/>
        <v>0</v>
      </c>
      <c r="CB66" s="23">
        <f t="shared" si="14"/>
        <v>1</v>
      </c>
      <c r="CC66" s="23">
        <f t="shared" si="15"/>
        <v>0</v>
      </c>
      <c r="CD66" s="23">
        <f t="shared" si="16"/>
        <v>0</v>
      </c>
      <c r="CE66" s="23">
        <f t="shared" si="17"/>
        <v>1</v>
      </c>
      <c r="CF66" s="23">
        <f t="shared" si="18"/>
        <v>0</v>
      </c>
      <c r="CG66" s="23">
        <f t="shared" si="19"/>
        <v>0</v>
      </c>
      <c r="CH66" s="23">
        <f t="shared" si="20"/>
        <v>0</v>
      </c>
      <c r="CI66" s="23">
        <f t="shared" si="21"/>
        <v>1</v>
      </c>
      <c r="CJ66" s="23">
        <f t="shared" si="22"/>
        <v>0</v>
      </c>
      <c r="CK66" s="23">
        <f t="shared" si="23"/>
        <v>0</v>
      </c>
      <c r="CL66" s="23">
        <f t="shared" si="24"/>
        <v>0</v>
      </c>
      <c r="CM66" s="23">
        <f t="shared" si="25"/>
        <v>1</v>
      </c>
      <c r="CN66" s="23">
        <f t="shared" si="26"/>
        <v>0</v>
      </c>
      <c r="CO66" s="23">
        <f t="shared" si="27"/>
        <v>0</v>
      </c>
      <c r="CP66" s="23">
        <f t="shared" si="28"/>
        <v>0</v>
      </c>
      <c r="CQ66" s="23">
        <f t="shared" si="29"/>
        <v>0</v>
      </c>
      <c r="CR66" s="23">
        <f t="shared" si="30"/>
        <v>0</v>
      </c>
      <c r="CS66" s="23">
        <f t="shared" si="31"/>
        <v>0</v>
      </c>
      <c r="CT66" s="23">
        <f t="shared" si="32"/>
        <v>0</v>
      </c>
      <c r="CU66" s="23">
        <f t="shared" si="33"/>
        <v>0</v>
      </c>
      <c r="CV66" s="23">
        <f t="shared" si="34"/>
        <v>0</v>
      </c>
    </row>
    <row r="67" spans="1:100" ht="13.5">
      <c r="A67" s="15">
        <v>204</v>
      </c>
      <c r="B67" s="27" t="s">
        <v>374</v>
      </c>
      <c r="C67" t="s">
        <v>279</v>
      </c>
      <c r="D67" t="s">
        <v>375</v>
      </c>
      <c r="F67" t="s">
        <v>133</v>
      </c>
      <c r="G67" t="s">
        <v>285</v>
      </c>
      <c r="H67" t="s">
        <v>368</v>
      </c>
      <c r="I67" s="6" t="s">
        <v>136</v>
      </c>
      <c r="J67" s="6">
        <v>0</v>
      </c>
      <c r="K67" t="s">
        <v>369</v>
      </c>
      <c r="L67" s="15">
        <v>1</v>
      </c>
      <c r="M67" s="7">
        <v>46092</v>
      </c>
      <c r="N67" s="7">
        <v>46105</v>
      </c>
      <c r="O67" s="7">
        <v>46104</v>
      </c>
      <c r="P67" s="7">
        <v>46104</v>
      </c>
      <c r="S67" s="6" t="s">
        <v>285</v>
      </c>
      <c r="U67" s="6" t="s">
        <v>191</v>
      </c>
      <c r="V67" s="6" t="str">
        <f t="shared" si="1"/>
        <v>26/03</v>
      </c>
      <c r="W67">
        <v>21390</v>
      </c>
      <c r="Y67" s="6" t="s">
        <v>286</v>
      </c>
      <c r="Z67" s="6" t="s">
        <v>193</v>
      </c>
      <c r="AE67">
        <v>1260</v>
      </c>
      <c r="AI67" s="23">
        <v>1</v>
      </c>
      <c r="AJ67" s="23">
        <v>1</v>
      </c>
      <c r="AK67" s="23">
        <v>0</v>
      </c>
      <c r="AL67" s="23">
        <v>0</v>
      </c>
      <c r="AM67" s="23">
        <v>1</v>
      </c>
      <c r="AN67" s="23">
        <v>0</v>
      </c>
      <c r="AO67" s="23">
        <v>0</v>
      </c>
      <c r="AP67" s="23">
        <v>1</v>
      </c>
      <c r="AQ67" s="23">
        <v>0</v>
      </c>
      <c r="AR67" s="23">
        <v>0</v>
      </c>
      <c r="AS67" s="23">
        <v>1</v>
      </c>
      <c r="AT67" s="23">
        <v>0</v>
      </c>
      <c r="AU67" s="23">
        <v>1</v>
      </c>
      <c r="AV67" s="23">
        <v>0</v>
      </c>
      <c r="AW67" s="23">
        <v>0</v>
      </c>
      <c r="AX67" s="23">
        <v>1</v>
      </c>
      <c r="AY67" s="23">
        <v>0</v>
      </c>
      <c r="AZ67" s="23">
        <v>0</v>
      </c>
      <c r="BA67" s="23">
        <v>0</v>
      </c>
      <c r="BB67" s="23">
        <v>1</v>
      </c>
      <c r="BC67" s="23">
        <v>0</v>
      </c>
      <c r="BD67" s="23">
        <v>0</v>
      </c>
      <c r="BE67" s="23">
        <v>0</v>
      </c>
      <c r="BF67" s="23">
        <v>1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f t="shared" si="2"/>
        <v>1</v>
      </c>
      <c r="BQ67" s="23">
        <f t="shared" si="3"/>
        <v>1</v>
      </c>
      <c r="BR67" s="23">
        <f t="shared" si="4"/>
        <v>0</v>
      </c>
      <c r="BS67" s="23">
        <f t="shared" si="5"/>
        <v>0</v>
      </c>
      <c r="BT67" s="23">
        <f t="shared" si="6"/>
        <v>1</v>
      </c>
      <c r="BU67" s="23">
        <f t="shared" si="7"/>
        <v>0</v>
      </c>
      <c r="BV67" s="23">
        <f t="shared" si="8"/>
        <v>0</v>
      </c>
      <c r="BW67" s="23">
        <f t="shared" si="9"/>
        <v>1</v>
      </c>
      <c r="BX67" s="23">
        <f t="shared" si="10"/>
        <v>0</v>
      </c>
      <c r="BY67" s="23">
        <f t="shared" si="11"/>
        <v>0</v>
      </c>
      <c r="BZ67" s="23">
        <f t="shared" si="12"/>
        <v>1</v>
      </c>
      <c r="CA67" s="23">
        <f t="shared" si="13"/>
        <v>0</v>
      </c>
      <c r="CB67" s="23">
        <f t="shared" si="14"/>
        <v>1</v>
      </c>
      <c r="CC67" s="23">
        <f t="shared" si="15"/>
        <v>0</v>
      </c>
      <c r="CD67" s="23">
        <f t="shared" si="16"/>
        <v>0</v>
      </c>
      <c r="CE67" s="23">
        <f t="shared" si="17"/>
        <v>1</v>
      </c>
      <c r="CF67" s="23">
        <f t="shared" si="18"/>
        <v>0</v>
      </c>
      <c r="CG67" s="23">
        <f t="shared" si="19"/>
        <v>0</v>
      </c>
      <c r="CH67" s="23">
        <f t="shared" si="20"/>
        <v>0</v>
      </c>
      <c r="CI67" s="23">
        <f t="shared" si="21"/>
        <v>1</v>
      </c>
      <c r="CJ67" s="23">
        <f t="shared" si="22"/>
        <v>0</v>
      </c>
      <c r="CK67" s="23">
        <f t="shared" si="23"/>
        <v>0</v>
      </c>
      <c r="CL67" s="23">
        <f t="shared" si="24"/>
        <v>0</v>
      </c>
      <c r="CM67" s="23">
        <f t="shared" si="25"/>
        <v>1</v>
      </c>
      <c r="CN67" s="23">
        <f t="shared" si="26"/>
        <v>0</v>
      </c>
      <c r="CO67" s="23">
        <f t="shared" si="27"/>
        <v>0</v>
      </c>
      <c r="CP67" s="23">
        <f t="shared" si="28"/>
        <v>0</v>
      </c>
      <c r="CQ67" s="23">
        <f t="shared" si="29"/>
        <v>0</v>
      </c>
      <c r="CR67" s="23">
        <f t="shared" si="30"/>
        <v>0</v>
      </c>
      <c r="CS67" s="23">
        <f t="shared" si="31"/>
        <v>0</v>
      </c>
      <c r="CT67" s="23">
        <f t="shared" si="32"/>
        <v>0</v>
      </c>
      <c r="CU67" s="23">
        <f t="shared" si="33"/>
        <v>0</v>
      </c>
      <c r="CV67" s="23">
        <f t="shared" si="34"/>
        <v>0</v>
      </c>
    </row>
    <row r="68" spans="1:100" ht="13.5">
      <c r="A68" s="15">
        <v>205</v>
      </c>
      <c r="B68" s="27" t="s">
        <v>376</v>
      </c>
      <c r="C68" t="s">
        <v>279</v>
      </c>
      <c r="D68" t="s">
        <v>377</v>
      </c>
      <c r="E68" t="s">
        <v>215</v>
      </c>
      <c r="F68" t="s">
        <v>133</v>
      </c>
      <c r="G68" t="s">
        <v>285</v>
      </c>
      <c r="H68" t="s">
        <v>368</v>
      </c>
      <c r="I68" s="6" t="s">
        <v>136</v>
      </c>
      <c r="J68" s="6">
        <v>0</v>
      </c>
      <c r="K68" t="s">
        <v>369</v>
      </c>
      <c r="L68" s="15">
        <v>1</v>
      </c>
      <c r="M68" s="7">
        <v>46093</v>
      </c>
      <c r="N68" s="7">
        <v>46106</v>
      </c>
      <c r="O68" s="7">
        <v>46105</v>
      </c>
      <c r="P68" s="7">
        <v>46105</v>
      </c>
      <c r="S68" s="6" t="s">
        <v>285</v>
      </c>
      <c r="U68" s="6" t="s">
        <v>191</v>
      </c>
      <c r="V68" s="6" t="str">
        <f t="shared" si="1"/>
        <v>26/03</v>
      </c>
      <c r="W68">
        <v>21391</v>
      </c>
      <c r="Y68" s="6" t="s">
        <v>286</v>
      </c>
      <c r="Z68" s="6" t="s">
        <v>193</v>
      </c>
      <c r="AE68">
        <v>1261</v>
      </c>
      <c r="AI68" s="23">
        <v>1</v>
      </c>
      <c r="AJ68" s="23">
        <v>1</v>
      </c>
      <c r="AK68" s="23">
        <v>0</v>
      </c>
      <c r="AL68" s="23">
        <v>0</v>
      </c>
      <c r="AM68" s="23">
        <v>1</v>
      </c>
      <c r="AN68" s="23">
        <v>0</v>
      </c>
      <c r="AO68" s="23">
        <v>0</v>
      </c>
      <c r="AP68" s="23">
        <v>1</v>
      </c>
      <c r="AQ68" s="23">
        <v>0</v>
      </c>
      <c r="AR68" s="23">
        <v>0</v>
      </c>
      <c r="AS68" s="23">
        <v>1</v>
      </c>
      <c r="AT68" s="23">
        <v>0</v>
      </c>
      <c r="AU68" s="23">
        <v>1</v>
      </c>
      <c r="AV68" s="23">
        <v>0</v>
      </c>
      <c r="AW68" s="23">
        <v>0</v>
      </c>
      <c r="AX68" s="23">
        <v>1</v>
      </c>
      <c r="AY68" s="23">
        <v>0</v>
      </c>
      <c r="AZ68" s="23">
        <v>0</v>
      </c>
      <c r="BA68" s="23">
        <v>0</v>
      </c>
      <c r="BB68" s="23">
        <v>1</v>
      </c>
      <c r="BC68" s="23">
        <v>0</v>
      </c>
      <c r="BD68" s="23">
        <v>0</v>
      </c>
      <c r="BE68" s="23">
        <v>0</v>
      </c>
      <c r="BF68" s="23">
        <v>1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f t="shared" si="2"/>
        <v>1</v>
      </c>
      <c r="BQ68" s="23">
        <f t="shared" si="3"/>
        <v>1</v>
      </c>
      <c r="BR68" s="23">
        <f t="shared" si="4"/>
        <v>0</v>
      </c>
      <c r="BS68" s="23">
        <f t="shared" si="5"/>
        <v>0</v>
      </c>
      <c r="BT68" s="23">
        <f t="shared" si="6"/>
        <v>1</v>
      </c>
      <c r="BU68" s="23">
        <f t="shared" si="7"/>
        <v>0</v>
      </c>
      <c r="BV68" s="23">
        <f t="shared" si="8"/>
        <v>0</v>
      </c>
      <c r="BW68" s="23">
        <f t="shared" si="9"/>
        <v>1</v>
      </c>
      <c r="BX68" s="23">
        <f t="shared" si="10"/>
        <v>0</v>
      </c>
      <c r="BY68" s="23">
        <f t="shared" si="11"/>
        <v>0</v>
      </c>
      <c r="BZ68" s="23">
        <f t="shared" si="12"/>
        <v>1</v>
      </c>
      <c r="CA68" s="23">
        <f t="shared" si="13"/>
        <v>0</v>
      </c>
      <c r="CB68" s="23">
        <f t="shared" si="14"/>
        <v>1</v>
      </c>
      <c r="CC68" s="23">
        <f t="shared" si="15"/>
        <v>0</v>
      </c>
      <c r="CD68" s="23">
        <f t="shared" si="16"/>
        <v>0</v>
      </c>
      <c r="CE68" s="23">
        <f t="shared" si="17"/>
        <v>1</v>
      </c>
      <c r="CF68" s="23">
        <f t="shared" si="18"/>
        <v>0</v>
      </c>
      <c r="CG68" s="23">
        <f t="shared" si="19"/>
        <v>0</v>
      </c>
      <c r="CH68" s="23">
        <f t="shared" si="20"/>
        <v>0</v>
      </c>
      <c r="CI68" s="23">
        <f t="shared" si="21"/>
        <v>1</v>
      </c>
      <c r="CJ68" s="23">
        <f t="shared" si="22"/>
        <v>0</v>
      </c>
      <c r="CK68" s="23">
        <f t="shared" si="23"/>
        <v>0</v>
      </c>
      <c r="CL68" s="23">
        <f t="shared" si="24"/>
        <v>0</v>
      </c>
      <c r="CM68" s="23">
        <f t="shared" si="25"/>
        <v>1</v>
      </c>
      <c r="CN68" s="23">
        <f t="shared" si="26"/>
        <v>0</v>
      </c>
      <c r="CO68" s="23">
        <f t="shared" si="27"/>
        <v>0</v>
      </c>
      <c r="CP68" s="23">
        <f t="shared" si="28"/>
        <v>0</v>
      </c>
      <c r="CQ68" s="23">
        <f t="shared" si="29"/>
        <v>0</v>
      </c>
      <c r="CR68" s="23">
        <f t="shared" si="30"/>
        <v>0</v>
      </c>
      <c r="CS68" s="23">
        <f t="shared" si="31"/>
        <v>0</v>
      </c>
      <c r="CT68" s="23">
        <f t="shared" si="32"/>
        <v>0</v>
      </c>
      <c r="CU68" s="23">
        <f t="shared" si="33"/>
        <v>0</v>
      </c>
      <c r="CV68" s="23">
        <f t="shared" si="34"/>
        <v>0</v>
      </c>
    </row>
    <row r="69" spans="1:100" ht="13.5">
      <c r="A69" s="15">
        <v>208</v>
      </c>
      <c r="B69" s="27" t="s">
        <v>378</v>
      </c>
      <c r="C69" t="s">
        <v>164</v>
      </c>
      <c r="D69" t="s">
        <v>379</v>
      </c>
      <c r="E69" t="s">
        <v>380</v>
      </c>
      <c r="F69" t="s">
        <v>186</v>
      </c>
      <c r="G69" t="s">
        <v>201</v>
      </c>
      <c r="H69" t="s">
        <v>202</v>
      </c>
      <c r="I69" s="6" t="s">
        <v>147</v>
      </c>
      <c r="J69" s="6">
        <v>0</v>
      </c>
      <c r="K69" t="s">
        <v>174</v>
      </c>
      <c r="L69" s="15">
        <v>1</v>
      </c>
      <c r="M69" s="7">
        <v>46093</v>
      </c>
      <c r="N69" s="7">
        <v>46113</v>
      </c>
      <c r="O69" s="7">
        <v>46112</v>
      </c>
      <c r="P69" s="7">
        <v>46115</v>
      </c>
      <c r="S69" s="6" t="s">
        <v>190</v>
      </c>
      <c r="U69" s="6" t="s">
        <v>191</v>
      </c>
      <c r="V69" s="6" t="str">
        <f t="shared" ref="V69:V132" si="35">TEXT(N69,"YY/MM")</f>
        <v>26/04</v>
      </c>
      <c r="W69">
        <v>21392</v>
      </c>
      <c r="Y69" s="6" t="s">
        <v>192</v>
      </c>
      <c r="Z69" s="6" t="s">
        <v>193</v>
      </c>
      <c r="AD69">
        <v>8234</v>
      </c>
      <c r="AI69" s="23">
        <v>1</v>
      </c>
      <c r="AJ69" s="23">
        <v>1</v>
      </c>
      <c r="AK69" s="23">
        <v>0</v>
      </c>
      <c r="AL69" s="23">
        <v>0</v>
      </c>
      <c r="AM69" s="23">
        <v>1</v>
      </c>
      <c r="AN69" s="23">
        <v>0</v>
      </c>
      <c r="AO69" s="23">
        <v>1</v>
      </c>
      <c r="AP69" s="23">
        <v>0</v>
      </c>
      <c r="AQ69" s="23">
        <v>0</v>
      </c>
      <c r="AR69" s="23">
        <v>0</v>
      </c>
      <c r="AS69" s="23">
        <v>1</v>
      </c>
      <c r="AT69" s="23">
        <v>0</v>
      </c>
      <c r="AU69" s="23">
        <v>1</v>
      </c>
      <c r="AV69" s="23">
        <v>0</v>
      </c>
      <c r="AW69" s="23">
        <v>0</v>
      </c>
      <c r="AX69" s="23">
        <v>1</v>
      </c>
      <c r="AY69" s="23">
        <v>0</v>
      </c>
      <c r="AZ69" s="23">
        <v>0</v>
      </c>
      <c r="BA69" s="23">
        <v>0</v>
      </c>
      <c r="BB69" s="23">
        <v>1</v>
      </c>
      <c r="BC69" s="23">
        <v>0</v>
      </c>
      <c r="BD69" s="23">
        <v>0</v>
      </c>
      <c r="BE69" s="23">
        <v>0</v>
      </c>
      <c r="BF69" s="23">
        <v>1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f t="shared" ref="BP69:BP132" si="36">$L69*AI69</f>
        <v>1</v>
      </c>
      <c r="BQ69" s="23">
        <f t="shared" ref="BQ69:BQ132" si="37">$L69*AJ69</f>
        <v>1</v>
      </c>
      <c r="BR69" s="23">
        <f t="shared" ref="BR69:BR132" si="38">$L69*AK69</f>
        <v>0</v>
      </c>
      <c r="BS69" s="23">
        <f t="shared" ref="BS69:BS132" si="39">$L69*AL69</f>
        <v>0</v>
      </c>
      <c r="BT69" s="23">
        <f t="shared" ref="BT69:BT132" si="40">$L69*AM69</f>
        <v>1</v>
      </c>
      <c r="BU69" s="23">
        <f t="shared" ref="BU69:BU132" si="41">$L69*AN69</f>
        <v>0</v>
      </c>
      <c r="BV69" s="23">
        <f t="shared" ref="BV69:BV132" si="42">$L69*AO69</f>
        <v>1</v>
      </c>
      <c r="BW69" s="23">
        <f t="shared" ref="BW69:BW132" si="43">$L69*AP69</f>
        <v>0</v>
      </c>
      <c r="BX69" s="23">
        <f t="shared" ref="BX69:BX132" si="44">$L69*AQ69</f>
        <v>0</v>
      </c>
      <c r="BY69" s="23">
        <f t="shared" ref="BY69:BY132" si="45">$L69*AR69</f>
        <v>0</v>
      </c>
      <c r="BZ69" s="23">
        <f t="shared" ref="BZ69:BZ132" si="46">$L69*AS69</f>
        <v>1</v>
      </c>
      <c r="CA69" s="23">
        <f t="shared" ref="CA69:CA132" si="47">$L69*AT69</f>
        <v>0</v>
      </c>
      <c r="CB69" s="23">
        <f t="shared" ref="CB69:CB132" si="48">$L69*AU69</f>
        <v>1</v>
      </c>
      <c r="CC69" s="23">
        <f t="shared" ref="CC69:CC132" si="49">$L69*AV69</f>
        <v>0</v>
      </c>
      <c r="CD69" s="23">
        <f t="shared" ref="CD69:CD132" si="50">$L69*AW69</f>
        <v>0</v>
      </c>
      <c r="CE69" s="23">
        <f t="shared" ref="CE69:CE132" si="51">$L69*AX69</f>
        <v>1</v>
      </c>
      <c r="CF69" s="23">
        <f t="shared" ref="CF69:CF132" si="52">$L69*AY69</f>
        <v>0</v>
      </c>
      <c r="CG69" s="23">
        <f t="shared" ref="CG69:CG132" si="53">$L69*AZ69</f>
        <v>0</v>
      </c>
      <c r="CH69" s="23">
        <f t="shared" ref="CH69:CH132" si="54">$L69*BA69</f>
        <v>0</v>
      </c>
      <c r="CI69" s="23">
        <f t="shared" ref="CI69:CI132" si="55">$L69*BB69</f>
        <v>1</v>
      </c>
      <c r="CJ69" s="23">
        <f t="shared" ref="CJ69:CJ132" si="56">$L69*BC69</f>
        <v>0</v>
      </c>
      <c r="CK69" s="23">
        <f t="shared" ref="CK69:CK132" si="57">$L69*BD69</f>
        <v>0</v>
      </c>
      <c r="CL69" s="23">
        <f t="shared" ref="CL69:CL132" si="58">$L69*BE69</f>
        <v>0</v>
      </c>
      <c r="CM69" s="23">
        <f t="shared" ref="CM69:CM132" si="59">$L69*BF69</f>
        <v>1</v>
      </c>
      <c r="CN69" s="23">
        <f t="shared" ref="CN69:CN132" si="60">$L69*BG69</f>
        <v>0</v>
      </c>
      <c r="CO69" s="23">
        <f t="shared" ref="CO69:CO132" si="61">$L69*BH69</f>
        <v>0</v>
      </c>
      <c r="CP69" s="23">
        <f t="shared" ref="CP69:CP132" si="62">$L69*BI69</f>
        <v>0</v>
      </c>
      <c r="CQ69" s="23">
        <f t="shared" ref="CQ69:CQ132" si="63">$L69*BJ69</f>
        <v>0</v>
      </c>
      <c r="CR69" s="23">
        <f t="shared" ref="CR69:CR132" si="64">$L69*BK69</f>
        <v>0</v>
      </c>
      <c r="CS69" s="23">
        <f t="shared" ref="CS69:CS132" si="65">$L69*BL69</f>
        <v>0</v>
      </c>
      <c r="CT69" s="23">
        <f t="shared" ref="CT69:CT132" si="66">$L69*BM69</f>
        <v>0</v>
      </c>
      <c r="CU69" s="23">
        <f t="shared" ref="CU69:CU132" si="67">$L69*BN69</f>
        <v>0</v>
      </c>
      <c r="CV69" s="23">
        <f t="shared" ref="CV69:CV132" si="68">$L69*BO69</f>
        <v>0</v>
      </c>
    </row>
    <row r="70" spans="1:100" ht="13.5">
      <c r="A70" s="15">
        <v>209</v>
      </c>
      <c r="B70" s="27" t="s">
        <v>381</v>
      </c>
      <c r="C70" t="s">
        <v>151</v>
      </c>
      <c r="D70" t="s">
        <v>382</v>
      </c>
      <c r="E70" t="s">
        <v>383</v>
      </c>
      <c r="F70" t="s">
        <v>233</v>
      </c>
      <c r="G70" t="s">
        <v>234</v>
      </c>
      <c r="H70" t="s">
        <v>235</v>
      </c>
      <c r="I70" s="6" t="s">
        <v>147</v>
      </c>
      <c r="J70" s="6">
        <v>1</v>
      </c>
      <c r="K70" t="s">
        <v>174</v>
      </c>
      <c r="L70" s="15">
        <v>1</v>
      </c>
      <c r="M70" s="7">
        <v>46094</v>
      </c>
      <c r="N70" s="7">
        <v>46114</v>
      </c>
      <c r="O70" s="7">
        <v>46113</v>
      </c>
      <c r="P70" s="7">
        <v>46118</v>
      </c>
      <c r="S70" s="6" t="s">
        <v>199</v>
      </c>
      <c r="U70" s="6" t="s">
        <v>191</v>
      </c>
      <c r="V70" s="6" t="str">
        <f t="shared" si="35"/>
        <v>26/04</v>
      </c>
      <c r="W70">
        <v>21393</v>
      </c>
      <c r="Y70" s="6" t="s">
        <v>200</v>
      </c>
      <c r="Z70" s="6" t="s">
        <v>193</v>
      </c>
      <c r="AG70">
        <v>3537</v>
      </c>
      <c r="AI70" s="23">
        <v>1</v>
      </c>
      <c r="AJ70" s="23">
        <v>1</v>
      </c>
      <c r="AK70" s="23">
        <v>0</v>
      </c>
      <c r="AL70" s="23">
        <v>0</v>
      </c>
      <c r="AM70" s="23">
        <v>1</v>
      </c>
      <c r="AN70" s="23">
        <v>0</v>
      </c>
      <c r="AO70" s="23">
        <v>0</v>
      </c>
      <c r="AP70" s="23">
        <v>0</v>
      </c>
      <c r="AQ70" s="23">
        <v>1</v>
      </c>
      <c r="AR70" s="23">
        <v>0</v>
      </c>
      <c r="AS70" s="23">
        <v>1</v>
      </c>
      <c r="AT70" s="23">
        <v>0</v>
      </c>
      <c r="AU70" s="23">
        <v>0</v>
      </c>
      <c r="AV70" s="23">
        <v>0</v>
      </c>
      <c r="AW70" s="23">
        <v>1</v>
      </c>
      <c r="AX70" s="23">
        <v>0</v>
      </c>
      <c r="AY70" s="23">
        <v>0</v>
      </c>
      <c r="AZ70" s="23">
        <v>0</v>
      </c>
      <c r="BA70" s="23">
        <v>1</v>
      </c>
      <c r="BB70" s="23">
        <v>0</v>
      </c>
      <c r="BC70" s="23">
        <v>0</v>
      </c>
      <c r="BD70" s="23">
        <v>0</v>
      </c>
      <c r="BE70" s="23">
        <v>1</v>
      </c>
      <c r="BF70" s="23">
        <v>1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f t="shared" si="36"/>
        <v>1</v>
      </c>
      <c r="BQ70" s="23">
        <f t="shared" si="37"/>
        <v>1</v>
      </c>
      <c r="BR70" s="23">
        <f t="shared" si="38"/>
        <v>0</v>
      </c>
      <c r="BS70" s="23">
        <f t="shared" si="39"/>
        <v>0</v>
      </c>
      <c r="BT70" s="23">
        <f t="shared" si="40"/>
        <v>1</v>
      </c>
      <c r="BU70" s="23">
        <f t="shared" si="41"/>
        <v>0</v>
      </c>
      <c r="BV70" s="23">
        <f t="shared" si="42"/>
        <v>0</v>
      </c>
      <c r="BW70" s="23">
        <f t="shared" si="43"/>
        <v>0</v>
      </c>
      <c r="BX70" s="23">
        <f t="shared" si="44"/>
        <v>1</v>
      </c>
      <c r="BY70" s="23">
        <f t="shared" si="45"/>
        <v>0</v>
      </c>
      <c r="BZ70" s="23">
        <f t="shared" si="46"/>
        <v>1</v>
      </c>
      <c r="CA70" s="23">
        <f t="shared" si="47"/>
        <v>0</v>
      </c>
      <c r="CB70" s="23">
        <f t="shared" si="48"/>
        <v>0</v>
      </c>
      <c r="CC70" s="23">
        <f t="shared" si="49"/>
        <v>0</v>
      </c>
      <c r="CD70" s="23">
        <f t="shared" si="50"/>
        <v>1</v>
      </c>
      <c r="CE70" s="23">
        <f t="shared" si="51"/>
        <v>0</v>
      </c>
      <c r="CF70" s="23">
        <f t="shared" si="52"/>
        <v>0</v>
      </c>
      <c r="CG70" s="23">
        <f t="shared" si="53"/>
        <v>0</v>
      </c>
      <c r="CH70" s="23">
        <f t="shared" si="54"/>
        <v>1</v>
      </c>
      <c r="CI70" s="23">
        <f t="shared" si="55"/>
        <v>0</v>
      </c>
      <c r="CJ70" s="23">
        <f t="shared" si="56"/>
        <v>0</v>
      </c>
      <c r="CK70" s="23">
        <f t="shared" si="57"/>
        <v>0</v>
      </c>
      <c r="CL70" s="23">
        <f t="shared" si="58"/>
        <v>1</v>
      </c>
      <c r="CM70" s="23">
        <f t="shared" si="59"/>
        <v>1</v>
      </c>
      <c r="CN70" s="23">
        <f t="shared" si="60"/>
        <v>0</v>
      </c>
      <c r="CO70" s="23">
        <f t="shared" si="61"/>
        <v>0</v>
      </c>
      <c r="CP70" s="23">
        <f t="shared" si="62"/>
        <v>0</v>
      </c>
      <c r="CQ70" s="23">
        <f t="shared" si="63"/>
        <v>0</v>
      </c>
      <c r="CR70" s="23">
        <f t="shared" si="64"/>
        <v>0</v>
      </c>
      <c r="CS70" s="23">
        <f t="shared" si="65"/>
        <v>0</v>
      </c>
      <c r="CT70" s="23">
        <f t="shared" si="66"/>
        <v>0</v>
      </c>
      <c r="CU70" s="23">
        <f t="shared" si="67"/>
        <v>0</v>
      </c>
      <c r="CV70" s="23">
        <f t="shared" si="68"/>
        <v>0</v>
      </c>
    </row>
    <row r="71" spans="1:100" ht="13.5">
      <c r="A71" s="15">
        <v>210</v>
      </c>
      <c r="B71" s="27" t="s">
        <v>384</v>
      </c>
      <c r="C71" t="s">
        <v>151</v>
      </c>
      <c r="D71" t="s">
        <v>385</v>
      </c>
      <c r="E71" t="s">
        <v>148</v>
      </c>
      <c r="F71" t="s">
        <v>233</v>
      </c>
      <c r="G71" t="s">
        <v>234</v>
      </c>
      <c r="H71" t="s">
        <v>235</v>
      </c>
      <c r="I71" s="6" t="s">
        <v>147</v>
      </c>
      <c r="J71" s="6">
        <v>1</v>
      </c>
      <c r="K71" t="s">
        <v>174</v>
      </c>
      <c r="L71" s="15">
        <v>1</v>
      </c>
      <c r="M71" s="7">
        <v>46097</v>
      </c>
      <c r="N71" s="7">
        <v>46115</v>
      </c>
      <c r="O71" s="7">
        <v>46114</v>
      </c>
      <c r="P71" s="7">
        <v>46119</v>
      </c>
      <c r="S71" s="6" t="s">
        <v>199</v>
      </c>
      <c r="U71" s="6" t="s">
        <v>191</v>
      </c>
      <c r="V71" s="6" t="str">
        <f t="shared" si="35"/>
        <v>26/04</v>
      </c>
      <c r="W71">
        <v>21394</v>
      </c>
      <c r="Y71" s="6" t="s">
        <v>200</v>
      </c>
      <c r="Z71" s="6" t="s">
        <v>193</v>
      </c>
      <c r="AG71">
        <v>3538</v>
      </c>
      <c r="AI71" s="23">
        <v>1</v>
      </c>
      <c r="AJ71" s="23">
        <v>1</v>
      </c>
      <c r="AK71" s="23">
        <v>0</v>
      </c>
      <c r="AL71" s="23">
        <v>0</v>
      </c>
      <c r="AM71" s="23">
        <v>1</v>
      </c>
      <c r="AN71" s="23">
        <v>0</v>
      </c>
      <c r="AO71" s="23">
        <v>0</v>
      </c>
      <c r="AP71" s="23">
        <v>0</v>
      </c>
      <c r="AQ71" s="23">
        <v>1</v>
      </c>
      <c r="AR71" s="23">
        <v>0</v>
      </c>
      <c r="AS71" s="23">
        <v>1</v>
      </c>
      <c r="AT71" s="23">
        <v>0</v>
      </c>
      <c r="AU71" s="23">
        <v>0</v>
      </c>
      <c r="AV71" s="23">
        <v>0</v>
      </c>
      <c r="AW71" s="23">
        <v>1</v>
      </c>
      <c r="AX71" s="23">
        <v>0</v>
      </c>
      <c r="AY71" s="23">
        <v>0</v>
      </c>
      <c r="AZ71" s="23">
        <v>0</v>
      </c>
      <c r="BA71" s="23">
        <v>1</v>
      </c>
      <c r="BB71" s="23">
        <v>0</v>
      </c>
      <c r="BC71" s="23">
        <v>0</v>
      </c>
      <c r="BD71" s="23">
        <v>0</v>
      </c>
      <c r="BE71" s="23">
        <v>1</v>
      </c>
      <c r="BF71" s="23">
        <v>1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f t="shared" si="36"/>
        <v>1</v>
      </c>
      <c r="BQ71" s="23">
        <f t="shared" si="37"/>
        <v>1</v>
      </c>
      <c r="BR71" s="23">
        <f t="shared" si="38"/>
        <v>0</v>
      </c>
      <c r="BS71" s="23">
        <f t="shared" si="39"/>
        <v>0</v>
      </c>
      <c r="BT71" s="23">
        <f t="shared" si="40"/>
        <v>1</v>
      </c>
      <c r="BU71" s="23">
        <f t="shared" si="41"/>
        <v>0</v>
      </c>
      <c r="BV71" s="23">
        <f t="shared" si="42"/>
        <v>0</v>
      </c>
      <c r="BW71" s="23">
        <f t="shared" si="43"/>
        <v>0</v>
      </c>
      <c r="BX71" s="23">
        <f t="shared" si="44"/>
        <v>1</v>
      </c>
      <c r="BY71" s="23">
        <f t="shared" si="45"/>
        <v>0</v>
      </c>
      <c r="BZ71" s="23">
        <f t="shared" si="46"/>
        <v>1</v>
      </c>
      <c r="CA71" s="23">
        <f t="shared" si="47"/>
        <v>0</v>
      </c>
      <c r="CB71" s="23">
        <f t="shared" si="48"/>
        <v>0</v>
      </c>
      <c r="CC71" s="23">
        <f t="shared" si="49"/>
        <v>0</v>
      </c>
      <c r="CD71" s="23">
        <f t="shared" si="50"/>
        <v>1</v>
      </c>
      <c r="CE71" s="23">
        <f t="shared" si="51"/>
        <v>0</v>
      </c>
      <c r="CF71" s="23">
        <f t="shared" si="52"/>
        <v>0</v>
      </c>
      <c r="CG71" s="23">
        <f t="shared" si="53"/>
        <v>0</v>
      </c>
      <c r="CH71" s="23">
        <f t="shared" si="54"/>
        <v>1</v>
      </c>
      <c r="CI71" s="23">
        <f t="shared" si="55"/>
        <v>0</v>
      </c>
      <c r="CJ71" s="23">
        <f t="shared" si="56"/>
        <v>0</v>
      </c>
      <c r="CK71" s="23">
        <f t="shared" si="57"/>
        <v>0</v>
      </c>
      <c r="CL71" s="23">
        <f t="shared" si="58"/>
        <v>1</v>
      </c>
      <c r="CM71" s="23">
        <f t="shared" si="59"/>
        <v>1</v>
      </c>
      <c r="CN71" s="23">
        <f t="shared" si="60"/>
        <v>0</v>
      </c>
      <c r="CO71" s="23">
        <f t="shared" si="61"/>
        <v>0</v>
      </c>
      <c r="CP71" s="23">
        <f t="shared" si="62"/>
        <v>0</v>
      </c>
      <c r="CQ71" s="23">
        <f t="shared" si="63"/>
        <v>0</v>
      </c>
      <c r="CR71" s="23">
        <f t="shared" si="64"/>
        <v>0</v>
      </c>
      <c r="CS71" s="23">
        <f t="shared" si="65"/>
        <v>0</v>
      </c>
      <c r="CT71" s="23">
        <f t="shared" si="66"/>
        <v>0</v>
      </c>
      <c r="CU71" s="23">
        <f t="shared" si="67"/>
        <v>0</v>
      </c>
      <c r="CV71" s="23">
        <f t="shared" si="68"/>
        <v>0</v>
      </c>
    </row>
    <row r="72" spans="1:100" ht="13.5">
      <c r="A72" s="15">
        <v>212</v>
      </c>
      <c r="B72" s="27" t="s">
        <v>386</v>
      </c>
      <c r="C72" t="s">
        <v>151</v>
      </c>
      <c r="D72" t="s">
        <v>385</v>
      </c>
      <c r="E72" t="s">
        <v>387</v>
      </c>
      <c r="F72" t="s">
        <v>233</v>
      </c>
      <c r="G72" t="s">
        <v>234</v>
      </c>
      <c r="H72" t="s">
        <v>235</v>
      </c>
      <c r="I72" s="6" t="s">
        <v>147</v>
      </c>
      <c r="J72" s="6">
        <v>1</v>
      </c>
      <c r="K72" t="s">
        <v>174</v>
      </c>
      <c r="L72" s="15">
        <v>1</v>
      </c>
      <c r="M72" s="7">
        <v>46098</v>
      </c>
      <c r="N72" s="7">
        <v>46118</v>
      </c>
      <c r="O72" s="7">
        <v>46115</v>
      </c>
      <c r="P72" s="7">
        <v>46120</v>
      </c>
      <c r="S72" s="6" t="s">
        <v>199</v>
      </c>
      <c r="U72" s="6" t="s">
        <v>191</v>
      </c>
      <c r="V72" s="6" t="str">
        <f t="shared" si="35"/>
        <v>26/04</v>
      </c>
      <c r="W72">
        <v>21395</v>
      </c>
      <c r="Y72" s="6" t="s">
        <v>200</v>
      </c>
      <c r="Z72" s="6" t="s">
        <v>193</v>
      </c>
      <c r="AG72">
        <v>3539</v>
      </c>
      <c r="AI72" s="23">
        <v>1</v>
      </c>
      <c r="AJ72" s="23">
        <v>1</v>
      </c>
      <c r="AK72" s="23">
        <v>0</v>
      </c>
      <c r="AL72" s="23">
        <v>0</v>
      </c>
      <c r="AM72" s="23">
        <v>1</v>
      </c>
      <c r="AN72" s="23">
        <v>0</v>
      </c>
      <c r="AO72" s="23">
        <v>0</v>
      </c>
      <c r="AP72" s="23">
        <v>0</v>
      </c>
      <c r="AQ72" s="23">
        <v>1</v>
      </c>
      <c r="AR72" s="23">
        <v>0</v>
      </c>
      <c r="AS72" s="23">
        <v>1</v>
      </c>
      <c r="AT72" s="23">
        <v>0</v>
      </c>
      <c r="AU72" s="23">
        <v>0</v>
      </c>
      <c r="AV72" s="23">
        <v>0</v>
      </c>
      <c r="AW72" s="23">
        <v>1</v>
      </c>
      <c r="AX72" s="23">
        <v>0</v>
      </c>
      <c r="AY72" s="23">
        <v>0</v>
      </c>
      <c r="AZ72" s="23">
        <v>0</v>
      </c>
      <c r="BA72" s="23">
        <v>1</v>
      </c>
      <c r="BB72" s="23">
        <v>0</v>
      </c>
      <c r="BC72" s="23">
        <v>0</v>
      </c>
      <c r="BD72" s="23">
        <v>0</v>
      </c>
      <c r="BE72" s="23">
        <v>1</v>
      </c>
      <c r="BF72" s="23">
        <v>1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f t="shared" si="36"/>
        <v>1</v>
      </c>
      <c r="BQ72" s="23">
        <f t="shared" si="37"/>
        <v>1</v>
      </c>
      <c r="BR72" s="23">
        <f t="shared" si="38"/>
        <v>0</v>
      </c>
      <c r="BS72" s="23">
        <f t="shared" si="39"/>
        <v>0</v>
      </c>
      <c r="BT72" s="23">
        <f t="shared" si="40"/>
        <v>1</v>
      </c>
      <c r="BU72" s="23">
        <f t="shared" si="41"/>
        <v>0</v>
      </c>
      <c r="BV72" s="23">
        <f t="shared" si="42"/>
        <v>0</v>
      </c>
      <c r="BW72" s="23">
        <f t="shared" si="43"/>
        <v>0</v>
      </c>
      <c r="BX72" s="23">
        <f t="shared" si="44"/>
        <v>1</v>
      </c>
      <c r="BY72" s="23">
        <f t="shared" si="45"/>
        <v>0</v>
      </c>
      <c r="BZ72" s="23">
        <f t="shared" si="46"/>
        <v>1</v>
      </c>
      <c r="CA72" s="23">
        <f t="shared" si="47"/>
        <v>0</v>
      </c>
      <c r="CB72" s="23">
        <f t="shared" si="48"/>
        <v>0</v>
      </c>
      <c r="CC72" s="23">
        <f t="shared" si="49"/>
        <v>0</v>
      </c>
      <c r="CD72" s="23">
        <f t="shared" si="50"/>
        <v>1</v>
      </c>
      <c r="CE72" s="23">
        <f t="shared" si="51"/>
        <v>0</v>
      </c>
      <c r="CF72" s="23">
        <f t="shared" si="52"/>
        <v>0</v>
      </c>
      <c r="CG72" s="23">
        <f t="shared" si="53"/>
        <v>0</v>
      </c>
      <c r="CH72" s="23">
        <f t="shared" si="54"/>
        <v>1</v>
      </c>
      <c r="CI72" s="23">
        <f t="shared" si="55"/>
        <v>0</v>
      </c>
      <c r="CJ72" s="23">
        <f t="shared" si="56"/>
        <v>0</v>
      </c>
      <c r="CK72" s="23">
        <f t="shared" si="57"/>
        <v>0</v>
      </c>
      <c r="CL72" s="23">
        <f t="shared" si="58"/>
        <v>1</v>
      </c>
      <c r="CM72" s="23">
        <f t="shared" si="59"/>
        <v>1</v>
      </c>
      <c r="CN72" s="23">
        <f t="shared" si="60"/>
        <v>0</v>
      </c>
      <c r="CO72" s="23">
        <f t="shared" si="61"/>
        <v>0</v>
      </c>
      <c r="CP72" s="23">
        <f t="shared" si="62"/>
        <v>0</v>
      </c>
      <c r="CQ72" s="23">
        <f t="shared" si="63"/>
        <v>0</v>
      </c>
      <c r="CR72" s="23">
        <f t="shared" si="64"/>
        <v>0</v>
      </c>
      <c r="CS72" s="23">
        <f t="shared" si="65"/>
        <v>0</v>
      </c>
      <c r="CT72" s="23">
        <f t="shared" si="66"/>
        <v>0</v>
      </c>
      <c r="CU72" s="23">
        <f t="shared" si="67"/>
        <v>0</v>
      </c>
      <c r="CV72" s="23">
        <f t="shared" si="68"/>
        <v>0</v>
      </c>
    </row>
    <row r="73" spans="1:100" ht="13.5">
      <c r="A73" s="15">
        <v>221</v>
      </c>
      <c r="B73" s="27" t="s">
        <v>388</v>
      </c>
      <c r="C73" t="s">
        <v>151</v>
      </c>
      <c r="D73" t="s">
        <v>389</v>
      </c>
      <c r="E73" t="s">
        <v>148</v>
      </c>
      <c r="F73" t="s">
        <v>233</v>
      </c>
      <c r="G73" t="s">
        <v>234</v>
      </c>
      <c r="H73" t="s">
        <v>235</v>
      </c>
      <c r="I73" s="6" t="s">
        <v>147</v>
      </c>
      <c r="J73" s="6">
        <v>1</v>
      </c>
      <c r="K73" t="s">
        <v>174</v>
      </c>
      <c r="L73" s="15">
        <v>1</v>
      </c>
      <c r="M73" s="7">
        <v>46112</v>
      </c>
      <c r="N73" s="7">
        <v>46127</v>
      </c>
      <c r="O73" s="7">
        <v>46126</v>
      </c>
      <c r="P73" s="7">
        <v>46129</v>
      </c>
      <c r="S73" s="6" t="s">
        <v>199</v>
      </c>
      <c r="U73" s="6" t="s">
        <v>191</v>
      </c>
      <c r="V73" s="6" t="str">
        <f t="shared" si="35"/>
        <v>26/04</v>
      </c>
      <c r="W73">
        <v>21396</v>
      </c>
      <c r="Y73" s="6" t="s">
        <v>200</v>
      </c>
      <c r="Z73" s="6" t="s">
        <v>193</v>
      </c>
      <c r="AG73">
        <v>3540</v>
      </c>
      <c r="AI73" s="23">
        <v>1</v>
      </c>
      <c r="AJ73" s="23">
        <v>1</v>
      </c>
      <c r="AK73" s="23">
        <v>0</v>
      </c>
      <c r="AL73" s="23">
        <v>0</v>
      </c>
      <c r="AM73" s="23">
        <v>1</v>
      </c>
      <c r="AN73" s="23">
        <v>0</v>
      </c>
      <c r="AO73" s="23">
        <v>0</v>
      </c>
      <c r="AP73" s="23">
        <v>0</v>
      </c>
      <c r="AQ73" s="23">
        <v>1</v>
      </c>
      <c r="AR73" s="23">
        <v>0</v>
      </c>
      <c r="AS73" s="23">
        <v>1</v>
      </c>
      <c r="AT73" s="23">
        <v>0</v>
      </c>
      <c r="AU73" s="23">
        <v>0</v>
      </c>
      <c r="AV73" s="23">
        <v>0</v>
      </c>
      <c r="AW73" s="23">
        <v>1</v>
      </c>
      <c r="AX73" s="23">
        <v>0</v>
      </c>
      <c r="AY73" s="23">
        <v>0</v>
      </c>
      <c r="AZ73" s="23">
        <v>0</v>
      </c>
      <c r="BA73" s="23">
        <v>1</v>
      </c>
      <c r="BB73" s="23">
        <v>0</v>
      </c>
      <c r="BC73" s="23">
        <v>0</v>
      </c>
      <c r="BD73" s="23">
        <v>0</v>
      </c>
      <c r="BE73" s="23">
        <v>1</v>
      </c>
      <c r="BF73" s="23">
        <v>1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f t="shared" si="36"/>
        <v>1</v>
      </c>
      <c r="BQ73" s="23">
        <f t="shared" si="37"/>
        <v>1</v>
      </c>
      <c r="BR73" s="23">
        <f t="shared" si="38"/>
        <v>0</v>
      </c>
      <c r="BS73" s="23">
        <f t="shared" si="39"/>
        <v>0</v>
      </c>
      <c r="BT73" s="23">
        <f t="shared" si="40"/>
        <v>1</v>
      </c>
      <c r="BU73" s="23">
        <f t="shared" si="41"/>
        <v>0</v>
      </c>
      <c r="BV73" s="23">
        <f t="shared" si="42"/>
        <v>0</v>
      </c>
      <c r="BW73" s="23">
        <f t="shared" si="43"/>
        <v>0</v>
      </c>
      <c r="BX73" s="23">
        <f t="shared" si="44"/>
        <v>1</v>
      </c>
      <c r="BY73" s="23">
        <f t="shared" si="45"/>
        <v>0</v>
      </c>
      <c r="BZ73" s="23">
        <f t="shared" si="46"/>
        <v>1</v>
      </c>
      <c r="CA73" s="23">
        <f t="shared" si="47"/>
        <v>0</v>
      </c>
      <c r="CB73" s="23">
        <f t="shared" si="48"/>
        <v>0</v>
      </c>
      <c r="CC73" s="23">
        <f t="shared" si="49"/>
        <v>0</v>
      </c>
      <c r="CD73" s="23">
        <f t="shared" si="50"/>
        <v>1</v>
      </c>
      <c r="CE73" s="23">
        <f t="shared" si="51"/>
        <v>0</v>
      </c>
      <c r="CF73" s="23">
        <f t="shared" si="52"/>
        <v>0</v>
      </c>
      <c r="CG73" s="23">
        <f t="shared" si="53"/>
        <v>0</v>
      </c>
      <c r="CH73" s="23">
        <f t="shared" si="54"/>
        <v>1</v>
      </c>
      <c r="CI73" s="23">
        <f t="shared" si="55"/>
        <v>0</v>
      </c>
      <c r="CJ73" s="23">
        <f t="shared" si="56"/>
        <v>0</v>
      </c>
      <c r="CK73" s="23">
        <f t="shared" si="57"/>
        <v>0</v>
      </c>
      <c r="CL73" s="23">
        <f t="shared" si="58"/>
        <v>1</v>
      </c>
      <c r="CM73" s="23">
        <f t="shared" si="59"/>
        <v>1</v>
      </c>
      <c r="CN73" s="23">
        <f t="shared" si="60"/>
        <v>0</v>
      </c>
      <c r="CO73" s="23">
        <f t="shared" si="61"/>
        <v>0</v>
      </c>
      <c r="CP73" s="23">
        <f t="shared" si="62"/>
        <v>0</v>
      </c>
      <c r="CQ73" s="23">
        <f t="shared" si="63"/>
        <v>0</v>
      </c>
      <c r="CR73" s="23">
        <f t="shared" si="64"/>
        <v>0</v>
      </c>
      <c r="CS73" s="23">
        <f t="shared" si="65"/>
        <v>0</v>
      </c>
      <c r="CT73" s="23">
        <f t="shared" si="66"/>
        <v>0</v>
      </c>
      <c r="CU73" s="23">
        <f t="shared" si="67"/>
        <v>0</v>
      </c>
      <c r="CV73" s="23">
        <f t="shared" si="68"/>
        <v>0</v>
      </c>
    </row>
    <row r="74" spans="1:100" ht="13.5">
      <c r="A74" s="15">
        <v>214</v>
      </c>
      <c r="B74" s="27" t="s">
        <v>390</v>
      </c>
      <c r="C74" t="s">
        <v>279</v>
      </c>
      <c r="D74" t="s">
        <v>391</v>
      </c>
      <c r="E74" t="s">
        <v>215</v>
      </c>
      <c r="F74" t="s">
        <v>133</v>
      </c>
      <c r="G74" t="s">
        <v>285</v>
      </c>
      <c r="H74" t="s">
        <v>368</v>
      </c>
      <c r="I74" s="6" t="s">
        <v>136</v>
      </c>
      <c r="J74" s="6">
        <v>0</v>
      </c>
      <c r="K74" t="s">
        <v>369</v>
      </c>
      <c r="L74" s="15">
        <v>1</v>
      </c>
      <c r="M74" s="7">
        <v>46118</v>
      </c>
      <c r="N74" s="7">
        <v>46128</v>
      </c>
      <c r="O74" s="7">
        <v>46127</v>
      </c>
      <c r="P74" s="7">
        <v>46127</v>
      </c>
      <c r="S74" s="6" t="s">
        <v>285</v>
      </c>
      <c r="U74" s="6" t="s">
        <v>191</v>
      </c>
      <c r="V74" s="6" t="str">
        <f t="shared" si="35"/>
        <v>26/04</v>
      </c>
      <c r="W74">
        <v>21397</v>
      </c>
      <c r="Y74" s="6" t="s">
        <v>286</v>
      </c>
      <c r="Z74" s="6" t="s">
        <v>193</v>
      </c>
      <c r="AE74">
        <v>1262</v>
      </c>
      <c r="AI74" s="23">
        <v>1</v>
      </c>
      <c r="AJ74" s="23">
        <v>1</v>
      </c>
      <c r="AK74" s="23">
        <v>0</v>
      </c>
      <c r="AL74" s="23">
        <v>0</v>
      </c>
      <c r="AM74" s="23">
        <v>1</v>
      </c>
      <c r="AN74" s="23">
        <v>0</v>
      </c>
      <c r="AO74" s="23">
        <v>0</v>
      </c>
      <c r="AP74" s="23">
        <v>1</v>
      </c>
      <c r="AQ74" s="23">
        <v>0</v>
      </c>
      <c r="AR74" s="23">
        <v>0</v>
      </c>
      <c r="AS74" s="23">
        <v>1</v>
      </c>
      <c r="AT74" s="23">
        <v>0</v>
      </c>
      <c r="AU74" s="23">
        <v>1</v>
      </c>
      <c r="AV74" s="23">
        <v>0</v>
      </c>
      <c r="AW74" s="23">
        <v>0</v>
      </c>
      <c r="AX74" s="23">
        <v>1</v>
      </c>
      <c r="AY74" s="23">
        <v>0</v>
      </c>
      <c r="AZ74" s="23">
        <v>0</v>
      </c>
      <c r="BA74" s="23">
        <v>0</v>
      </c>
      <c r="BB74" s="23">
        <v>1</v>
      </c>
      <c r="BC74" s="23">
        <v>0</v>
      </c>
      <c r="BD74" s="23">
        <v>0</v>
      </c>
      <c r="BE74" s="23">
        <v>0</v>
      </c>
      <c r="BF74" s="23">
        <v>1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f t="shared" si="36"/>
        <v>1</v>
      </c>
      <c r="BQ74" s="23">
        <f t="shared" si="37"/>
        <v>1</v>
      </c>
      <c r="BR74" s="23">
        <f t="shared" si="38"/>
        <v>0</v>
      </c>
      <c r="BS74" s="23">
        <f t="shared" si="39"/>
        <v>0</v>
      </c>
      <c r="BT74" s="23">
        <f t="shared" si="40"/>
        <v>1</v>
      </c>
      <c r="BU74" s="23">
        <f t="shared" si="41"/>
        <v>0</v>
      </c>
      <c r="BV74" s="23">
        <f t="shared" si="42"/>
        <v>0</v>
      </c>
      <c r="BW74" s="23">
        <f t="shared" si="43"/>
        <v>1</v>
      </c>
      <c r="BX74" s="23">
        <f t="shared" si="44"/>
        <v>0</v>
      </c>
      <c r="BY74" s="23">
        <f t="shared" si="45"/>
        <v>0</v>
      </c>
      <c r="BZ74" s="23">
        <f t="shared" si="46"/>
        <v>1</v>
      </c>
      <c r="CA74" s="23">
        <f t="shared" si="47"/>
        <v>0</v>
      </c>
      <c r="CB74" s="23">
        <f t="shared" si="48"/>
        <v>1</v>
      </c>
      <c r="CC74" s="23">
        <f t="shared" si="49"/>
        <v>0</v>
      </c>
      <c r="CD74" s="23">
        <f t="shared" si="50"/>
        <v>0</v>
      </c>
      <c r="CE74" s="23">
        <f t="shared" si="51"/>
        <v>1</v>
      </c>
      <c r="CF74" s="23">
        <f t="shared" si="52"/>
        <v>0</v>
      </c>
      <c r="CG74" s="23">
        <f t="shared" si="53"/>
        <v>0</v>
      </c>
      <c r="CH74" s="23">
        <f t="shared" si="54"/>
        <v>0</v>
      </c>
      <c r="CI74" s="23">
        <f t="shared" si="55"/>
        <v>1</v>
      </c>
      <c r="CJ74" s="23">
        <f t="shared" si="56"/>
        <v>0</v>
      </c>
      <c r="CK74" s="23">
        <f t="shared" si="57"/>
        <v>0</v>
      </c>
      <c r="CL74" s="23">
        <f t="shared" si="58"/>
        <v>0</v>
      </c>
      <c r="CM74" s="23">
        <f t="shared" si="59"/>
        <v>1</v>
      </c>
      <c r="CN74" s="23">
        <f t="shared" si="60"/>
        <v>0</v>
      </c>
      <c r="CO74" s="23">
        <f t="shared" si="61"/>
        <v>0</v>
      </c>
      <c r="CP74" s="23">
        <f t="shared" si="62"/>
        <v>0</v>
      </c>
      <c r="CQ74" s="23">
        <f t="shared" si="63"/>
        <v>0</v>
      </c>
      <c r="CR74" s="23">
        <f t="shared" si="64"/>
        <v>0</v>
      </c>
      <c r="CS74" s="23">
        <f t="shared" si="65"/>
        <v>0</v>
      </c>
      <c r="CT74" s="23">
        <f t="shared" si="66"/>
        <v>0</v>
      </c>
      <c r="CU74" s="23">
        <f t="shared" si="67"/>
        <v>0</v>
      </c>
      <c r="CV74" s="23">
        <f t="shared" si="68"/>
        <v>0</v>
      </c>
    </row>
    <row r="75" spans="1:100" ht="13.5">
      <c r="A75" s="15">
        <v>215</v>
      </c>
      <c r="B75" s="27" t="s">
        <v>392</v>
      </c>
      <c r="C75" t="s">
        <v>279</v>
      </c>
      <c r="D75" t="s">
        <v>391</v>
      </c>
      <c r="E75" t="s">
        <v>373</v>
      </c>
      <c r="F75" t="s">
        <v>133</v>
      </c>
      <c r="G75" t="s">
        <v>285</v>
      </c>
      <c r="H75" t="s">
        <v>368</v>
      </c>
      <c r="I75" s="6" t="s">
        <v>136</v>
      </c>
      <c r="J75" s="6">
        <v>0</v>
      </c>
      <c r="K75" t="s">
        <v>369</v>
      </c>
      <c r="L75" s="15">
        <v>1</v>
      </c>
      <c r="M75" s="7">
        <v>46118</v>
      </c>
      <c r="N75" s="7">
        <v>46128</v>
      </c>
      <c r="O75" s="7">
        <v>46127</v>
      </c>
      <c r="P75" s="7">
        <v>46127</v>
      </c>
      <c r="S75" s="6" t="s">
        <v>285</v>
      </c>
      <c r="U75" s="6" t="s">
        <v>191</v>
      </c>
      <c r="V75" s="6" t="str">
        <f t="shared" si="35"/>
        <v>26/04</v>
      </c>
      <c r="W75">
        <v>21398</v>
      </c>
      <c r="Y75" s="6" t="s">
        <v>286</v>
      </c>
      <c r="Z75" s="6" t="s">
        <v>193</v>
      </c>
      <c r="AE75">
        <v>1263</v>
      </c>
      <c r="AI75" s="23">
        <v>1</v>
      </c>
      <c r="AJ75" s="23">
        <v>1</v>
      </c>
      <c r="AK75" s="23">
        <v>0</v>
      </c>
      <c r="AL75" s="23">
        <v>0</v>
      </c>
      <c r="AM75" s="23">
        <v>1</v>
      </c>
      <c r="AN75" s="23">
        <v>0</v>
      </c>
      <c r="AO75" s="23">
        <v>0</v>
      </c>
      <c r="AP75" s="23">
        <v>1</v>
      </c>
      <c r="AQ75" s="23">
        <v>0</v>
      </c>
      <c r="AR75" s="23">
        <v>0</v>
      </c>
      <c r="AS75" s="23">
        <v>1</v>
      </c>
      <c r="AT75" s="23">
        <v>0</v>
      </c>
      <c r="AU75" s="23">
        <v>1</v>
      </c>
      <c r="AV75" s="23">
        <v>0</v>
      </c>
      <c r="AW75" s="23">
        <v>0</v>
      </c>
      <c r="AX75" s="23">
        <v>1</v>
      </c>
      <c r="AY75" s="23">
        <v>0</v>
      </c>
      <c r="AZ75" s="23">
        <v>0</v>
      </c>
      <c r="BA75" s="23">
        <v>0</v>
      </c>
      <c r="BB75" s="23">
        <v>1</v>
      </c>
      <c r="BC75" s="23">
        <v>0</v>
      </c>
      <c r="BD75" s="23">
        <v>0</v>
      </c>
      <c r="BE75" s="23">
        <v>0</v>
      </c>
      <c r="BF75" s="23">
        <v>1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f t="shared" si="36"/>
        <v>1</v>
      </c>
      <c r="BQ75" s="23">
        <f t="shared" si="37"/>
        <v>1</v>
      </c>
      <c r="BR75" s="23">
        <f t="shared" si="38"/>
        <v>0</v>
      </c>
      <c r="BS75" s="23">
        <f t="shared" si="39"/>
        <v>0</v>
      </c>
      <c r="BT75" s="23">
        <f t="shared" si="40"/>
        <v>1</v>
      </c>
      <c r="BU75" s="23">
        <f t="shared" si="41"/>
        <v>0</v>
      </c>
      <c r="BV75" s="23">
        <f t="shared" si="42"/>
        <v>0</v>
      </c>
      <c r="BW75" s="23">
        <f t="shared" si="43"/>
        <v>1</v>
      </c>
      <c r="BX75" s="23">
        <f t="shared" si="44"/>
        <v>0</v>
      </c>
      <c r="BY75" s="23">
        <f t="shared" si="45"/>
        <v>0</v>
      </c>
      <c r="BZ75" s="23">
        <f t="shared" si="46"/>
        <v>1</v>
      </c>
      <c r="CA75" s="23">
        <f t="shared" si="47"/>
        <v>0</v>
      </c>
      <c r="CB75" s="23">
        <f t="shared" si="48"/>
        <v>1</v>
      </c>
      <c r="CC75" s="23">
        <f t="shared" si="49"/>
        <v>0</v>
      </c>
      <c r="CD75" s="23">
        <f t="shared" si="50"/>
        <v>0</v>
      </c>
      <c r="CE75" s="23">
        <f t="shared" si="51"/>
        <v>1</v>
      </c>
      <c r="CF75" s="23">
        <f t="shared" si="52"/>
        <v>0</v>
      </c>
      <c r="CG75" s="23">
        <f t="shared" si="53"/>
        <v>0</v>
      </c>
      <c r="CH75" s="23">
        <f t="shared" si="54"/>
        <v>0</v>
      </c>
      <c r="CI75" s="23">
        <f t="shared" si="55"/>
        <v>1</v>
      </c>
      <c r="CJ75" s="23">
        <f t="shared" si="56"/>
        <v>0</v>
      </c>
      <c r="CK75" s="23">
        <f t="shared" si="57"/>
        <v>0</v>
      </c>
      <c r="CL75" s="23">
        <f t="shared" si="58"/>
        <v>0</v>
      </c>
      <c r="CM75" s="23">
        <f t="shared" si="59"/>
        <v>1</v>
      </c>
      <c r="CN75" s="23">
        <f t="shared" si="60"/>
        <v>0</v>
      </c>
      <c r="CO75" s="23">
        <f t="shared" si="61"/>
        <v>0</v>
      </c>
      <c r="CP75" s="23">
        <f t="shared" si="62"/>
        <v>0</v>
      </c>
      <c r="CQ75" s="23">
        <f t="shared" si="63"/>
        <v>0</v>
      </c>
      <c r="CR75" s="23">
        <f t="shared" si="64"/>
        <v>0</v>
      </c>
      <c r="CS75" s="23">
        <f t="shared" si="65"/>
        <v>0</v>
      </c>
      <c r="CT75" s="23">
        <f t="shared" si="66"/>
        <v>0</v>
      </c>
      <c r="CU75" s="23">
        <f t="shared" si="67"/>
        <v>0</v>
      </c>
      <c r="CV75" s="23">
        <f t="shared" si="68"/>
        <v>0</v>
      </c>
    </row>
    <row r="76" spans="1:100" ht="13.5">
      <c r="A76" s="15">
        <v>217</v>
      </c>
      <c r="B76" s="27" t="s">
        <v>395</v>
      </c>
      <c r="C76" t="s">
        <v>279</v>
      </c>
      <c r="D76" t="s">
        <v>396</v>
      </c>
      <c r="F76" t="s">
        <v>133</v>
      </c>
      <c r="G76" t="s">
        <v>285</v>
      </c>
      <c r="H76" t="s">
        <v>368</v>
      </c>
      <c r="I76" s="6" t="s">
        <v>136</v>
      </c>
      <c r="J76" s="6">
        <v>0</v>
      </c>
      <c r="K76" t="s">
        <v>369</v>
      </c>
      <c r="L76" s="15">
        <v>1</v>
      </c>
      <c r="M76" s="7">
        <v>46118</v>
      </c>
      <c r="N76" s="7">
        <v>46128</v>
      </c>
      <c r="O76" s="7">
        <v>46127</v>
      </c>
      <c r="P76" s="7">
        <v>46127</v>
      </c>
      <c r="S76" s="6" t="s">
        <v>285</v>
      </c>
      <c r="U76" s="6" t="s">
        <v>191</v>
      </c>
      <c r="V76" s="6" t="str">
        <f t="shared" si="35"/>
        <v>26/04</v>
      </c>
      <c r="W76">
        <v>21399</v>
      </c>
      <c r="Y76" s="6" t="s">
        <v>286</v>
      </c>
      <c r="Z76" s="6" t="s">
        <v>193</v>
      </c>
      <c r="AE76">
        <v>1264</v>
      </c>
      <c r="AI76" s="23">
        <v>1</v>
      </c>
      <c r="AJ76" s="23">
        <v>1</v>
      </c>
      <c r="AK76" s="23">
        <v>0</v>
      </c>
      <c r="AL76" s="23">
        <v>0</v>
      </c>
      <c r="AM76" s="23">
        <v>1</v>
      </c>
      <c r="AN76" s="23">
        <v>0</v>
      </c>
      <c r="AO76" s="23">
        <v>0</v>
      </c>
      <c r="AP76" s="23">
        <v>1</v>
      </c>
      <c r="AQ76" s="23">
        <v>0</v>
      </c>
      <c r="AR76" s="23">
        <v>0</v>
      </c>
      <c r="AS76" s="23">
        <v>1</v>
      </c>
      <c r="AT76" s="23">
        <v>0</v>
      </c>
      <c r="AU76" s="23">
        <v>1</v>
      </c>
      <c r="AV76" s="23">
        <v>0</v>
      </c>
      <c r="AW76" s="23">
        <v>0</v>
      </c>
      <c r="AX76" s="23">
        <v>1</v>
      </c>
      <c r="AY76" s="23">
        <v>0</v>
      </c>
      <c r="AZ76" s="23">
        <v>0</v>
      </c>
      <c r="BA76" s="23">
        <v>0</v>
      </c>
      <c r="BB76" s="23">
        <v>1</v>
      </c>
      <c r="BC76" s="23">
        <v>0</v>
      </c>
      <c r="BD76" s="23">
        <v>0</v>
      </c>
      <c r="BE76" s="23">
        <v>0</v>
      </c>
      <c r="BF76" s="23">
        <v>1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f t="shared" si="36"/>
        <v>1</v>
      </c>
      <c r="BQ76" s="23">
        <f t="shared" si="37"/>
        <v>1</v>
      </c>
      <c r="BR76" s="23">
        <f t="shared" si="38"/>
        <v>0</v>
      </c>
      <c r="BS76" s="23">
        <f t="shared" si="39"/>
        <v>0</v>
      </c>
      <c r="BT76" s="23">
        <f t="shared" si="40"/>
        <v>1</v>
      </c>
      <c r="BU76" s="23">
        <f t="shared" si="41"/>
        <v>0</v>
      </c>
      <c r="BV76" s="23">
        <f t="shared" si="42"/>
        <v>0</v>
      </c>
      <c r="BW76" s="23">
        <f t="shared" si="43"/>
        <v>1</v>
      </c>
      <c r="BX76" s="23">
        <f t="shared" si="44"/>
        <v>0</v>
      </c>
      <c r="BY76" s="23">
        <f t="shared" si="45"/>
        <v>0</v>
      </c>
      <c r="BZ76" s="23">
        <f t="shared" si="46"/>
        <v>1</v>
      </c>
      <c r="CA76" s="23">
        <f t="shared" si="47"/>
        <v>0</v>
      </c>
      <c r="CB76" s="23">
        <f t="shared" si="48"/>
        <v>1</v>
      </c>
      <c r="CC76" s="23">
        <f t="shared" si="49"/>
        <v>0</v>
      </c>
      <c r="CD76" s="23">
        <f t="shared" si="50"/>
        <v>0</v>
      </c>
      <c r="CE76" s="23">
        <f t="shared" si="51"/>
        <v>1</v>
      </c>
      <c r="CF76" s="23">
        <f t="shared" si="52"/>
        <v>0</v>
      </c>
      <c r="CG76" s="23">
        <f t="shared" si="53"/>
        <v>0</v>
      </c>
      <c r="CH76" s="23">
        <f t="shared" si="54"/>
        <v>0</v>
      </c>
      <c r="CI76" s="23">
        <f t="shared" si="55"/>
        <v>1</v>
      </c>
      <c r="CJ76" s="23">
        <f t="shared" si="56"/>
        <v>0</v>
      </c>
      <c r="CK76" s="23">
        <f t="shared" si="57"/>
        <v>0</v>
      </c>
      <c r="CL76" s="23">
        <f t="shared" si="58"/>
        <v>0</v>
      </c>
      <c r="CM76" s="23">
        <f t="shared" si="59"/>
        <v>1</v>
      </c>
      <c r="CN76" s="23">
        <f t="shared" si="60"/>
        <v>0</v>
      </c>
      <c r="CO76" s="23">
        <f t="shared" si="61"/>
        <v>0</v>
      </c>
      <c r="CP76" s="23">
        <f t="shared" si="62"/>
        <v>0</v>
      </c>
      <c r="CQ76" s="23">
        <f t="shared" si="63"/>
        <v>0</v>
      </c>
      <c r="CR76" s="23">
        <f t="shared" si="64"/>
        <v>0</v>
      </c>
      <c r="CS76" s="23">
        <f t="shared" si="65"/>
        <v>0</v>
      </c>
      <c r="CT76" s="23">
        <f t="shared" si="66"/>
        <v>0</v>
      </c>
      <c r="CU76" s="23">
        <f t="shared" si="67"/>
        <v>0</v>
      </c>
      <c r="CV76" s="23">
        <f t="shared" si="68"/>
        <v>0</v>
      </c>
    </row>
    <row r="77" spans="1:100" ht="13.5">
      <c r="A77" s="15">
        <v>216</v>
      </c>
      <c r="B77" s="27" t="s">
        <v>393</v>
      </c>
      <c r="C77" t="s">
        <v>279</v>
      </c>
      <c r="D77" t="s">
        <v>394</v>
      </c>
      <c r="F77" t="s">
        <v>133</v>
      </c>
      <c r="G77" t="s">
        <v>285</v>
      </c>
      <c r="H77" t="s">
        <v>368</v>
      </c>
      <c r="I77" s="6" t="s">
        <v>136</v>
      </c>
      <c r="J77" s="6">
        <v>0</v>
      </c>
      <c r="K77" t="s">
        <v>369</v>
      </c>
      <c r="L77" s="15">
        <v>1</v>
      </c>
      <c r="M77" s="7">
        <v>46118</v>
      </c>
      <c r="N77" s="7">
        <v>46128</v>
      </c>
      <c r="O77" s="7">
        <v>46127</v>
      </c>
      <c r="P77" s="7">
        <v>46127</v>
      </c>
      <c r="S77" s="6" t="s">
        <v>285</v>
      </c>
      <c r="U77" s="6" t="s">
        <v>191</v>
      </c>
      <c r="V77" s="6" t="str">
        <f t="shared" si="35"/>
        <v>26/04</v>
      </c>
      <c r="W77">
        <v>21400</v>
      </c>
      <c r="Y77" s="6" t="s">
        <v>286</v>
      </c>
      <c r="Z77" s="6" t="s">
        <v>193</v>
      </c>
      <c r="AE77">
        <v>1265</v>
      </c>
      <c r="AI77" s="23">
        <v>1</v>
      </c>
      <c r="AJ77" s="23">
        <v>1</v>
      </c>
      <c r="AK77" s="23">
        <v>0</v>
      </c>
      <c r="AL77" s="23">
        <v>0</v>
      </c>
      <c r="AM77" s="23">
        <v>1</v>
      </c>
      <c r="AN77" s="23">
        <v>0</v>
      </c>
      <c r="AO77" s="23">
        <v>0</v>
      </c>
      <c r="AP77" s="23">
        <v>1</v>
      </c>
      <c r="AQ77" s="23">
        <v>0</v>
      </c>
      <c r="AR77" s="23">
        <v>0</v>
      </c>
      <c r="AS77" s="23">
        <v>1</v>
      </c>
      <c r="AT77" s="23">
        <v>0</v>
      </c>
      <c r="AU77" s="23">
        <v>1</v>
      </c>
      <c r="AV77" s="23">
        <v>0</v>
      </c>
      <c r="AW77" s="23">
        <v>0</v>
      </c>
      <c r="AX77" s="23">
        <v>1</v>
      </c>
      <c r="AY77" s="23">
        <v>0</v>
      </c>
      <c r="AZ77" s="23">
        <v>0</v>
      </c>
      <c r="BA77" s="23">
        <v>0</v>
      </c>
      <c r="BB77" s="23">
        <v>1</v>
      </c>
      <c r="BC77" s="23">
        <v>0</v>
      </c>
      <c r="BD77" s="23">
        <v>0</v>
      </c>
      <c r="BE77" s="23">
        <v>0</v>
      </c>
      <c r="BF77" s="23">
        <v>1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f t="shared" si="36"/>
        <v>1</v>
      </c>
      <c r="BQ77" s="23">
        <f t="shared" si="37"/>
        <v>1</v>
      </c>
      <c r="BR77" s="23">
        <f t="shared" si="38"/>
        <v>0</v>
      </c>
      <c r="BS77" s="23">
        <f t="shared" si="39"/>
        <v>0</v>
      </c>
      <c r="BT77" s="23">
        <f t="shared" si="40"/>
        <v>1</v>
      </c>
      <c r="BU77" s="23">
        <f t="shared" si="41"/>
        <v>0</v>
      </c>
      <c r="BV77" s="23">
        <f t="shared" si="42"/>
        <v>0</v>
      </c>
      <c r="BW77" s="23">
        <f t="shared" si="43"/>
        <v>1</v>
      </c>
      <c r="BX77" s="23">
        <f t="shared" si="44"/>
        <v>0</v>
      </c>
      <c r="BY77" s="23">
        <f t="shared" si="45"/>
        <v>0</v>
      </c>
      <c r="BZ77" s="23">
        <f t="shared" si="46"/>
        <v>1</v>
      </c>
      <c r="CA77" s="23">
        <f t="shared" si="47"/>
        <v>0</v>
      </c>
      <c r="CB77" s="23">
        <f t="shared" si="48"/>
        <v>1</v>
      </c>
      <c r="CC77" s="23">
        <f t="shared" si="49"/>
        <v>0</v>
      </c>
      <c r="CD77" s="23">
        <f t="shared" si="50"/>
        <v>0</v>
      </c>
      <c r="CE77" s="23">
        <f t="shared" si="51"/>
        <v>1</v>
      </c>
      <c r="CF77" s="23">
        <f t="shared" si="52"/>
        <v>0</v>
      </c>
      <c r="CG77" s="23">
        <f t="shared" si="53"/>
        <v>0</v>
      </c>
      <c r="CH77" s="23">
        <f t="shared" si="54"/>
        <v>0</v>
      </c>
      <c r="CI77" s="23">
        <f t="shared" si="55"/>
        <v>1</v>
      </c>
      <c r="CJ77" s="23">
        <f t="shared" si="56"/>
        <v>0</v>
      </c>
      <c r="CK77" s="23">
        <f t="shared" si="57"/>
        <v>0</v>
      </c>
      <c r="CL77" s="23">
        <f t="shared" si="58"/>
        <v>0</v>
      </c>
      <c r="CM77" s="23">
        <f t="shared" si="59"/>
        <v>1</v>
      </c>
      <c r="CN77" s="23">
        <f t="shared" si="60"/>
        <v>0</v>
      </c>
      <c r="CO77" s="23">
        <f t="shared" si="61"/>
        <v>0</v>
      </c>
      <c r="CP77" s="23">
        <f t="shared" si="62"/>
        <v>0</v>
      </c>
      <c r="CQ77" s="23">
        <f t="shared" si="63"/>
        <v>0</v>
      </c>
      <c r="CR77" s="23">
        <f t="shared" si="64"/>
        <v>0</v>
      </c>
      <c r="CS77" s="23">
        <f t="shared" si="65"/>
        <v>0</v>
      </c>
      <c r="CT77" s="23">
        <f t="shared" si="66"/>
        <v>0</v>
      </c>
      <c r="CU77" s="23">
        <f t="shared" si="67"/>
        <v>0</v>
      </c>
      <c r="CV77" s="23">
        <f t="shared" si="68"/>
        <v>0</v>
      </c>
    </row>
    <row r="78" spans="1:100" ht="13.5">
      <c r="A78" s="15">
        <v>223</v>
      </c>
      <c r="B78" s="27" t="s">
        <v>397</v>
      </c>
      <c r="C78" t="s">
        <v>151</v>
      </c>
      <c r="D78" t="s">
        <v>389</v>
      </c>
      <c r="E78" t="s">
        <v>387</v>
      </c>
      <c r="F78" t="s">
        <v>233</v>
      </c>
      <c r="G78" t="s">
        <v>234</v>
      </c>
      <c r="H78" t="s">
        <v>235</v>
      </c>
      <c r="I78" s="6" t="s">
        <v>147</v>
      </c>
      <c r="J78" s="6">
        <v>1</v>
      </c>
      <c r="K78" t="s">
        <v>174</v>
      </c>
      <c r="L78" s="15">
        <v>1</v>
      </c>
      <c r="M78" s="7">
        <v>46115</v>
      </c>
      <c r="N78" s="7">
        <v>46132</v>
      </c>
      <c r="O78" s="7">
        <v>46129</v>
      </c>
      <c r="P78" s="7">
        <v>46134</v>
      </c>
      <c r="S78" s="6" t="s">
        <v>199</v>
      </c>
      <c r="U78" s="6" t="s">
        <v>191</v>
      </c>
      <c r="V78" s="6" t="str">
        <f t="shared" si="35"/>
        <v>26/04</v>
      </c>
      <c r="W78">
        <v>21401</v>
      </c>
      <c r="Y78" s="6" t="s">
        <v>200</v>
      </c>
      <c r="Z78" s="6" t="s">
        <v>193</v>
      </c>
      <c r="AG78">
        <v>3541</v>
      </c>
      <c r="AI78" s="23">
        <v>1</v>
      </c>
      <c r="AJ78" s="23">
        <v>1</v>
      </c>
      <c r="AK78" s="23">
        <v>0</v>
      </c>
      <c r="AL78" s="23">
        <v>0</v>
      </c>
      <c r="AM78" s="23">
        <v>1</v>
      </c>
      <c r="AN78" s="23">
        <v>0</v>
      </c>
      <c r="AO78" s="23">
        <v>0</v>
      </c>
      <c r="AP78" s="23">
        <v>0</v>
      </c>
      <c r="AQ78" s="23">
        <v>1</v>
      </c>
      <c r="AR78" s="23">
        <v>0</v>
      </c>
      <c r="AS78" s="23">
        <v>1</v>
      </c>
      <c r="AT78" s="23">
        <v>0</v>
      </c>
      <c r="AU78" s="23">
        <v>0</v>
      </c>
      <c r="AV78" s="23">
        <v>0</v>
      </c>
      <c r="AW78" s="23">
        <v>1</v>
      </c>
      <c r="AX78" s="23">
        <v>0</v>
      </c>
      <c r="AY78" s="23">
        <v>0</v>
      </c>
      <c r="AZ78" s="23">
        <v>0</v>
      </c>
      <c r="BA78" s="23">
        <v>1</v>
      </c>
      <c r="BB78" s="23">
        <v>0</v>
      </c>
      <c r="BC78" s="23">
        <v>0</v>
      </c>
      <c r="BD78" s="23">
        <v>0</v>
      </c>
      <c r="BE78" s="23">
        <v>1</v>
      </c>
      <c r="BF78" s="23">
        <v>1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f t="shared" si="36"/>
        <v>1</v>
      </c>
      <c r="BQ78" s="23">
        <f t="shared" si="37"/>
        <v>1</v>
      </c>
      <c r="BR78" s="23">
        <f t="shared" si="38"/>
        <v>0</v>
      </c>
      <c r="BS78" s="23">
        <f t="shared" si="39"/>
        <v>0</v>
      </c>
      <c r="BT78" s="23">
        <f t="shared" si="40"/>
        <v>1</v>
      </c>
      <c r="BU78" s="23">
        <f t="shared" si="41"/>
        <v>0</v>
      </c>
      <c r="BV78" s="23">
        <f t="shared" si="42"/>
        <v>0</v>
      </c>
      <c r="BW78" s="23">
        <f t="shared" si="43"/>
        <v>0</v>
      </c>
      <c r="BX78" s="23">
        <f t="shared" si="44"/>
        <v>1</v>
      </c>
      <c r="BY78" s="23">
        <f t="shared" si="45"/>
        <v>0</v>
      </c>
      <c r="BZ78" s="23">
        <f t="shared" si="46"/>
        <v>1</v>
      </c>
      <c r="CA78" s="23">
        <f t="shared" si="47"/>
        <v>0</v>
      </c>
      <c r="CB78" s="23">
        <f t="shared" si="48"/>
        <v>0</v>
      </c>
      <c r="CC78" s="23">
        <f t="shared" si="49"/>
        <v>0</v>
      </c>
      <c r="CD78" s="23">
        <f t="shared" si="50"/>
        <v>1</v>
      </c>
      <c r="CE78" s="23">
        <f t="shared" si="51"/>
        <v>0</v>
      </c>
      <c r="CF78" s="23">
        <f t="shared" si="52"/>
        <v>0</v>
      </c>
      <c r="CG78" s="23">
        <f t="shared" si="53"/>
        <v>0</v>
      </c>
      <c r="CH78" s="23">
        <f t="shared" si="54"/>
        <v>1</v>
      </c>
      <c r="CI78" s="23">
        <f t="shared" si="55"/>
        <v>0</v>
      </c>
      <c r="CJ78" s="23">
        <f t="shared" si="56"/>
        <v>0</v>
      </c>
      <c r="CK78" s="23">
        <f t="shared" si="57"/>
        <v>0</v>
      </c>
      <c r="CL78" s="23">
        <f t="shared" si="58"/>
        <v>1</v>
      </c>
      <c r="CM78" s="23">
        <f t="shared" si="59"/>
        <v>1</v>
      </c>
      <c r="CN78" s="23">
        <f t="shared" si="60"/>
        <v>0</v>
      </c>
      <c r="CO78" s="23">
        <f t="shared" si="61"/>
        <v>0</v>
      </c>
      <c r="CP78" s="23">
        <f t="shared" si="62"/>
        <v>0</v>
      </c>
      <c r="CQ78" s="23">
        <f t="shared" si="63"/>
        <v>0</v>
      </c>
      <c r="CR78" s="23">
        <f t="shared" si="64"/>
        <v>0</v>
      </c>
      <c r="CS78" s="23">
        <f t="shared" si="65"/>
        <v>0</v>
      </c>
      <c r="CT78" s="23">
        <f t="shared" si="66"/>
        <v>0</v>
      </c>
      <c r="CU78" s="23">
        <f t="shared" si="67"/>
        <v>0</v>
      </c>
      <c r="CV78" s="23">
        <f t="shared" si="68"/>
        <v>0</v>
      </c>
    </row>
    <row r="79" spans="1:100" ht="13.5">
      <c r="A79" s="15">
        <v>225</v>
      </c>
      <c r="B79" s="27" t="s">
        <v>402</v>
      </c>
      <c r="C79" t="s">
        <v>279</v>
      </c>
      <c r="D79" t="s">
        <v>399</v>
      </c>
      <c r="F79" t="s">
        <v>281</v>
      </c>
      <c r="G79" t="s">
        <v>400</v>
      </c>
      <c r="H79" t="s">
        <v>401</v>
      </c>
      <c r="I79" s="6" t="s">
        <v>147</v>
      </c>
      <c r="J79" s="6">
        <v>0</v>
      </c>
      <c r="L79" s="15">
        <v>1</v>
      </c>
      <c r="M79" s="7">
        <v>46118</v>
      </c>
      <c r="N79" s="7">
        <v>46133</v>
      </c>
      <c r="O79" s="7">
        <v>46132</v>
      </c>
      <c r="P79" s="7">
        <v>46135</v>
      </c>
      <c r="S79" s="6" t="s">
        <v>285</v>
      </c>
      <c r="U79" s="6" t="s">
        <v>191</v>
      </c>
      <c r="V79" s="6" t="str">
        <f t="shared" si="35"/>
        <v>26/04</v>
      </c>
      <c r="W79">
        <v>21402</v>
      </c>
      <c r="Y79" s="6" t="s">
        <v>286</v>
      </c>
      <c r="Z79" s="6" t="s">
        <v>193</v>
      </c>
      <c r="AE79">
        <v>1266</v>
      </c>
      <c r="AI79" s="23">
        <v>1</v>
      </c>
      <c r="AJ79" s="23">
        <v>1</v>
      </c>
      <c r="AK79" s="23">
        <v>0</v>
      </c>
      <c r="AL79" s="23">
        <v>0</v>
      </c>
      <c r="AM79" s="23">
        <v>1</v>
      </c>
      <c r="AN79" s="23">
        <v>0</v>
      </c>
      <c r="AO79" s="23">
        <v>0</v>
      </c>
      <c r="AP79" s="23">
        <v>1</v>
      </c>
      <c r="AQ79" s="23">
        <v>0</v>
      </c>
      <c r="AR79" s="23">
        <v>0</v>
      </c>
      <c r="AS79" s="23">
        <v>1</v>
      </c>
      <c r="AT79" s="23">
        <v>0</v>
      </c>
      <c r="AU79" s="23">
        <v>1</v>
      </c>
      <c r="AV79" s="23">
        <v>0</v>
      </c>
      <c r="AW79" s="23">
        <v>0</v>
      </c>
      <c r="AX79" s="23">
        <v>1</v>
      </c>
      <c r="AY79" s="23">
        <v>0</v>
      </c>
      <c r="AZ79" s="23">
        <v>0</v>
      </c>
      <c r="BA79" s="23">
        <v>0</v>
      </c>
      <c r="BB79" s="23">
        <v>1</v>
      </c>
      <c r="BC79" s="23">
        <v>0</v>
      </c>
      <c r="BD79" s="23">
        <v>0</v>
      </c>
      <c r="BE79" s="23">
        <v>0</v>
      </c>
      <c r="BF79" s="23">
        <v>1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f t="shared" si="36"/>
        <v>1</v>
      </c>
      <c r="BQ79" s="23">
        <f t="shared" si="37"/>
        <v>1</v>
      </c>
      <c r="BR79" s="23">
        <f t="shared" si="38"/>
        <v>0</v>
      </c>
      <c r="BS79" s="23">
        <f t="shared" si="39"/>
        <v>0</v>
      </c>
      <c r="BT79" s="23">
        <f t="shared" si="40"/>
        <v>1</v>
      </c>
      <c r="BU79" s="23">
        <f t="shared" si="41"/>
        <v>0</v>
      </c>
      <c r="BV79" s="23">
        <f t="shared" si="42"/>
        <v>0</v>
      </c>
      <c r="BW79" s="23">
        <f t="shared" si="43"/>
        <v>1</v>
      </c>
      <c r="BX79" s="23">
        <f t="shared" si="44"/>
        <v>0</v>
      </c>
      <c r="BY79" s="23">
        <f t="shared" si="45"/>
        <v>0</v>
      </c>
      <c r="BZ79" s="23">
        <f t="shared" si="46"/>
        <v>1</v>
      </c>
      <c r="CA79" s="23">
        <f t="shared" si="47"/>
        <v>0</v>
      </c>
      <c r="CB79" s="23">
        <f t="shared" si="48"/>
        <v>1</v>
      </c>
      <c r="CC79" s="23">
        <f t="shared" si="49"/>
        <v>0</v>
      </c>
      <c r="CD79" s="23">
        <f t="shared" si="50"/>
        <v>0</v>
      </c>
      <c r="CE79" s="23">
        <f t="shared" si="51"/>
        <v>1</v>
      </c>
      <c r="CF79" s="23">
        <f t="shared" si="52"/>
        <v>0</v>
      </c>
      <c r="CG79" s="23">
        <f t="shared" si="53"/>
        <v>0</v>
      </c>
      <c r="CH79" s="23">
        <f t="shared" si="54"/>
        <v>0</v>
      </c>
      <c r="CI79" s="23">
        <f t="shared" si="55"/>
        <v>1</v>
      </c>
      <c r="CJ79" s="23">
        <f t="shared" si="56"/>
        <v>0</v>
      </c>
      <c r="CK79" s="23">
        <f t="shared" si="57"/>
        <v>0</v>
      </c>
      <c r="CL79" s="23">
        <f t="shared" si="58"/>
        <v>0</v>
      </c>
      <c r="CM79" s="23">
        <f t="shared" si="59"/>
        <v>1</v>
      </c>
      <c r="CN79" s="23">
        <f t="shared" si="60"/>
        <v>0</v>
      </c>
      <c r="CO79" s="23">
        <f t="shared" si="61"/>
        <v>0</v>
      </c>
      <c r="CP79" s="23">
        <f t="shared" si="62"/>
        <v>0</v>
      </c>
      <c r="CQ79" s="23">
        <f t="shared" si="63"/>
        <v>0</v>
      </c>
      <c r="CR79" s="23">
        <f t="shared" si="64"/>
        <v>0</v>
      </c>
      <c r="CS79" s="23">
        <f t="shared" si="65"/>
        <v>0</v>
      </c>
      <c r="CT79" s="23">
        <f t="shared" si="66"/>
        <v>0</v>
      </c>
      <c r="CU79" s="23">
        <f t="shared" si="67"/>
        <v>0</v>
      </c>
      <c r="CV79" s="23">
        <f t="shared" si="68"/>
        <v>0</v>
      </c>
    </row>
    <row r="80" spans="1:100" ht="13.5">
      <c r="A80" s="15">
        <v>224</v>
      </c>
      <c r="B80" s="27" t="s">
        <v>398</v>
      </c>
      <c r="C80" t="s">
        <v>279</v>
      </c>
      <c r="D80" t="s">
        <v>399</v>
      </c>
      <c r="F80" t="s">
        <v>281</v>
      </c>
      <c r="G80" t="s">
        <v>400</v>
      </c>
      <c r="H80" t="s">
        <v>401</v>
      </c>
      <c r="I80" s="6" t="s">
        <v>147</v>
      </c>
      <c r="J80" s="6">
        <v>0</v>
      </c>
      <c r="L80" s="15">
        <v>1</v>
      </c>
      <c r="M80" s="7">
        <v>46118</v>
      </c>
      <c r="N80" s="7">
        <v>46133</v>
      </c>
      <c r="O80" s="7">
        <v>46132</v>
      </c>
      <c r="P80" s="7">
        <v>46135</v>
      </c>
      <c r="S80" s="6" t="s">
        <v>285</v>
      </c>
      <c r="U80" s="6" t="s">
        <v>191</v>
      </c>
      <c r="V80" s="6" t="str">
        <f t="shared" si="35"/>
        <v>26/04</v>
      </c>
      <c r="W80">
        <v>21403</v>
      </c>
      <c r="Y80" s="6" t="s">
        <v>286</v>
      </c>
      <c r="Z80" s="6" t="s">
        <v>193</v>
      </c>
      <c r="AE80">
        <v>1267</v>
      </c>
      <c r="AI80" s="23">
        <v>1</v>
      </c>
      <c r="AJ80" s="23">
        <v>1</v>
      </c>
      <c r="AK80" s="23">
        <v>0</v>
      </c>
      <c r="AL80" s="23">
        <v>0</v>
      </c>
      <c r="AM80" s="23">
        <v>1</v>
      </c>
      <c r="AN80" s="23">
        <v>0</v>
      </c>
      <c r="AO80" s="23">
        <v>0</v>
      </c>
      <c r="AP80" s="23">
        <v>1</v>
      </c>
      <c r="AQ80" s="23">
        <v>0</v>
      </c>
      <c r="AR80" s="23">
        <v>0</v>
      </c>
      <c r="AS80" s="23">
        <v>1</v>
      </c>
      <c r="AT80" s="23">
        <v>0</v>
      </c>
      <c r="AU80" s="23">
        <v>1</v>
      </c>
      <c r="AV80" s="23">
        <v>0</v>
      </c>
      <c r="AW80" s="23">
        <v>0</v>
      </c>
      <c r="AX80" s="23">
        <v>1</v>
      </c>
      <c r="AY80" s="23">
        <v>0</v>
      </c>
      <c r="AZ80" s="23">
        <v>0</v>
      </c>
      <c r="BA80" s="23">
        <v>0</v>
      </c>
      <c r="BB80" s="23">
        <v>1</v>
      </c>
      <c r="BC80" s="23">
        <v>0</v>
      </c>
      <c r="BD80" s="23">
        <v>0</v>
      </c>
      <c r="BE80" s="23">
        <v>0</v>
      </c>
      <c r="BF80" s="23">
        <v>1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f t="shared" si="36"/>
        <v>1</v>
      </c>
      <c r="BQ80" s="23">
        <f t="shared" si="37"/>
        <v>1</v>
      </c>
      <c r="BR80" s="23">
        <f t="shared" si="38"/>
        <v>0</v>
      </c>
      <c r="BS80" s="23">
        <f t="shared" si="39"/>
        <v>0</v>
      </c>
      <c r="BT80" s="23">
        <f t="shared" si="40"/>
        <v>1</v>
      </c>
      <c r="BU80" s="23">
        <f t="shared" si="41"/>
        <v>0</v>
      </c>
      <c r="BV80" s="23">
        <f t="shared" si="42"/>
        <v>0</v>
      </c>
      <c r="BW80" s="23">
        <f t="shared" si="43"/>
        <v>1</v>
      </c>
      <c r="BX80" s="23">
        <f t="shared" si="44"/>
        <v>0</v>
      </c>
      <c r="BY80" s="23">
        <f t="shared" si="45"/>
        <v>0</v>
      </c>
      <c r="BZ80" s="23">
        <f t="shared" si="46"/>
        <v>1</v>
      </c>
      <c r="CA80" s="23">
        <f t="shared" si="47"/>
        <v>0</v>
      </c>
      <c r="CB80" s="23">
        <f t="shared" si="48"/>
        <v>1</v>
      </c>
      <c r="CC80" s="23">
        <f t="shared" si="49"/>
        <v>0</v>
      </c>
      <c r="CD80" s="23">
        <f t="shared" si="50"/>
        <v>0</v>
      </c>
      <c r="CE80" s="23">
        <f t="shared" si="51"/>
        <v>1</v>
      </c>
      <c r="CF80" s="23">
        <f t="shared" si="52"/>
        <v>0</v>
      </c>
      <c r="CG80" s="23">
        <f t="shared" si="53"/>
        <v>0</v>
      </c>
      <c r="CH80" s="23">
        <f t="shared" si="54"/>
        <v>0</v>
      </c>
      <c r="CI80" s="23">
        <f t="shared" si="55"/>
        <v>1</v>
      </c>
      <c r="CJ80" s="23">
        <f t="shared" si="56"/>
        <v>0</v>
      </c>
      <c r="CK80" s="23">
        <f t="shared" si="57"/>
        <v>0</v>
      </c>
      <c r="CL80" s="23">
        <f t="shared" si="58"/>
        <v>0</v>
      </c>
      <c r="CM80" s="23">
        <f t="shared" si="59"/>
        <v>1</v>
      </c>
      <c r="CN80" s="23">
        <f t="shared" si="60"/>
        <v>0</v>
      </c>
      <c r="CO80" s="23">
        <f t="shared" si="61"/>
        <v>0</v>
      </c>
      <c r="CP80" s="23">
        <f t="shared" si="62"/>
        <v>0</v>
      </c>
      <c r="CQ80" s="23">
        <f t="shared" si="63"/>
        <v>0</v>
      </c>
      <c r="CR80" s="23">
        <f t="shared" si="64"/>
        <v>0</v>
      </c>
      <c r="CS80" s="23">
        <f t="shared" si="65"/>
        <v>0</v>
      </c>
      <c r="CT80" s="23">
        <f t="shared" si="66"/>
        <v>0</v>
      </c>
      <c r="CU80" s="23">
        <f t="shared" si="67"/>
        <v>0</v>
      </c>
      <c r="CV80" s="23">
        <f t="shared" si="68"/>
        <v>0</v>
      </c>
    </row>
    <row r="81" spans="1:100" ht="13.5">
      <c r="A81" s="15">
        <v>227</v>
      </c>
      <c r="B81" s="27" t="s">
        <v>403</v>
      </c>
      <c r="C81" t="s">
        <v>279</v>
      </c>
      <c r="D81" t="s">
        <v>404</v>
      </c>
      <c r="F81" t="s">
        <v>281</v>
      </c>
      <c r="G81" t="s">
        <v>282</v>
      </c>
      <c r="H81" t="s">
        <v>283</v>
      </c>
      <c r="I81" s="6" t="s">
        <v>147</v>
      </c>
      <c r="J81" s="6">
        <v>0</v>
      </c>
      <c r="L81" s="15">
        <v>1</v>
      </c>
      <c r="M81" s="7">
        <v>46120</v>
      </c>
      <c r="N81" s="7">
        <v>46135</v>
      </c>
      <c r="O81" s="7">
        <v>46134</v>
      </c>
      <c r="P81" s="7">
        <v>46139</v>
      </c>
      <c r="S81" s="6" t="s">
        <v>285</v>
      </c>
      <c r="U81" s="6" t="s">
        <v>191</v>
      </c>
      <c r="V81" s="6" t="str">
        <f t="shared" si="35"/>
        <v>26/04</v>
      </c>
      <c r="W81">
        <v>21404</v>
      </c>
      <c r="Y81" s="6" t="s">
        <v>286</v>
      </c>
      <c r="Z81" s="6" t="s">
        <v>193</v>
      </c>
      <c r="AE81">
        <v>1268</v>
      </c>
      <c r="AI81" s="23">
        <v>1</v>
      </c>
      <c r="AJ81" s="23">
        <v>1</v>
      </c>
      <c r="AK81" s="23">
        <v>0</v>
      </c>
      <c r="AL81" s="23">
        <v>0</v>
      </c>
      <c r="AM81" s="23">
        <v>1</v>
      </c>
      <c r="AN81" s="23">
        <v>0</v>
      </c>
      <c r="AO81" s="23">
        <v>0</v>
      </c>
      <c r="AP81" s="23">
        <v>1</v>
      </c>
      <c r="AQ81" s="23">
        <v>0</v>
      </c>
      <c r="AR81" s="23">
        <v>0</v>
      </c>
      <c r="AS81" s="23">
        <v>1</v>
      </c>
      <c r="AT81" s="23">
        <v>0</v>
      </c>
      <c r="AU81" s="23">
        <v>1</v>
      </c>
      <c r="AV81" s="23">
        <v>0</v>
      </c>
      <c r="AW81" s="23">
        <v>0</v>
      </c>
      <c r="AX81" s="23">
        <v>1</v>
      </c>
      <c r="AY81" s="23">
        <v>0</v>
      </c>
      <c r="AZ81" s="23">
        <v>0</v>
      </c>
      <c r="BA81" s="23">
        <v>0</v>
      </c>
      <c r="BB81" s="23">
        <v>1</v>
      </c>
      <c r="BC81" s="23">
        <v>0</v>
      </c>
      <c r="BD81" s="23">
        <v>0</v>
      </c>
      <c r="BE81" s="23">
        <v>0</v>
      </c>
      <c r="BF81" s="23">
        <v>1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f t="shared" si="36"/>
        <v>1</v>
      </c>
      <c r="BQ81" s="23">
        <f t="shared" si="37"/>
        <v>1</v>
      </c>
      <c r="BR81" s="23">
        <f t="shared" si="38"/>
        <v>0</v>
      </c>
      <c r="BS81" s="23">
        <f t="shared" si="39"/>
        <v>0</v>
      </c>
      <c r="BT81" s="23">
        <f t="shared" si="40"/>
        <v>1</v>
      </c>
      <c r="BU81" s="23">
        <f t="shared" si="41"/>
        <v>0</v>
      </c>
      <c r="BV81" s="23">
        <f t="shared" si="42"/>
        <v>0</v>
      </c>
      <c r="BW81" s="23">
        <f t="shared" si="43"/>
        <v>1</v>
      </c>
      <c r="BX81" s="23">
        <f t="shared" si="44"/>
        <v>0</v>
      </c>
      <c r="BY81" s="23">
        <f t="shared" si="45"/>
        <v>0</v>
      </c>
      <c r="BZ81" s="23">
        <f t="shared" si="46"/>
        <v>1</v>
      </c>
      <c r="CA81" s="23">
        <f t="shared" si="47"/>
        <v>0</v>
      </c>
      <c r="CB81" s="23">
        <f t="shared" si="48"/>
        <v>1</v>
      </c>
      <c r="CC81" s="23">
        <f t="shared" si="49"/>
        <v>0</v>
      </c>
      <c r="CD81" s="23">
        <f t="shared" si="50"/>
        <v>0</v>
      </c>
      <c r="CE81" s="23">
        <f t="shared" si="51"/>
        <v>1</v>
      </c>
      <c r="CF81" s="23">
        <f t="shared" si="52"/>
        <v>0</v>
      </c>
      <c r="CG81" s="23">
        <f t="shared" si="53"/>
        <v>0</v>
      </c>
      <c r="CH81" s="23">
        <f t="shared" si="54"/>
        <v>0</v>
      </c>
      <c r="CI81" s="23">
        <f t="shared" si="55"/>
        <v>1</v>
      </c>
      <c r="CJ81" s="23">
        <f t="shared" si="56"/>
        <v>0</v>
      </c>
      <c r="CK81" s="23">
        <f t="shared" si="57"/>
        <v>0</v>
      </c>
      <c r="CL81" s="23">
        <f t="shared" si="58"/>
        <v>0</v>
      </c>
      <c r="CM81" s="23">
        <f t="shared" si="59"/>
        <v>1</v>
      </c>
      <c r="CN81" s="23">
        <f t="shared" si="60"/>
        <v>0</v>
      </c>
      <c r="CO81" s="23">
        <f t="shared" si="61"/>
        <v>0</v>
      </c>
      <c r="CP81" s="23">
        <f t="shared" si="62"/>
        <v>0</v>
      </c>
      <c r="CQ81" s="23">
        <f t="shared" si="63"/>
        <v>0</v>
      </c>
      <c r="CR81" s="23">
        <f t="shared" si="64"/>
        <v>0</v>
      </c>
      <c r="CS81" s="23">
        <f t="shared" si="65"/>
        <v>0</v>
      </c>
      <c r="CT81" s="23">
        <f t="shared" si="66"/>
        <v>0</v>
      </c>
      <c r="CU81" s="23">
        <f t="shared" si="67"/>
        <v>0</v>
      </c>
      <c r="CV81" s="23">
        <f t="shared" si="68"/>
        <v>0</v>
      </c>
    </row>
    <row r="82" spans="1:100" ht="13.5">
      <c r="A82" s="15">
        <v>234</v>
      </c>
      <c r="B82" s="27" t="s">
        <v>405</v>
      </c>
      <c r="C82" t="s">
        <v>279</v>
      </c>
      <c r="D82" t="s">
        <v>406</v>
      </c>
      <c r="F82" t="s">
        <v>133</v>
      </c>
      <c r="G82" t="s">
        <v>285</v>
      </c>
      <c r="H82" t="s">
        <v>368</v>
      </c>
      <c r="I82" s="6" t="s">
        <v>136</v>
      </c>
      <c r="J82" s="6">
        <v>0</v>
      </c>
      <c r="K82" t="s">
        <v>369</v>
      </c>
      <c r="L82" s="15">
        <v>1</v>
      </c>
      <c r="N82" s="7">
        <v>46149</v>
      </c>
      <c r="O82" s="7">
        <v>46148</v>
      </c>
      <c r="P82" s="7">
        <v>46149</v>
      </c>
      <c r="S82" s="6" t="s">
        <v>285</v>
      </c>
      <c r="U82" s="6" t="s">
        <v>191</v>
      </c>
      <c r="V82" s="6" t="str">
        <f t="shared" si="35"/>
        <v>26/05</v>
      </c>
      <c r="W82">
        <v>21405</v>
      </c>
      <c r="Y82" s="6" t="s">
        <v>286</v>
      </c>
      <c r="Z82" s="6" t="s">
        <v>193</v>
      </c>
      <c r="AE82">
        <v>1269</v>
      </c>
      <c r="AI82" s="23">
        <v>1</v>
      </c>
      <c r="AJ82" s="23">
        <v>1</v>
      </c>
      <c r="AK82" s="23">
        <v>0</v>
      </c>
      <c r="AL82" s="23">
        <v>0</v>
      </c>
      <c r="AM82" s="23">
        <v>1</v>
      </c>
      <c r="AN82" s="23">
        <v>0</v>
      </c>
      <c r="AO82" s="23">
        <v>0</v>
      </c>
      <c r="AP82" s="23">
        <v>1</v>
      </c>
      <c r="AQ82" s="23">
        <v>0</v>
      </c>
      <c r="AR82" s="23">
        <v>0</v>
      </c>
      <c r="AS82" s="23">
        <v>1</v>
      </c>
      <c r="AT82" s="23">
        <v>0</v>
      </c>
      <c r="AU82" s="23">
        <v>1</v>
      </c>
      <c r="AV82" s="23">
        <v>0</v>
      </c>
      <c r="AW82" s="23">
        <v>0</v>
      </c>
      <c r="AX82" s="23">
        <v>1</v>
      </c>
      <c r="AY82" s="23">
        <v>0</v>
      </c>
      <c r="AZ82" s="23">
        <v>0</v>
      </c>
      <c r="BA82" s="23">
        <v>0</v>
      </c>
      <c r="BB82" s="23">
        <v>1</v>
      </c>
      <c r="BC82" s="23">
        <v>0</v>
      </c>
      <c r="BD82" s="23">
        <v>0</v>
      </c>
      <c r="BE82" s="23">
        <v>0</v>
      </c>
      <c r="BF82" s="23">
        <v>1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f t="shared" si="36"/>
        <v>1</v>
      </c>
      <c r="BQ82" s="23">
        <f t="shared" si="37"/>
        <v>1</v>
      </c>
      <c r="BR82" s="23">
        <f t="shared" si="38"/>
        <v>0</v>
      </c>
      <c r="BS82" s="23">
        <f t="shared" si="39"/>
        <v>0</v>
      </c>
      <c r="BT82" s="23">
        <f t="shared" si="40"/>
        <v>1</v>
      </c>
      <c r="BU82" s="23">
        <f t="shared" si="41"/>
        <v>0</v>
      </c>
      <c r="BV82" s="23">
        <f t="shared" si="42"/>
        <v>0</v>
      </c>
      <c r="BW82" s="23">
        <f t="shared" si="43"/>
        <v>1</v>
      </c>
      <c r="BX82" s="23">
        <f t="shared" si="44"/>
        <v>0</v>
      </c>
      <c r="BY82" s="23">
        <f t="shared" si="45"/>
        <v>0</v>
      </c>
      <c r="BZ82" s="23">
        <f t="shared" si="46"/>
        <v>1</v>
      </c>
      <c r="CA82" s="23">
        <f t="shared" si="47"/>
        <v>0</v>
      </c>
      <c r="CB82" s="23">
        <f t="shared" si="48"/>
        <v>1</v>
      </c>
      <c r="CC82" s="23">
        <f t="shared" si="49"/>
        <v>0</v>
      </c>
      <c r="CD82" s="23">
        <f t="shared" si="50"/>
        <v>0</v>
      </c>
      <c r="CE82" s="23">
        <f t="shared" si="51"/>
        <v>1</v>
      </c>
      <c r="CF82" s="23">
        <f t="shared" si="52"/>
        <v>0</v>
      </c>
      <c r="CG82" s="23">
        <f t="shared" si="53"/>
        <v>0</v>
      </c>
      <c r="CH82" s="23">
        <f t="shared" si="54"/>
        <v>0</v>
      </c>
      <c r="CI82" s="23">
        <f t="shared" si="55"/>
        <v>1</v>
      </c>
      <c r="CJ82" s="23">
        <f t="shared" si="56"/>
        <v>0</v>
      </c>
      <c r="CK82" s="23">
        <f t="shared" si="57"/>
        <v>0</v>
      </c>
      <c r="CL82" s="23">
        <f t="shared" si="58"/>
        <v>0</v>
      </c>
      <c r="CM82" s="23">
        <f t="shared" si="59"/>
        <v>1</v>
      </c>
      <c r="CN82" s="23">
        <f t="shared" si="60"/>
        <v>0</v>
      </c>
      <c r="CO82" s="23">
        <f t="shared" si="61"/>
        <v>0</v>
      </c>
      <c r="CP82" s="23">
        <f t="shared" si="62"/>
        <v>0</v>
      </c>
      <c r="CQ82" s="23">
        <f t="shared" si="63"/>
        <v>0</v>
      </c>
      <c r="CR82" s="23">
        <f t="shared" si="64"/>
        <v>0</v>
      </c>
      <c r="CS82" s="23">
        <f t="shared" si="65"/>
        <v>0</v>
      </c>
      <c r="CT82" s="23">
        <f t="shared" si="66"/>
        <v>0</v>
      </c>
      <c r="CU82" s="23">
        <f t="shared" si="67"/>
        <v>0</v>
      </c>
      <c r="CV82" s="23">
        <f t="shared" si="68"/>
        <v>0</v>
      </c>
    </row>
    <row r="83" spans="1:100" ht="13.5">
      <c r="A83" s="15">
        <v>236</v>
      </c>
      <c r="B83" s="27" t="s">
        <v>409</v>
      </c>
      <c r="C83" t="s">
        <v>279</v>
      </c>
      <c r="D83" t="s">
        <v>410</v>
      </c>
      <c r="E83" t="s">
        <v>373</v>
      </c>
      <c r="F83" t="s">
        <v>133</v>
      </c>
      <c r="G83" t="s">
        <v>285</v>
      </c>
      <c r="H83" t="s">
        <v>368</v>
      </c>
      <c r="I83" s="6" t="s">
        <v>136</v>
      </c>
      <c r="J83" s="6">
        <v>0</v>
      </c>
      <c r="K83" t="s">
        <v>369</v>
      </c>
      <c r="L83" s="15">
        <v>1</v>
      </c>
      <c r="N83" s="7">
        <v>46149</v>
      </c>
      <c r="O83" s="7">
        <v>46148</v>
      </c>
      <c r="P83" s="7">
        <v>46149</v>
      </c>
      <c r="S83" s="6" t="s">
        <v>285</v>
      </c>
      <c r="U83" s="6" t="s">
        <v>191</v>
      </c>
      <c r="V83" s="6" t="str">
        <f t="shared" si="35"/>
        <v>26/05</v>
      </c>
      <c r="W83">
        <v>21406</v>
      </c>
      <c r="Y83" s="6" t="s">
        <v>286</v>
      </c>
      <c r="Z83" s="6" t="s">
        <v>193</v>
      </c>
      <c r="AE83">
        <v>1270</v>
      </c>
      <c r="AI83" s="23">
        <v>1</v>
      </c>
      <c r="AJ83" s="23">
        <v>1</v>
      </c>
      <c r="AK83" s="23">
        <v>0</v>
      </c>
      <c r="AL83" s="23">
        <v>0</v>
      </c>
      <c r="AM83" s="23">
        <v>1</v>
      </c>
      <c r="AN83" s="23">
        <v>0</v>
      </c>
      <c r="AO83" s="23">
        <v>0</v>
      </c>
      <c r="AP83" s="23">
        <v>1</v>
      </c>
      <c r="AQ83" s="23">
        <v>0</v>
      </c>
      <c r="AR83" s="23">
        <v>0</v>
      </c>
      <c r="AS83" s="23">
        <v>1</v>
      </c>
      <c r="AT83" s="23">
        <v>0</v>
      </c>
      <c r="AU83" s="23">
        <v>1</v>
      </c>
      <c r="AV83" s="23">
        <v>0</v>
      </c>
      <c r="AW83" s="23">
        <v>0</v>
      </c>
      <c r="AX83" s="23">
        <v>1</v>
      </c>
      <c r="AY83" s="23">
        <v>0</v>
      </c>
      <c r="AZ83" s="23">
        <v>0</v>
      </c>
      <c r="BA83" s="23">
        <v>0</v>
      </c>
      <c r="BB83" s="23">
        <v>1</v>
      </c>
      <c r="BC83" s="23">
        <v>0</v>
      </c>
      <c r="BD83" s="23">
        <v>0</v>
      </c>
      <c r="BE83" s="23">
        <v>0</v>
      </c>
      <c r="BF83" s="23">
        <v>1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f t="shared" si="36"/>
        <v>1</v>
      </c>
      <c r="BQ83" s="23">
        <f t="shared" si="37"/>
        <v>1</v>
      </c>
      <c r="BR83" s="23">
        <f t="shared" si="38"/>
        <v>0</v>
      </c>
      <c r="BS83" s="23">
        <f t="shared" si="39"/>
        <v>0</v>
      </c>
      <c r="BT83" s="23">
        <f t="shared" si="40"/>
        <v>1</v>
      </c>
      <c r="BU83" s="23">
        <f t="shared" si="41"/>
        <v>0</v>
      </c>
      <c r="BV83" s="23">
        <f t="shared" si="42"/>
        <v>0</v>
      </c>
      <c r="BW83" s="23">
        <f t="shared" si="43"/>
        <v>1</v>
      </c>
      <c r="BX83" s="23">
        <f t="shared" si="44"/>
        <v>0</v>
      </c>
      <c r="BY83" s="23">
        <f t="shared" si="45"/>
        <v>0</v>
      </c>
      <c r="BZ83" s="23">
        <f t="shared" si="46"/>
        <v>1</v>
      </c>
      <c r="CA83" s="23">
        <f t="shared" si="47"/>
        <v>0</v>
      </c>
      <c r="CB83" s="23">
        <f t="shared" si="48"/>
        <v>1</v>
      </c>
      <c r="CC83" s="23">
        <f t="shared" si="49"/>
        <v>0</v>
      </c>
      <c r="CD83" s="23">
        <f t="shared" si="50"/>
        <v>0</v>
      </c>
      <c r="CE83" s="23">
        <f t="shared" si="51"/>
        <v>1</v>
      </c>
      <c r="CF83" s="23">
        <f t="shared" si="52"/>
        <v>0</v>
      </c>
      <c r="CG83" s="23">
        <f t="shared" si="53"/>
        <v>0</v>
      </c>
      <c r="CH83" s="23">
        <f t="shared" si="54"/>
        <v>0</v>
      </c>
      <c r="CI83" s="23">
        <f t="shared" si="55"/>
        <v>1</v>
      </c>
      <c r="CJ83" s="23">
        <f t="shared" si="56"/>
        <v>0</v>
      </c>
      <c r="CK83" s="23">
        <f t="shared" si="57"/>
        <v>0</v>
      </c>
      <c r="CL83" s="23">
        <f t="shared" si="58"/>
        <v>0</v>
      </c>
      <c r="CM83" s="23">
        <f t="shared" si="59"/>
        <v>1</v>
      </c>
      <c r="CN83" s="23">
        <f t="shared" si="60"/>
        <v>0</v>
      </c>
      <c r="CO83" s="23">
        <f t="shared" si="61"/>
        <v>0</v>
      </c>
      <c r="CP83" s="23">
        <f t="shared" si="62"/>
        <v>0</v>
      </c>
      <c r="CQ83" s="23">
        <f t="shared" si="63"/>
        <v>0</v>
      </c>
      <c r="CR83" s="23">
        <f t="shared" si="64"/>
        <v>0</v>
      </c>
      <c r="CS83" s="23">
        <f t="shared" si="65"/>
        <v>0</v>
      </c>
      <c r="CT83" s="23">
        <f t="shared" si="66"/>
        <v>0</v>
      </c>
      <c r="CU83" s="23">
        <f t="shared" si="67"/>
        <v>0</v>
      </c>
      <c r="CV83" s="23">
        <f t="shared" si="68"/>
        <v>0</v>
      </c>
    </row>
    <row r="84" spans="1:100" ht="13.5">
      <c r="A84" s="15">
        <v>235</v>
      </c>
      <c r="B84" s="27" t="s">
        <v>407</v>
      </c>
      <c r="C84" t="s">
        <v>279</v>
      </c>
      <c r="D84" t="s">
        <v>408</v>
      </c>
      <c r="E84" t="s">
        <v>373</v>
      </c>
      <c r="F84" t="s">
        <v>133</v>
      </c>
      <c r="G84" t="s">
        <v>285</v>
      </c>
      <c r="H84" t="s">
        <v>368</v>
      </c>
      <c r="I84" s="6" t="s">
        <v>136</v>
      </c>
      <c r="J84" s="6">
        <v>0</v>
      </c>
      <c r="K84" t="s">
        <v>369</v>
      </c>
      <c r="L84" s="15">
        <v>1</v>
      </c>
      <c r="N84" s="7">
        <v>46149</v>
      </c>
      <c r="O84" s="7">
        <v>46148</v>
      </c>
      <c r="P84" s="7">
        <v>46149</v>
      </c>
      <c r="S84" s="6" t="s">
        <v>285</v>
      </c>
      <c r="U84" s="6" t="s">
        <v>191</v>
      </c>
      <c r="V84" s="6" t="str">
        <f t="shared" si="35"/>
        <v>26/05</v>
      </c>
      <c r="W84">
        <v>21407</v>
      </c>
      <c r="Y84" s="6" t="s">
        <v>286</v>
      </c>
      <c r="Z84" s="6" t="s">
        <v>193</v>
      </c>
      <c r="AE84">
        <v>1271</v>
      </c>
      <c r="AI84" s="23">
        <v>1</v>
      </c>
      <c r="AJ84" s="23">
        <v>1</v>
      </c>
      <c r="AK84" s="23">
        <v>0</v>
      </c>
      <c r="AL84" s="23">
        <v>0</v>
      </c>
      <c r="AM84" s="23">
        <v>1</v>
      </c>
      <c r="AN84" s="23">
        <v>0</v>
      </c>
      <c r="AO84" s="23">
        <v>0</v>
      </c>
      <c r="AP84" s="23">
        <v>1</v>
      </c>
      <c r="AQ84" s="23">
        <v>0</v>
      </c>
      <c r="AR84" s="23">
        <v>0</v>
      </c>
      <c r="AS84" s="23">
        <v>1</v>
      </c>
      <c r="AT84" s="23">
        <v>0</v>
      </c>
      <c r="AU84" s="23">
        <v>1</v>
      </c>
      <c r="AV84" s="23">
        <v>0</v>
      </c>
      <c r="AW84" s="23">
        <v>0</v>
      </c>
      <c r="AX84" s="23">
        <v>1</v>
      </c>
      <c r="AY84" s="23">
        <v>0</v>
      </c>
      <c r="AZ84" s="23">
        <v>0</v>
      </c>
      <c r="BA84" s="23">
        <v>0</v>
      </c>
      <c r="BB84" s="23">
        <v>1</v>
      </c>
      <c r="BC84" s="23">
        <v>0</v>
      </c>
      <c r="BD84" s="23">
        <v>0</v>
      </c>
      <c r="BE84" s="23">
        <v>0</v>
      </c>
      <c r="BF84" s="23">
        <v>1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f t="shared" si="36"/>
        <v>1</v>
      </c>
      <c r="BQ84" s="23">
        <f t="shared" si="37"/>
        <v>1</v>
      </c>
      <c r="BR84" s="23">
        <f t="shared" si="38"/>
        <v>0</v>
      </c>
      <c r="BS84" s="23">
        <f t="shared" si="39"/>
        <v>0</v>
      </c>
      <c r="BT84" s="23">
        <f t="shared" si="40"/>
        <v>1</v>
      </c>
      <c r="BU84" s="23">
        <f t="shared" si="41"/>
        <v>0</v>
      </c>
      <c r="BV84" s="23">
        <f t="shared" si="42"/>
        <v>0</v>
      </c>
      <c r="BW84" s="23">
        <f t="shared" si="43"/>
        <v>1</v>
      </c>
      <c r="BX84" s="23">
        <f t="shared" si="44"/>
        <v>0</v>
      </c>
      <c r="BY84" s="23">
        <f t="shared" si="45"/>
        <v>0</v>
      </c>
      <c r="BZ84" s="23">
        <f t="shared" si="46"/>
        <v>1</v>
      </c>
      <c r="CA84" s="23">
        <f t="shared" si="47"/>
        <v>0</v>
      </c>
      <c r="CB84" s="23">
        <f t="shared" si="48"/>
        <v>1</v>
      </c>
      <c r="CC84" s="23">
        <f t="shared" si="49"/>
        <v>0</v>
      </c>
      <c r="CD84" s="23">
        <f t="shared" si="50"/>
        <v>0</v>
      </c>
      <c r="CE84" s="23">
        <f t="shared" si="51"/>
        <v>1</v>
      </c>
      <c r="CF84" s="23">
        <f t="shared" si="52"/>
        <v>0</v>
      </c>
      <c r="CG84" s="23">
        <f t="shared" si="53"/>
        <v>0</v>
      </c>
      <c r="CH84" s="23">
        <f t="shared" si="54"/>
        <v>0</v>
      </c>
      <c r="CI84" s="23">
        <f t="shared" si="55"/>
        <v>1</v>
      </c>
      <c r="CJ84" s="23">
        <f t="shared" si="56"/>
        <v>0</v>
      </c>
      <c r="CK84" s="23">
        <f t="shared" si="57"/>
        <v>0</v>
      </c>
      <c r="CL84" s="23">
        <f t="shared" si="58"/>
        <v>0</v>
      </c>
      <c r="CM84" s="23">
        <f t="shared" si="59"/>
        <v>1</v>
      </c>
      <c r="CN84" s="23">
        <f t="shared" si="60"/>
        <v>0</v>
      </c>
      <c r="CO84" s="23">
        <f t="shared" si="61"/>
        <v>0</v>
      </c>
      <c r="CP84" s="23">
        <f t="shared" si="62"/>
        <v>0</v>
      </c>
      <c r="CQ84" s="23">
        <f t="shared" si="63"/>
        <v>0</v>
      </c>
      <c r="CR84" s="23">
        <f t="shared" si="64"/>
        <v>0</v>
      </c>
      <c r="CS84" s="23">
        <f t="shared" si="65"/>
        <v>0</v>
      </c>
      <c r="CT84" s="23">
        <f t="shared" si="66"/>
        <v>0</v>
      </c>
      <c r="CU84" s="23">
        <f t="shared" si="67"/>
        <v>0</v>
      </c>
      <c r="CV84" s="23">
        <f t="shared" si="68"/>
        <v>0</v>
      </c>
    </row>
    <row r="85" spans="1:100" ht="13.5">
      <c r="A85" s="15">
        <v>237</v>
      </c>
      <c r="B85" s="27" t="s">
        <v>411</v>
      </c>
      <c r="C85" t="s">
        <v>259</v>
      </c>
      <c r="E85" t="s">
        <v>260</v>
      </c>
      <c r="F85" t="s">
        <v>133</v>
      </c>
      <c r="G85" t="s">
        <v>260</v>
      </c>
      <c r="H85" t="s">
        <v>261</v>
      </c>
      <c r="I85" s="6" t="s">
        <v>136</v>
      </c>
      <c r="J85" s="6">
        <v>1</v>
      </c>
      <c r="L85" s="15">
        <v>7</v>
      </c>
      <c r="N85" s="7">
        <v>46149</v>
      </c>
      <c r="O85" s="7">
        <v>46148</v>
      </c>
      <c r="P85" s="7">
        <v>46149</v>
      </c>
      <c r="S85" s="6" t="s">
        <v>260</v>
      </c>
      <c r="U85" s="6" t="s">
        <v>191</v>
      </c>
      <c r="V85" s="6" t="str">
        <f t="shared" si="35"/>
        <v>26/05</v>
      </c>
      <c r="W85">
        <v>21408</v>
      </c>
      <c r="Y85" s="6" t="s">
        <v>192</v>
      </c>
      <c r="Z85" s="6" t="s">
        <v>193</v>
      </c>
      <c r="AD85">
        <v>8235</v>
      </c>
      <c r="AI85" s="23">
        <v>1</v>
      </c>
      <c r="AJ85" s="23">
        <v>1</v>
      </c>
      <c r="AK85" s="23">
        <v>0</v>
      </c>
      <c r="AL85" s="23">
        <v>0</v>
      </c>
      <c r="AM85" s="23">
        <v>1</v>
      </c>
      <c r="AN85" s="23">
        <v>0</v>
      </c>
      <c r="AO85" s="23">
        <v>1</v>
      </c>
      <c r="AP85" s="23">
        <v>0</v>
      </c>
      <c r="AQ85" s="23">
        <v>0</v>
      </c>
      <c r="AR85" s="23">
        <v>0</v>
      </c>
      <c r="AS85" s="23">
        <v>0</v>
      </c>
      <c r="AT85" s="23">
        <v>1</v>
      </c>
      <c r="AU85" s="23">
        <v>1</v>
      </c>
      <c r="AV85" s="23">
        <v>0</v>
      </c>
      <c r="AW85" s="23">
        <v>0</v>
      </c>
      <c r="AX85" s="23">
        <v>1</v>
      </c>
      <c r="AY85" s="23">
        <v>0</v>
      </c>
      <c r="AZ85" s="23">
        <v>0</v>
      </c>
      <c r="BA85" s="23">
        <v>0</v>
      </c>
      <c r="BB85" s="23">
        <v>1</v>
      </c>
      <c r="BC85" s="23">
        <v>0</v>
      </c>
      <c r="BD85" s="23">
        <v>0</v>
      </c>
      <c r="BE85" s="23">
        <v>0</v>
      </c>
      <c r="BF85" s="23">
        <v>1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f t="shared" si="36"/>
        <v>7</v>
      </c>
      <c r="BQ85" s="23">
        <f t="shared" si="37"/>
        <v>7</v>
      </c>
      <c r="BR85" s="23">
        <f t="shared" si="38"/>
        <v>0</v>
      </c>
      <c r="BS85" s="23">
        <f t="shared" si="39"/>
        <v>0</v>
      </c>
      <c r="BT85" s="23">
        <f t="shared" si="40"/>
        <v>7</v>
      </c>
      <c r="BU85" s="23">
        <f t="shared" si="41"/>
        <v>0</v>
      </c>
      <c r="BV85" s="23">
        <f t="shared" si="42"/>
        <v>7</v>
      </c>
      <c r="BW85" s="23">
        <f t="shared" si="43"/>
        <v>0</v>
      </c>
      <c r="BX85" s="23">
        <f t="shared" si="44"/>
        <v>0</v>
      </c>
      <c r="BY85" s="23">
        <f t="shared" si="45"/>
        <v>0</v>
      </c>
      <c r="BZ85" s="23">
        <f t="shared" si="46"/>
        <v>0</v>
      </c>
      <c r="CA85" s="23">
        <f t="shared" si="47"/>
        <v>7</v>
      </c>
      <c r="CB85" s="23">
        <f t="shared" si="48"/>
        <v>7</v>
      </c>
      <c r="CC85" s="23">
        <f t="shared" si="49"/>
        <v>0</v>
      </c>
      <c r="CD85" s="23">
        <f t="shared" si="50"/>
        <v>0</v>
      </c>
      <c r="CE85" s="23">
        <f t="shared" si="51"/>
        <v>7</v>
      </c>
      <c r="CF85" s="23">
        <f t="shared" si="52"/>
        <v>0</v>
      </c>
      <c r="CG85" s="23">
        <f t="shared" si="53"/>
        <v>0</v>
      </c>
      <c r="CH85" s="23">
        <f t="shared" si="54"/>
        <v>0</v>
      </c>
      <c r="CI85" s="23">
        <f t="shared" si="55"/>
        <v>7</v>
      </c>
      <c r="CJ85" s="23">
        <f t="shared" si="56"/>
        <v>0</v>
      </c>
      <c r="CK85" s="23">
        <f t="shared" si="57"/>
        <v>0</v>
      </c>
      <c r="CL85" s="23">
        <f t="shared" si="58"/>
        <v>0</v>
      </c>
      <c r="CM85" s="23">
        <f t="shared" si="59"/>
        <v>7</v>
      </c>
      <c r="CN85" s="23">
        <f t="shared" si="60"/>
        <v>0</v>
      </c>
      <c r="CO85" s="23">
        <f t="shared" si="61"/>
        <v>0</v>
      </c>
      <c r="CP85" s="23">
        <f t="shared" si="62"/>
        <v>0</v>
      </c>
      <c r="CQ85" s="23">
        <f t="shared" si="63"/>
        <v>0</v>
      </c>
      <c r="CR85" s="23">
        <f t="shared" si="64"/>
        <v>0</v>
      </c>
      <c r="CS85" s="23">
        <f t="shared" si="65"/>
        <v>0</v>
      </c>
      <c r="CT85" s="23">
        <f t="shared" si="66"/>
        <v>0</v>
      </c>
      <c r="CU85" s="23">
        <f t="shared" si="67"/>
        <v>0</v>
      </c>
      <c r="CV85" s="23">
        <f t="shared" si="68"/>
        <v>0</v>
      </c>
    </row>
    <row r="86" spans="1:100" ht="13.5">
      <c r="A86" s="15">
        <v>238</v>
      </c>
      <c r="B86" s="27" t="s">
        <v>412</v>
      </c>
      <c r="C86" t="s">
        <v>208</v>
      </c>
      <c r="E86" t="s">
        <v>134</v>
      </c>
      <c r="F86" t="s">
        <v>133</v>
      </c>
      <c r="G86" t="s">
        <v>134</v>
      </c>
      <c r="H86" t="s">
        <v>209</v>
      </c>
      <c r="I86" s="6" t="s">
        <v>136</v>
      </c>
      <c r="J86" s="6">
        <v>1</v>
      </c>
      <c r="L86" s="15">
        <v>9</v>
      </c>
      <c r="N86" s="7">
        <v>46149</v>
      </c>
      <c r="O86" s="7">
        <v>46148</v>
      </c>
      <c r="P86" s="7">
        <v>46149</v>
      </c>
      <c r="S86" s="6" t="s">
        <v>134</v>
      </c>
      <c r="U86" s="6" t="s">
        <v>191</v>
      </c>
      <c r="V86" s="6" t="str">
        <f t="shared" si="35"/>
        <v>26/05</v>
      </c>
      <c r="W86">
        <v>21409</v>
      </c>
      <c r="Y86" s="6" t="s">
        <v>211</v>
      </c>
      <c r="Z86" s="6" t="s">
        <v>212</v>
      </c>
      <c r="AA86">
        <v>3227</v>
      </c>
      <c r="AI86" s="23">
        <v>1</v>
      </c>
      <c r="AJ86" s="23">
        <v>1</v>
      </c>
      <c r="AK86" s="23">
        <v>0</v>
      </c>
      <c r="AL86" s="23">
        <v>0</v>
      </c>
      <c r="AM86" s="23">
        <v>1</v>
      </c>
      <c r="AN86" s="23">
        <v>0</v>
      </c>
      <c r="AO86" s="23">
        <v>1</v>
      </c>
      <c r="AP86" s="23">
        <v>0</v>
      </c>
      <c r="AQ86" s="23">
        <v>0</v>
      </c>
      <c r="AR86" s="23">
        <v>0</v>
      </c>
      <c r="AS86" s="23">
        <v>0</v>
      </c>
      <c r="AT86" s="23">
        <v>1</v>
      </c>
      <c r="AU86" s="23">
        <v>1</v>
      </c>
      <c r="AV86" s="23">
        <v>0</v>
      </c>
      <c r="AW86" s="23">
        <v>0</v>
      </c>
      <c r="AX86" s="23">
        <v>1</v>
      </c>
      <c r="AY86" s="23">
        <v>0</v>
      </c>
      <c r="AZ86" s="23">
        <v>0</v>
      </c>
      <c r="BA86" s="23">
        <v>0</v>
      </c>
      <c r="BB86" s="23">
        <v>1</v>
      </c>
      <c r="BC86" s="23">
        <v>0</v>
      </c>
      <c r="BD86" s="23">
        <v>0</v>
      </c>
      <c r="BE86" s="23">
        <v>0</v>
      </c>
      <c r="BF86" s="23">
        <v>1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f t="shared" si="36"/>
        <v>9</v>
      </c>
      <c r="BQ86" s="23">
        <f t="shared" si="37"/>
        <v>9</v>
      </c>
      <c r="BR86" s="23">
        <f t="shared" si="38"/>
        <v>0</v>
      </c>
      <c r="BS86" s="23">
        <f t="shared" si="39"/>
        <v>0</v>
      </c>
      <c r="BT86" s="23">
        <f t="shared" si="40"/>
        <v>9</v>
      </c>
      <c r="BU86" s="23">
        <f t="shared" si="41"/>
        <v>0</v>
      </c>
      <c r="BV86" s="23">
        <f t="shared" si="42"/>
        <v>9</v>
      </c>
      <c r="BW86" s="23">
        <f t="shared" si="43"/>
        <v>0</v>
      </c>
      <c r="BX86" s="23">
        <f t="shared" si="44"/>
        <v>0</v>
      </c>
      <c r="BY86" s="23">
        <f t="shared" si="45"/>
        <v>0</v>
      </c>
      <c r="BZ86" s="23">
        <f t="shared" si="46"/>
        <v>0</v>
      </c>
      <c r="CA86" s="23">
        <f t="shared" si="47"/>
        <v>9</v>
      </c>
      <c r="CB86" s="23">
        <f t="shared" si="48"/>
        <v>9</v>
      </c>
      <c r="CC86" s="23">
        <f t="shared" si="49"/>
        <v>0</v>
      </c>
      <c r="CD86" s="23">
        <f t="shared" si="50"/>
        <v>0</v>
      </c>
      <c r="CE86" s="23">
        <f t="shared" si="51"/>
        <v>9</v>
      </c>
      <c r="CF86" s="23">
        <f t="shared" si="52"/>
        <v>0</v>
      </c>
      <c r="CG86" s="23">
        <f t="shared" si="53"/>
        <v>0</v>
      </c>
      <c r="CH86" s="23">
        <f t="shared" si="54"/>
        <v>0</v>
      </c>
      <c r="CI86" s="23">
        <f t="shared" si="55"/>
        <v>9</v>
      </c>
      <c r="CJ86" s="23">
        <f t="shared" si="56"/>
        <v>0</v>
      </c>
      <c r="CK86" s="23">
        <f t="shared" si="57"/>
        <v>0</v>
      </c>
      <c r="CL86" s="23">
        <f t="shared" si="58"/>
        <v>0</v>
      </c>
      <c r="CM86" s="23">
        <f t="shared" si="59"/>
        <v>9</v>
      </c>
      <c r="CN86" s="23">
        <f t="shared" si="60"/>
        <v>0</v>
      </c>
      <c r="CO86" s="23">
        <f t="shared" si="61"/>
        <v>0</v>
      </c>
      <c r="CP86" s="23">
        <f t="shared" si="62"/>
        <v>0</v>
      </c>
      <c r="CQ86" s="23">
        <f t="shared" si="63"/>
        <v>0</v>
      </c>
      <c r="CR86" s="23">
        <f t="shared" si="64"/>
        <v>0</v>
      </c>
      <c r="CS86" s="23">
        <f t="shared" si="65"/>
        <v>0</v>
      </c>
      <c r="CT86" s="23">
        <f t="shared" si="66"/>
        <v>0</v>
      </c>
      <c r="CU86" s="23">
        <f t="shared" si="67"/>
        <v>0</v>
      </c>
      <c r="CV86" s="23">
        <f t="shared" si="68"/>
        <v>0</v>
      </c>
    </row>
    <row r="87" spans="1:100" ht="13.5">
      <c r="A87" s="15">
        <v>240</v>
      </c>
      <c r="B87" s="27" t="s">
        <v>415</v>
      </c>
      <c r="C87" t="s">
        <v>208</v>
      </c>
      <c r="E87" t="s">
        <v>140</v>
      </c>
      <c r="F87" t="s">
        <v>133</v>
      </c>
      <c r="G87" t="s">
        <v>140</v>
      </c>
      <c r="H87" t="s">
        <v>414</v>
      </c>
      <c r="I87" s="6" t="s">
        <v>136</v>
      </c>
      <c r="J87" s="6">
        <v>1</v>
      </c>
      <c r="L87" s="15">
        <v>4</v>
      </c>
      <c r="N87" s="7">
        <v>46149</v>
      </c>
      <c r="O87" s="7">
        <v>46148</v>
      </c>
      <c r="P87" s="7">
        <v>46149</v>
      </c>
      <c r="S87" s="6" t="s">
        <v>140</v>
      </c>
      <c r="U87" s="6" t="s">
        <v>191</v>
      </c>
      <c r="V87" s="6" t="str">
        <f t="shared" si="35"/>
        <v>26/05</v>
      </c>
      <c r="W87">
        <v>21410</v>
      </c>
      <c r="Y87" s="6" t="s">
        <v>211</v>
      </c>
      <c r="Z87" s="6" t="s">
        <v>212</v>
      </c>
      <c r="AA87">
        <v>3228</v>
      </c>
      <c r="AI87" s="23">
        <v>1</v>
      </c>
      <c r="AJ87" s="23">
        <v>1</v>
      </c>
      <c r="AK87" s="23">
        <v>0</v>
      </c>
      <c r="AL87" s="23">
        <v>0</v>
      </c>
      <c r="AM87" s="23">
        <v>1</v>
      </c>
      <c r="AN87" s="23">
        <v>0</v>
      </c>
      <c r="AO87" s="23">
        <v>1</v>
      </c>
      <c r="AP87" s="23">
        <v>0</v>
      </c>
      <c r="AQ87" s="23">
        <v>0</v>
      </c>
      <c r="AR87" s="23">
        <v>1</v>
      </c>
      <c r="AS87" s="23">
        <v>0</v>
      </c>
      <c r="AT87" s="23">
        <v>0</v>
      </c>
      <c r="AU87" s="23">
        <v>1</v>
      </c>
      <c r="AV87" s="23">
        <v>0</v>
      </c>
      <c r="AW87" s="23">
        <v>0</v>
      </c>
      <c r="AX87" s="23">
        <v>1</v>
      </c>
      <c r="AY87" s="23">
        <v>0</v>
      </c>
      <c r="AZ87" s="23">
        <v>0</v>
      </c>
      <c r="BA87" s="23">
        <v>0</v>
      </c>
      <c r="BB87" s="23">
        <v>1</v>
      </c>
      <c r="BC87" s="23">
        <v>0</v>
      </c>
      <c r="BD87" s="23">
        <v>0</v>
      </c>
      <c r="BE87" s="23">
        <v>0</v>
      </c>
      <c r="BF87" s="23">
        <v>1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f t="shared" si="36"/>
        <v>4</v>
      </c>
      <c r="BQ87" s="23">
        <f t="shared" si="37"/>
        <v>4</v>
      </c>
      <c r="BR87" s="23">
        <f t="shared" si="38"/>
        <v>0</v>
      </c>
      <c r="BS87" s="23">
        <f t="shared" si="39"/>
        <v>0</v>
      </c>
      <c r="BT87" s="23">
        <f t="shared" si="40"/>
        <v>4</v>
      </c>
      <c r="BU87" s="23">
        <f t="shared" si="41"/>
        <v>0</v>
      </c>
      <c r="BV87" s="23">
        <f t="shared" si="42"/>
        <v>4</v>
      </c>
      <c r="BW87" s="23">
        <f t="shared" si="43"/>
        <v>0</v>
      </c>
      <c r="BX87" s="23">
        <f t="shared" si="44"/>
        <v>0</v>
      </c>
      <c r="BY87" s="23">
        <f t="shared" si="45"/>
        <v>4</v>
      </c>
      <c r="BZ87" s="23">
        <f t="shared" si="46"/>
        <v>0</v>
      </c>
      <c r="CA87" s="23">
        <f t="shared" si="47"/>
        <v>0</v>
      </c>
      <c r="CB87" s="23">
        <f t="shared" si="48"/>
        <v>4</v>
      </c>
      <c r="CC87" s="23">
        <f t="shared" si="49"/>
        <v>0</v>
      </c>
      <c r="CD87" s="23">
        <f t="shared" si="50"/>
        <v>0</v>
      </c>
      <c r="CE87" s="23">
        <f t="shared" si="51"/>
        <v>4</v>
      </c>
      <c r="CF87" s="23">
        <f t="shared" si="52"/>
        <v>0</v>
      </c>
      <c r="CG87" s="23">
        <f t="shared" si="53"/>
        <v>0</v>
      </c>
      <c r="CH87" s="23">
        <f t="shared" si="54"/>
        <v>0</v>
      </c>
      <c r="CI87" s="23">
        <f t="shared" si="55"/>
        <v>4</v>
      </c>
      <c r="CJ87" s="23">
        <f t="shared" si="56"/>
        <v>0</v>
      </c>
      <c r="CK87" s="23">
        <f t="shared" si="57"/>
        <v>0</v>
      </c>
      <c r="CL87" s="23">
        <f t="shared" si="58"/>
        <v>0</v>
      </c>
      <c r="CM87" s="23">
        <f t="shared" si="59"/>
        <v>4</v>
      </c>
      <c r="CN87" s="23">
        <f t="shared" si="60"/>
        <v>0</v>
      </c>
      <c r="CO87" s="23">
        <f t="shared" si="61"/>
        <v>0</v>
      </c>
      <c r="CP87" s="23">
        <f t="shared" si="62"/>
        <v>0</v>
      </c>
      <c r="CQ87" s="23">
        <f t="shared" si="63"/>
        <v>0</v>
      </c>
      <c r="CR87" s="23">
        <f t="shared" si="64"/>
        <v>0</v>
      </c>
      <c r="CS87" s="23">
        <f t="shared" si="65"/>
        <v>0</v>
      </c>
      <c r="CT87" s="23">
        <f t="shared" si="66"/>
        <v>0</v>
      </c>
      <c r="CU87" s="23">
        <f t="shared" si="67"/>
        <v>0</v>
      </c>
      <c r="CV87" s="23">
        <f t="shared" si="68"/>
        <v>0</v>
      </c>
    </row>
    <row r="88" spans="1:100" ht="13.5">
      <c r="A88" s="15">
        <v>241</v>
      </c>
      <c r="B88" s="27" t="s">
        <v>416</v>
      </c>
      <c r="C88" t="s">
        <v>208</v>
      </c>
      <c r="E88" t="s">
        <v>417</v>
      </c>
      <c r="F88" t="s">
        <v>133</v>
      </c>
      <c r="G88" t="s">
        <v>417</v>
      </c>
      <c r="H88" t="s">
        <v>418</v>
      </c>
      <c r="I88" s="6" t="s">
        <v>136</v>
      </c>
      <c r="J88" s="6">
        <v>1</v>
      </c>
      <c r="L88" s="15">
        <v>5</v>
      </c>
      <c r="N88" s="7">
        <v>46149</v>
      </c>
      <c r="O88" s="7">
        <v>46148</v>
      </c>
      <c r="P88" s="7">
        <v>46149</v>
      </c>
      <c r="S88" s="6" t="s">
        <v>417</v>
      </c>
      <c r="U88" s="6" t="s">
        <v>191</v>
      </c>
      <c r="V88" s="6" t="str">
        <f t="shared" si="35"/>
        <v>26/05</v>
      </c>
      <c r="W88">
        <v>21411</v>
      </c>
      <c r="Y88" s="6" t="s">
        <v>211</v>
      </c>
      <c r="Z88" s="6" t="s">
        <v>212</v>
      </c>
      <c r="AA88">
        <v>3229</v>
      </c>
      <c r="AI88" s="23">
        <v>1</v>
      </c>
      <c r="AJ88" s="23">
        <v>1</v>
      </c>
      <c r="AK88" s="23">
        <v>0</v>
      </c>
      <c r="AL88" s="23">
        <v>0</v>
      </c>
      <c r="AM88" s="23">
        <v>1</v>
      </c>
      <c r="AN88" s="23">
        <v>0</v>
      </c>
      <c r="AO88" s="23">
        <v>1</v>
      </c>
      <c r="AP88" s="23">
        <v>0</v>
      </c>
      <c r="AQ88" s="23">
        <v>0</v>
      </c>
      <c r="AR88" s="23">
        <v>0</v>
      </c>
      <c r="AS88" s="23">
        <v>0</v>
      </c>
      <c r="AT88" s="23">
        <v>1</v>
      </c>
      <c r="AU88" s="23">
        <v>0</v>
      </c>
      <c r="AV88" s="23">
        <v>0</v>
      </c>
      <c r="AW88" s="23">
        <v>1</v>
      </c>
      <c r="AX88" s="23">
        <v>0</v>
      </c>
      <c r="AY88" s="23">
        <v>0</v>
      </c>
      <c r="AZ88" s="23">
        <v>0</v>
      </c>
      <c r="BA88" s="23">
        <v>1</v>
      </c>
      <c r="BB88" s="23">
        <v>0</v>
      </c>
      <c r="BC88" s="23">
        <v>0</v>
      </c>
      <c r="BD88" s="23">
        <v>0</v>
      </c>
      <c r="BE88" s="23">
        <v>1</v>
      </c>
      <c r="BF88" s="23">
        <v>1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f t="shared" si="36"/>
        <v>5</v>
      </c>
      <c r="BQ88" s="23">
        <f t="shared" si="37"/>
        <v>5</v>
      </c>
      <c r="BR88" s="23">
        <f t="shared" si="38"/>
        <v>0</v>
      </c>
      <c r="BS88" s="23">
        <f t="shared" si="39"/>
        <v>0</v>
      </c>
      <c r="BT88" s="23">
        <f t="shared" si="40"/>
        <v>5</v>
      </c>
      <c r="BU88" s="23">
        <f t="shared" si="41"/>
        <v>0</v>
      </c>
      <c r="BV88" s="23">
        <f t="shared" si="42"/>
        <v>5</v>
      </c>
      <c r="BW88" s="23">
        <f t="shared" si="43"/>
        <v>0</v>
      </c>
      <c r="BX88" s="23">
        <f t="shared" si="44"/>
        <v>0</v>
      </c>
      <c r="BY88" s="23">
        <f t="shared" si="45"/>
        <v>0</v>
      </c>
      <c r="BZ88" s="23">
        <f t="shared" si="46"/>
        <v>0</v>
      </c>
      <c r="CA88" s="23">
        <f t="shared" si="47"/>
        <v>5</v>
      </c>
      <c r="CB88" s="23">
        <f t="shared" si="48"/>
        <v>0</v>
      </c>
      <c r="CC88" s="23">
        <f t="shared" si="49"/>
        <v>0</v>
      </c>
      <c r="CD88" s="23">
        <f t="shared" si="50"/>
        <v>5</v>
      </c>
      <c r="CE88" s="23">
        <f t="shared" si="51"/>
        <v>0</v>
      </c>
      <c r="CF88" s="23">
        <f t="shared" si="52"/>
        <v>0</v>
      </c>
      <c r="CG88" s="23">
        <f t="shared" si="53"/>
        <v>0</v>
      </c>
      <c r="CH88" s="23">
        <f t="shared" si="54"/>
        <v>5</v>
      </c>
      <c r="CI88" s="23">
        <f t="shared" si="55"/>
        <v>0</v>
      </c>
      <c r="CJ88" s="23">
        <f t="shared" si="56"/>
        <v>0</v>
      </c>
      <c r="CK88" s="23">
        <f t="shared" si="57"/>
        <v>0</v>
      </c>
      <c r="CL88" s="23">
        <f t="shared" si="58"/>
        <v>5</v>
      </c>
      <c r="CM88" s="23">
        <f t="shared" si="59"/>
        <v>5</v>
      </c>
      <c r="CN88" s="23">
        <f t="shared" si="60"/>
        <v>0</v>
      </c>
      <c r="CO88" s="23">
        <f t="shared" si="61"/>
        <v>0</v>
      </c>
      <c r="CP88" s="23">
        <f t="shared" si="62"/>
        <v>0</v>
      </c>
      <c r="CQ88" s="23">
        <f t="shared" si="63"/>
        <v>0</v>
      </c>
      <c r="CR88" s="23">
        <f t="shared" si="64"/>
        <v>0</v>
      </c>
      <c r="CS88" s="23">
        <f t="shared" si="65"/>
        <v>0</v>
      </c>
      <c r="CT88" s="23">
        <f t="shared" si="66"/>
        <v>0</v>
      </c>
      <c r="CU88" s="23">
        <f t="shared" si="67"/>
        <v>0</v>
      </c>
      <c r="CV88" s="23">
        <f t="shared" si="68"/>
        <v>0</v>
      </c>
    </row>
    <row r="89" spans="1:100" ht="13.5">
      <c r="A89" s="15">
        <v>239</v>
      </c>
      <c r="B89" s="27" t="s">
        <v>413</v>
      </c>
      <c r="C89" t="s">
        <v>208</v>
      </c>
      <c r="E89" t="s">
        <v>140</v>
      </c>
      <c r="F89" t="s">
        <v>133</v>
      </c>
      <c r="G89" t="s">
        <v>140</v>
      </c>
      <c r="H89" t="s">
        <v>414</v>
      </c>
      <c r="I89" s="6" t="s">
        <v>136</v>
      </c>
      <c r="J89" s="6">
        <v>1</v>
      </c>
      <c r="L89" s="15">
        <v>5</v>
      </c>
      <c r="N89" s="7">
        <v>46149</v>
      </c>
      <c r="O89" s="7">
        <v>46148</v>
      </c>
      <c r="P89" s="7">
        <v>46149</v>
      </c>
      <c r="S89" s="6" t="s">
        <v>140</v>
      </c>
      <c r="U89" s="6" t="s">
        <v>191</v>
      </c>
      <c r="V89" s="6" t="str">
        <f t="shared" si="35"/>
        <v>26/05</v>
      </c>
      <c r="W89">
        <v>21412</v>
      </c>
      <c r="Y89" s="6" t="s">
        <v>211</v>
      </c>
      <c r="Z89" s="6" t="s">
        <v>212</v>
      </c>
      <c r="AA89">
        <v>3230</v>
      </c>
      <c r="AI89" s="23">
        <v>1</v>
      </c>
      <c r="AJ89" s="23">
        <v>1</v>
      </c>
      <c r="AK89" s="23">
        <v>0</v>
      </c>
      <c r="AL89" s="23">
        <v>0</v>
      </c>
      <c r="AM89" s="23">
        <v>1</v>
      </c>
      <c r="AN89" s="23">
        <v>0</v>
      </c>
      <c r="AO89" s="23">
        <v>1</v>
      </c>
      <c r="AP89" s="23">
        <v>0</v>
      </c>
      <c r="AQ89" s="23">
        <v>0</v>
      </c>
      <c r="AR89" s="23">
        <v>1</v>
      </c>
      <c r="AS89" s="23">
        <v>0</v>
      </c>
      <c r="AT89" s="23">
        <v>0</v>
      </c>
      <c r="AU89" s="23">
        <v>1</v>
      </c>
      <c r="AV89" s="23">
        <v>0</v>
      </c>
      <c r="AW89" s="23">
        <v>0</v>
      </c>
      <c r="AX89" s="23">
        <v>1</v>
      </c>
      <c r="AY89" s="23">
        <v>0</v>
      </c>
      <c r="AZ89" s="23">
        <v>0</v>
      </c>
      <c r="BA89" s="23">
        <v>0</v>
      </c>
      <c r="BB89" s="23">
        <v>1</v>
      </c>
      <c r="BC89" s="23">
        <v>0</v>
      </c>
      <c r="BD89" s="23">
        <v>0</v>
      </c>
      <c r="BE89" s="23">
        <v>0</v>
      </c>
      <c r="BF89" s="23">
        <v>1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f t="shared" si="36"/>
        <v>5</v>
      </c>
      <c r="BQ89" s="23">
        <f t="shared" si="37"/>
        <v>5</v>
      </c>
      <c r="BR89" s="23">
        <f t="shared" si="38"/>
        <v>0</v>
      </c>
      <c r="BS89" s="23">
        <f t="shared" si="39"/>
        <v>0</v>
      </c>
      <c r="BT89" s="23">
        <f t="shared" si="40"/>
        <v>5</v>
      </c>
      <c r="BU89" s="23">
        <f t="shared" si="41"/>
        <v>0</v>
      </c>
      <c r="BV89" s="23">
        <f t="shared" si="42"/>
        <v>5</v>
      </c>
      <c r="BW89" s="23">
        <f t="shared" si="43"/>
        <v>0</v>
      </c>
      <c r="BX89" s="23">
        <f t="shared" si="44"/>
        <v>0</v>
      </c>
      <c r="BY89" s="23">
        <f t="shared" si="45"/>
        <v>5</v>
      </c>
      <c r="BZ89" s="23">
        <f t="shared" si="46"/>
        <v>0</v>
      </c>
      <c r="CA89" s="23">
        <f t="shared" si="47"/>
        <v>0</v>
      </c>
      <c r="CB89" s="23">
        <f t="shared" si="48"/>
        <v>5</v>
      </c>
      <c r="CC89" s="23">
        <f t="shared" si="49"/>
        <v>0</v>
      </c>
      <c r="CD89" s="23">
        <f t="shared" si="50"/>
        <v>0</v>
      </c>
      <c r="CE89" s="23">
        <f t="shared" si="51"/>
        <v>5</v>
      </c>
      <c r="CF89" s="23">
        <f t="shared" si="52"/>
        <v>0</v>
      </c>
      <c r="CG89" s="23">
        <f t="shared" si="53"/>
        <v>0</v>
      </c>
      <c r="CH89" s="23">
        <f t="shared" si="54"/>
        <v>0</v>
      </c>
      <c r="CI89" s="23">
        <f t="shared" si="55"/>
        <v>5</v>
      </c>
      <c r="CJ89" s="23">
        <f t="shared" si="56"/>
        <v>0</v>
      </c>
      <c r="CK89" s="23">
        <f t="shared" si="57"/>
        <v>0</v>
      </c>
      <c r="CL89" s="23">
        <f t="shared" si="58"/>
        <v>0</v>
      </c>
      <c r="CM89" s="23">
        <f t="shared" si="59"/>
        <v>5</v>
      </c>
      <c r="CN89" s="23">
        <f t="shared" si="60"/>
        <v>0</v>
      </c>
      <c r="CO89" s="23">
        <f t="shared" si="61"/>
        <v>0</v>
      </c>
      <c r="CP89" s="23">
        <f t="shared" si="62"/>
        <v>0</v>
      </c>
      <c r="CQ89" s="23">
        <f t="shared" si="63"/>
        <v>0</v>
      </c>
      <c r="CR89" s="23">
        <f t="shared" si="64"/>
        <v>0</v>
      </c>
      <c r="CS89" s="23">
        <f t="shared" si="65"/>
        <v>0</v>
      </c>
      <c r="CT89" s="23">
        <f t="shared" si="66"/>
        <v>0</v>
      </c>
      <c r="CU89" s="23">
        <f t="shared" si="67"/>
        <v>0</v>
      </c>
      <c r="CV89" s="23">
        <f t="shared" si="68"/>
        <v>0</v>
      </c>
    </row>
    <row r="90" spans="1:100" ht="13.5">
      <c r="A90" s="15">
        <v>288</v>
      </c>
      <c r="B90" s="27" t="s">
        <v>419</v>
      </c>
      <c r="C90" t="s">
        <v>279</v>
      </c>
      <c r="E90" t="s">
        <v>285</v>
      </c>
      <c r="F90" t="s">
        <v>133</v>
      </c>
      <c r="G90" t="s">
        <v>285</v>
      </c>
      <c r="H90" t="s">
        <v>368</v>
      </c>
      <c r="I90" s="6" t="s">
        <v>136</v>
      </c>
      <c r="J90" s="6">
        <v>0</v>
      </c>
      <c r="K90" t="s">
        <v>369</v>
      </c>
      <c r="L90" s="15">
        <v>2</v>
      </c>
      <c r="N90" s="7">
        <v>46174</v>
      </c>
      <c r="O90" s="7">
        <v>46171</v>
      </c>
      <c r="P90" s="7">
        <v>46174</v>
      </c>
      <c r="S90" s="6" t="s">
        <v>285</v>
      </c>
      <c r="U90" s="6" t="s">
        <v>191</v>
      </c>
      <c r="V90" s="6" t="str">
        <f t="shared" si="35"/>
        <v>26/06</v>
      </c>
      <c r="W90">
        <v>21413</v>
      </c>
      <c r="Y90" s="6" t="s">
        <v>286</v>
      </c>
      <c r="Z90" s="6" t="s">
        <v>193</v>
      </c>
      <c r="AE90">
        <v>1272</v>
      </c>
      <c r="AI90" s="23">
        <v>1</v>
      </c>
      <c r="AJ90" s="23">
        <v>1</v>
      </c>
      <c r="AK90" s="23">
        <v>0</v>
      </c>
      <c r="AL90" s="23">
        <v>0</v>
      </c>
      <c r="AM90" s="23">
        <v>1</v>
      </c>
      <c r="AN90" s="23">
        <v>0</v>
      </c>
      <c r="AO90" s="23">
        <v>0</v>
      </c>
      <c r="AP90" s="23">
        <v>1</v>
      </c>
      <c r="AQ90" s="23">
        <v>0</v>
      </c>
      <c r="AR90" s="23">
        <v>0</v>
      </c>
      <c r="AS90" s="23">
        <v>1</v>
      </c>
      <c r="AT90" s="23">
        <v>0</v>
      </c>
      <c r="AU90" s="23">
        <v>1</v>
      </c>
      <c r="AV90" s="23">
        <v>0</v>
      </c>
      <c r="AW90" s="23">
        <v>0</v>
      </c>
      <c r="AX90" s="23">
        <v>1</v>
      </c>
      <c r="AY90" s="23">
        <v>0</v>
      </c>
      <c r="AZ90" s="23">
        <v>0</v>
      </c>
      <c r="BA90" s="23">
        <v>0</v>
      </c>
      <c r="BB90" s="23">
        <v>1</v>
      </c>
      <c r="BC90" s="23">
        <v>0</v>
      </c>
      <c r="BD90" s="23">
        <v>0</v>
      </c>
      <c r="BE90" s="23">
        <v>0</v>
      </c>
      <c r="BF90" s="23">
        <v>1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f t="shared" si="36"/>
        <v>2</v>
      </c>
      <c r="BQ90" s="23">
        <f t="shared" si="37"/>
        <v>2</v>
      </c>
      <c r="BR90" s="23">
        <f t="shared" si="38"/>
        <v>0</v>
      </c>
      <c r="BS90" s="23">
        <f t="shared" si="39"/>
        <v>0</v>
      </c>
      <c r="BT90" s="23">
        <f t="shared" si="40"/>
        <v>2</v>
      </c>
      <c r="BU90" s="23">
        <f t="shared" si="41"/>
        <v>0</v>
      </c>
      <c r="BV90" s="23">
        <f t="shared" si="42"/>
        <v>0</v>
      </c>
      <c r="BW90" s="23">
        <f t="shared" si="43"/>
        <v>2</v>
      </c>
      <c r="BX90" s="23">
        <f t="shared" si="44"/>
        <v>0</v>
      </c>
      <c r="BY90" s="23">
        <f t="shared" si="45"/>
        <v>0</v>
      </c>
      <c r="BZ90" s="23">
        <f t="shared" si="46"/>
        <v>2</v>
      </c>
      <c r="CA90" s="23">
        <f t="shared" si="47"/>
        <v>0</v>
      </c>
      <c r="CB90" s="23">
        <f t="shared" si="48"/>
        <v>2</v>
      </c>
      <c r="CC90" s="23">
        <f t="shared" si="49"/>
        <v>0</v>
      </c>
      <c r="CD90" s="23">
        <f t="shared" si="50"/>
        <v>0</v>
      </c>
      <c r="CE90" s="23">
        <f t="shared" si="51"/>
        <v>2</v>
      </c>
      <c r="CF90" s="23">
        <f t="shared" si="52"/>
        <v>0</v>
      </c>
      <c r="CG90" s="23">
        <f t="shared" si="53"/>
        <v>0</v>
      </c>
      <c r="CH90" s="23">
        <f t="shared" si="54"/>
        <v>0</v>
      </c>
      <c r="CI90" s="23">
        <f t="shared" si="55"/>
        <v>2</v>
      </c>
      <c r="CJ90" s="23">
        <f t="shared" si="56"/>
        <v>0</v>
      </c>
      <c r="CK90" s="23">
        <f t="shared" si="57"/>
        <v>0</v>
      </c>
      <c r="CL90" s="23">
        <f t="shared" si="58"/>
        <v>0</v>
      </c>
      <c r="CM90" s="23">
        <f t="shared" si="59"/>
        <v>2</v>
      </c>
      <c r="CN90" s="23">
        <f t="shared" si="60"/>
        <v>0</v>
      </c>
      <c r="CO90" s="23">
        <f t="shared" si="61"/>
        <v>0</v>
      </c>
      <c r="CP90" s="23">
        <f t="shared" si="62"/>
        <v>0</v>
      </c>
      <c r="CQ90" s="23">
        <f t="shared" si="63"/>
        <v>0</v>
      </c>
      <c r="CR90" s="23">
        <f t="shared" si="64"/>
        <v>0</v>
      </c>
      <c r="CS90" s="23">
        <f t="shared" si="65"/>
        <v>0</v>
      </c>
      <c r="CT90" s="23">
        <f t="shared" si="66"/>
        <v>0</v>
      </c>
      <c r="CU90" s="23">
        <f t="shared" si="67"/>
        <v>0</v>
      </c>
      <c r="CV90" s="23">
        <f t="shared" si="68"/>
        <v>0</v>
      </c>
    </row>
    <row r="91" spans="1:100" ht="13.5">
      <c r="A91" s="15">
        <v>291</v>
      </c>
      <c r="B91" s="27" t="s">
        <v>422</v>
      </c>
      <c r="C91" t="s">
        <v>208</v>
      </c>
      <c r="E91" t="s">
        <v>140</v>
      </c>
      <c r="F91" t="s">
        <v>133</v>
      </c>
      <c r="G91" t="s">
        <v>140</v>
      </c>
      <c r="H91" t="s">
        <v>414</v>
      </c>
      <c r="I91" s="6" t="s">
        <v>136</v>
      </c>
      <c r="J91" s="6">
        <v>1</v>
      </c>
      <c r="L91" s="15">
        <v>4</v>
      </c>
      <c r="N91" s="7">
        <v>46174</v>
      </c>
      <c r="O91" s="7">
        <v>46171</v>
      </c>
      <c r="P91" s="7">
        <v>46174</v>
      </c>
      <c r="S91" s="6" t="s">
        <v>140</v>
      </c>
      <c r="U91" s="6" t="s">
        <v>191</v>
      </c>
      <c r="V91" s="6" t="str">
        <f t="shared" si="35"/>
        <v>26/06</v>
      </c>
      <c r="W91">
        <v>21414</v>
      </c>
      <c r="Y91" s="6" t="s">
        <v>211</v>
      </c>
      <c r="Z91" s="6" t="s">
        <v>212</v>
      </c>
      <c r="AA91">
        <v>3231</v>
      </c>
      <c r="AI91" s="23">
        <v>1</v>
      </c>
      <c r="AJ91" s="23">
        <v>1</v>
      </c>
      <c r="AK91" s="23">
        <v>0</v>
      </c>
      <c r="AL91" s="23">
        <v>0</v>
      </c>
      <c r="AM91" s="23">
        <v>1</v>
      </c>
      <c r="AN91" s="23">
        <v>0</v>
      </c>
      <c r="AO91" s="23">
        <v>1</v>
      </c>
      <c r="AP91" s="23">
        <v>0</v>
      </c>
      <c r="AQ91" s="23">
        <v>0</v>
      </c>
      <c r="AR91" s="23">
        <v>1</v>
      </c>
      <c r="AS91" s="23">
        <v>0</v>
      </c>
      <c r="AT91" s="23">
        <v>0</v>
      </c>
      <c r="AU91" s="23">
        <v>1</v>
      </c>
      <c r="AV91" s="23">
        <v>0</v>
      </c>
      <c r="AW91" s="23">
        <v>0</v>
      </c>
      <c r="AX91" s="23">
        <v>1</v>
      </c>
      <c r="AY91" s="23">
        <v>0</v>
      </c>
      <c r="AZ91" s="23">
        <v>0</v>
      </c>
      <c r="BA91" s="23">
        <v>0</v>
      </c>
      <c r="BB91" s="23">
        <v>1</v>
      </c>
      <c r="BC91" s="23">
        <v>0</v>
      </c>
      <c r="BD91" s="23">
        <v>0</v>
      </c>
      <c r="BE91" s="23">
        <v>0</v>
      </c>
      <c r="BF91" s="23">
        <v>1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f t="shared" si="36"/>
        <v>4</v>
      </c>
      <c r="BQ91" s="23">
        <f t="shared" si="37"/>
        <v>4</v>
      </c>
      <c r="BR91" s="23">
        <f t="shared" si="38"/>
        <v>0</v>
      </c>
      <c r="BS91" s="23">
        <f t="shared" si="39"/>
        <v>0</v>
      </c>
      <c r="BT91" s="23">
        <f t="shared" si="40"/>
        <v>4</v>
      </c>
      <c r="BU91" s="23">
        <f t="shared" si="41"/>
        <v>0</v>
      </c>
      <c r="BV91" s="23">
        <f t="shared" si="42"/>
        <v>4</v>
      </c>
      <c r="BW91" s="23">
        <f t="shared" si="43"/>
        <v>0</v>
      </c>
      <c r="BX91" s="23">
        <f t="shared" si="44"/>
        <v>0</v>
      </c>
      <c r="BY91" s="23">
        <f t="shared" si="45"/>
        <v>4</v>
      </c>
      <c r="BZ91" s="23">
        <f t="shared" si="46"/>
        <v>0</v>
      </c>
      <c r="CA91" s="23">
        <f t="shared" si="47"/>
        <v>0</v>
      </c>
      <c r="CB91" s="23">
        <f t="shared" si="48"/>
        <v>4</v>
      </c>
      <c r="CC91" s="23">
        <f t="shared" si="49"/>
        <v>0</v>
      </c>
      <c r="CD91" s="23">
        <f t="shared" si="50"/>
        <v>0</v>
      </c>
      <c r="CE91" s="23">
        <f t="shared" si="51"/>
        <v>4</v>
      </c>
      <c r="CF91" s="23">
        <f t="shared" si="52"/>
        <v>0</v>
      </c>
      <c r="CG91" s="23">
        <f t="shared" si="53"/>
        <v>0</v>
      </c>
      <c r="CH91" s="23">
        <f t="shared" si="54"/>
        <v>0</v>
      </c>
      <c r="CI91" s="23">
        <f t="shared" si="55"/>
        <v>4</v>
      </c>
      <c r="CJ91" s="23">
        <f t="shared" si="56"/>
        <v>0</v>
      </c>
      <c r="CK91" s="23">
        <f t="shared" si="57"/>
        <v>0</v>
      </c>
      <c r="CL91" s="23">
        <f t="shared" si="58"/>
        <v>0</v>
      </c>
      <c r="CM91" s="23">
        <f t="shared" si="59"/>
        <v>4</v>
      </c>
      <c r="CN91" s="23">
        <f t="shared" si="60"/>
        <v>0</v>
      </c>
      <c r="CO91" s="23">
        <f t="shared" si="61"/>
        <v>0</v>
      </c>
      <c r="CP91" s="23">
        <f t="shared" si="62"/>
        <v>0</v>
      </c>
      <c r="CQ91" s="23">
        <f t="shared" si="63"/>
        <v>0</v>
      </c>
      <c r="CR91" s="23">
        <f t="shared" si="64"/>
        <v>0</v>
      </c>
      <c r="CS91" s="23">
        <f t="shared" si="65"/>
        <v>0</v>
      </c>
      <c r="CT91" s="23">
        <f t="shared" si="66"/>
        <v>0</v>
      </c>
      <c r="CU91" s="23">
        <f t="shared" si="67"/>
        <v>0</v>
      </c>
      <c r="CV91" s="23">
        <f t="shared" si="68"/>
        <v>0</v>
      </c>
    </row>
    <row r="92" spans="1:100" ht="13.5">
      <c r="A92" s="15">
        <v>289</v>
      </c>
      <c r="B92" s="27" t="s">
        <v>420</v>
      </c>
      <c r="C92" t="s">
        <v>208</v>
      </c>
      <c r="E92" t="s">
        <v>134</v>
      </c>
      <c r="F92" t="s">
        <v>133</v>
      </c>
      <c r="G92" t="s">
        <v>134</v>
      </c>
      <c r="H92" t="s">
        <v>209</v>
      </c>
      <c r="I92" s="6" t="s">
        <v>136</v>
      </c>
      <c r="J92" s="6">
        <v>1</v>
      </c>
      <c r="L92" s="15">
        <v>8</v>
      </c>
      <c r="N92" s="7">
        <v>46174</v>
      </c>
      <c r="O92" s="7">
        <v>46171</v>
      </c>
      <c r="P92" s="7">
        <v>46174</v>
      </c>
      <c r="S92" s="6" t="s">
        <v>134</v>
      </c>
      <c r="U92" s="6" t="s">
        <v>191</v>
      </c>
      <c r="V92" s="6" t="str">
        <f t="shared" si="35"/>
        <v>26/06</v>
      </c>
      <c r="W92">
        <v>21415</v>
      </c>
      <c r="Y92" s="6" t="s">
        <v>211</v>
      </c>
      <c r="Z92" s="6" t="s">
        <v>212</v>
      </c>
      <c r="AA92">
        <v>3232</v>
      </c>
      <c r="AI92" s="23">
        <v>1</v>
      </c>
      <c r="AJ92" s="23">
        <v>1</v>
      </c>
      <c r="AK92" s="23">
        <v>0</v>
      </c>
      <c r="AL92" s="23">
        <v>0</v>
      </c>
      <c r="AM92" s="23">
        <v>1</v>
      </c>
      <c r="AN92" s="23">
        <v>0</v>
      </c>
      <c r="AO92" s="23">
        <v>1</v>
      </c>
      <c r="AP92" s="23">
        <v>0</v>
      </c>
      <c r="AQ92" s="23">
        <v>0</v>
      </c>
      <c r="AR92" s="23">
        <v>0</v>
      </c>
      <c r="AS92" s="23">
        <v>0</v>
      </c>
      <c r="AT92" s="23">
        <v>1</v>
      </c>
      <c r="AU92" s="23">
        <v>1</v>
      </c>
      <c r="AV92" s="23">
        <v>0</v>
      </c>
      <c r="AW92" s="23">
        <v>0</v>
      </c>
      <c r="AX92" s="23">
        <v>1</v>
      </c>
      <c r="AY92" s="23">
        <v>0</v>
      </c>
      <c r="AZ92" s="23">
        <v>0</v>
      </c>
      <c r="BA92" s="23">
        <v>0</v>
      </c>
      <c r="BB92" s="23">
        <v>1</v>
      </c>
      <c r="BC92" s="23">
        <v>0</v>
      </c>
      <c r="BD92" s="23">
        <v>0</v>
      </c>
      <c r="BE92" s="23">
        <v>0</v>
      </c>
      <c r="BF92" s="23">
        <v>1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f t="shared" si="36"/>
        <v>8</v>
      </c>
      <c r="BQ92" s="23">
        <f t="shared" si="37"/>
        <v>8</v>
      </c>
      <c r="BR92" s="23">
        <f t="shared" si="38"/>
        <v>0</v>
      </c>
      <c r="BS92" s="23">
        <f t="shared" si="39"/>
        <v>0</v>
      </c>
      <c r="BT92" s="23">
        <f t="shared" si="40"/>
        <v>8</v>
      </c>
      <c r="BU92" s="23">
        <f t="shared" si="41"/>
        <v>0</v>
      </c>
      <c r="BV92" s="23">
        <f t="shared" si="42"/>
        <v>8</v>
      </c>
      <c r="BW92" s="23">
        <f t="shared" si="43"/>
        <v>0</v>
      </c>
      <c r="BX92" s="23">
        <f t="shared" si="44"/>
        <v>0</v>
      </c>
      <c r="BY92" s="23">
        <f t="shared" si="45"/>
        <v>0</v>
      </c>
      <c r="BZ92" s="23">
        <f t="shared" si="46"/>
        <v>0</v>
      </c>
      <c r="CA92" s="23">
        <f t="shared" si="47"/>
        <v>8</v>
      </c>
      <c r="CB92" s="23">
        <f t="shared" si="48"/>
        <v>8</v>
      </c>
      <c r="CC92" s="23">
        <f t="shared" si="49"/>
        <v>0</v>
      </c>
      <c r="CD92" s="23">
        <f t="shared" si="50"/>
        <v>0</v>
      </c>
      <c r="CE92" s="23">
        <f t="shared" si="51"/>
        <v>8</v>
      </c>
      <c r="CF92" s="23">
        <f t="shared" si="52"/>
        <v>0</v>
      </c>
      <c r="CG92" s="23">
        <f t="shared" si="53"/>
        <v>0</v>
      </c>
      <c r="CH92" s="23">
        <f t="shared" si="54"/>
        <v>0</v>
      </c>
      <c r="CI92" s="23">
        <f t="shared" si="55"/>
        <v>8</v>
      </c>
      <c r="CJ92" s="23">
        <f t="shared" si="56"/>
        <v>0</v>
      </c>
      <c r="CK92" s="23">
        <f t="shared" si="57"/>
        <v>0</v>
      </c>
      <c r="CL92" s="23">
        <f t="shared" si="58"/>
        <v>0</v>
      </c>
      <c r="CM92" s="23">
        <f t="shared" si="59"/>
        <v>8</v>
      </c>
      <c r="CN92" s="23">
        <f t="shared" si="60"/>
        <v>0</v>
      </c>
      <c r="CO92" s="23">
        <f t="shared" si="61"/>
        <v>0</v>
      </c>
      <c r="CP92" s="23">
        <f t="shared" si="62"/>
        <v>0</v>
      </c>
      <c r="CQ92" s="23">
        <f t="shared" si="63"/>
        <v>0</v>
      </c>
      <c r="CR92" s="23">
        <f t="shared" si="64"/>
        <v>0</v>
      </c>
      <c r="CS92" s="23">
        <f t="shared" si="65"/>
        <v>0</v>
      </c>
      <c r="CT92" s="23">
        <f t="shared" si="66"/>
        <v>0</v>
      </c>
      <c r="CU92" s="23">
        <f t="shared" si="67"/>
        <v>0</v>
      </c>
      <c r="CV92" s="23">
        <f t="shared" si="68"/>
        <v>0</v>
      </c>
    </row>
    <row r="93" spans="1:100" ht="13.5">
      <c r="A93" s="15">
        <v>290</v>
      </c>
      <c r="B93" s="27" t="s">
        <v>421</v>
      </c>
      <c r="C93" t="s">
        <v>208</v>
      </c>
      <c r="E93" t="s">
        <v>140</v>
      </c>
      <c r="F93" t="s">
        <v>133</v>
      </c>
      <c r="G93" t="s">
        <v>140</v>
      </c>
      <c r="H93" t="s">
        <v>414</v>
      </c>
      <c r="I93" s="6" t="s">
        <v>136</v>
      </c>
      <c r="J93" s="6">
        <v>1</v>
      </c>
      <c r="L93" s="15">
        <v>4</v>
      </c>
      <c r="N93" s="7">
        <v>46174</v>
      </c>
      <c r="O93" s="7">
        <v>46171</v>
      </c>
      <c r="P93" s="7">
        <v>46174</v>
      </c>
      <c r="S93" s="6" t="s">
        <v>140</v>
      </c>
      <c r="U93" s="6" t="s">
        <v>191</v>
      </c>
      <c r="V93" s="6" t="str">
        <f t="shared" si="35"/>
        <v>26/06</v>
      </c>
      <c r="W93">
        <v>21416</v>
      </c>
      <c r="Y93" s="6" t="s">
        <v>211</v>
      </c>
      <c r="Z93" s="6" t="s">
        <v>212</v>
      </c>
      <c r="AA93">
        <v>3233</v>
      </c>
      <c r="AI93" s="23">
        <v>1</v>
      </c>
      <c r="AJ93" s="23">
        <v>1</v>
      </c>
      <c r="AK93" s="23">
        <v>0</v>
      </c>
      <c r="AL93" s="23">
        <v>0</v>
      </c>
      <c r="AM93" s="23">
        <v>1</v>
      </c>
      <c r="AN93" s="23">
        <v>0</v>
      </c>
      <c r="AO93" s="23">
        <v>1</v>
      </c>
      <c r="AP93" s="23">
        <v>0</v>
      </c>
      <c r="AQ93" s="23">
        <v>0</v>
      </c>
      <c r="AR93" s="23">
        <v>1</v>
      </c>
      <c r="AS93" s="23">
        <v>0</v>
      </c>
      <c r="AT93" s="23">
        <v>0</v>
      </c>
      <c r="AU93" s="23">
        <v>1</v>
      </c>
      <c r="AV93" s="23">
        <v>0</v>
      </c>
      <c r="AW93" s="23">
        <v>0</v>
      </c>
      <c r="AX93" s="23">
        <v>1</v>
      </c>
      <c r="AY93" s="23">
        <v>0</v>
      </c>
      <c r="AZ93" s="23">
        <v>0</v>
      </c>
      <c r="BA93" s="23">
        <v>0</v>
      </c>
      <c r="BB93" s="23">
        <v>1</v>
      </c>
      <c r="BC93" s="23">
        <v>0</v>
      </c>
      <c r="BD93" s="23">
        <v>0</v>
      </c>
      <c r="BE93" s="23">
        <v>0</v>
      </c>
      <c r="BF93" s="23">
        <v>1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f t="shared" si="36"/>
        <v>4</v>
      </c>
      <c r="BQ93" s="23">
        <f t="shared" si="37"/>
        <v>4</v>
      </c>
      <c r="BR93" s="23">
        <f t="shared" si="38"/>
        <v>0</v>
      </c>
      <c r="BS93" s="23">
        <f t="shared" si="39"/>
        <v>0</v>
      </c>
      <c r="BT93" s="23">
        <f t="shared" si="40"/>
        <v>4</v>
      </c>
      <c r="BU93" s="23">
        <f t="shared" si="41"/>
        <v>0</v>
      </c>
      <c r="BV93" s="23">
        <f t="shared" si="42"/>
        <v>4</v>
      </c>
      <c r="BW93" s="23">
        <f t="shared" si="43"/>
        <v>0</v>
      </c>
      <c r="BX93" s="23">
        <f t="shared" si="44"/>
        <v>0</v>
      </c>
      <c r="BY93" s="23">
        <f t="shared" si="45"/>
        <v>4</v>
      </c>
      <c r="BZ93" s="23">
        <f t="shared" si="46"/>
        <v>0</v>
      </c>
      <c r="CA93" s="23">
        <f t="shared" si="47"/>
        <v>0</v>
      </c>
      <c r="CB93" s="23">
        <f t="shared" si="48"/>
        <v>4</v>
      </c>
      <c r="CC93" s="23">
        <f t="shared" si="49"/>
        <v>0</v>
      </c>
      <c r="CD93" s="23">
        <f t="shared" si="50"/>
        <v>0</v>
      </c>
      <c r="CE93" s="23">
        <f t="shared" si="51"/>
        <v>4</v>
      </c>
      <c r="CF93" s="23">
        <f t="shared" si="52"/>
        <v>0</v>
      </c>
      <c r="CG93" s="23">
        <f t="shared" si="53"/>
        <v>0</v>
      </c>
      <c r="CH93" s="23">
        <f t="shared" si="54"/>
        <v>0</v>
      </c>
      <c r="CI93" s="23">
        <f t="shared" si="55"/>
        <v>4</v>
      </c>
      <c r="CJ93" s="23">
        <f t="shared" si="56"/>
        <v>0</v>
      </c>
      <c r="CK93" s="23">
        <f t="shared" si="57"/>
        <v>0</v>
      </c>
      <c r="CL93" s="23">
        <f t="shared" si="58"/>
        <v>0</v>
      </c>
      <c r="CM93" s="23">
        <f t="shared" si="59"/>
        <v>4</v>
      </c>
      <c r="CN93" s="23">
        <f t="shared" si="60"/>
        <v>0</v>
      </c>
      <c r="CO93" s="23">
        <f t="shared" si="61"/>
        <v>0</v>
      </c>
      <c r="CP93" s="23">
        <f t="shared" si="62"/>
        <v>0</v>
      </c>
      <c r="CQ93" s="23">
        <f t="shared" si="63"/>
        <v>0</v>
      </c>
      <c r="CR93" s="23">
        <f t="shared" si="64"/>
        <v>0</v>
      </c>
      <c r="CS93" s="23">
        <f t="shared" si="65"/>
        <v>0</v>
      </c>
      <c r="CT93" s="23">
        <f t="shared" si="66"/>
        <v>0</v>
      </c>
      <c r="CU93" s="23">
        <f t="shared" si="67"/>
        <v>0</v>
      </c>
      <c r="CV93" s="23">
        <f t="shared" si="68"/>
        <v>0</v>
      </c>
    </row>
    <row r="94" spans="1:100" ht="13.5">
      <c r="A94" s="15">
        <v>331</v>
      </c>
      <c r="B94" s="27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s="6" t="s">
        <v>136</v>
      </c>
      <c r="J94" s="6">
        <v>0</v>
      </c>
      <c r="L94" s="15">
        <v>4</v>
      </c>
      <c r="N94" s="7">
        <v>46192</v>
      </c>
      <c r="O94" s="7">
        <v>46191</v>
      </c>
      <c r="P94" s="7">
        <v>46192</v>
      </c>
      <c r="S94" s="6" t="s">
        <v>134</v>
      </c>
      <c r="U94" s="6" t="s">
        <v>191</v>
      </c>
      <c r="V94" s="6" t="str">
        <f t="shared" si="35"/>
        <v>26/06</v>
      </c>
      <c r="W94">
        <v>21417</v>
      </c>
      <c r="Y94" s="6" t="s">
        <v>211</v>
      </c>
      <c r="Z94" s="6" t="s">
        <v>212</v>
      </c>
      <c r="AA94">
        <v>3234</v>
      </c>
      <c r="AI94" s="23">
        <v>1</v>
      </c>
      <c r="AJ94" s="23">
        <v>1</v>
      </c>
      <c r="AK94" s="23">
        <v>0</v>
      </c>
      <c r="AL94" s="23">
        <v>0</v>
      </c>
      <c r="AM94" s="23">
        <v>1</v>
      </c>
      <c r="AN94" s="23">
        <v>0</v>
      </c>
      <c r="AO94" s="23">
        <v>1</v>
      </c>
      <c r="AP94" s="23">
        <v>0</v>
      </c>
      <c r="AQ94" s="23">
        <v>0</v>
      </c>
      <c r="AR94" s="23">
        <v>0</v>
      </c>
      <c r="AS94" s="23">
        <v>0</v>
      </c>
      <c r="AT94" s="23">
        <v>1</v>
      </c>
      <c r="AU94" s="23">
        <v>1</v>
      </c>
      <c r="AV94" s="23">
        <v>0</v>
      </c>
      <c r="AW94" s="23">
        <v>0</v>
      </c>
      <c r="AX94" s="23">
        <v>1</v>
      </c>
      <c r="AY94" s="23">
        <v>0</v>
      </c>
      <c r="AZ94" s="23">
        <v>0</v>
      </c>
      <c r="BA94" s="23">
        <v>0</v>
      </c>
      <c r="BB94" s="23">
        <v>1</v>
      </c>
      <c r="BC94" s="23">
        <v>0</v>
      </c>
      <c r="BD94" s="23">
        <v>0</v>
      </c>
      <c r="BE94" s="23">
        <v>0</v>
      </c>
      <c r="BF94" s="23">
        <v>1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f t="shared" si="36"/>
        <v>4</v>
      </c>
      <c r="BQ94" s="23">
        <f t="shared" si="37"/>
        <v>4</v>
      </c>
      <c r="BR94" s="23">
        <f t="shared" si="38"/>
        <v>0</v>
      </c>
      <c r="BS94" s="23">
        <f t="shared" si="39"/>
        <v>0</v>
      </c>
      <c r="BT94" s="23">
        <f t="shared" si="40"/>
        <v>4</v>
      </c>
      <c r="BU94" s="23">
        <f t="shared" si="41"/>
        <v>0</v>
      </c>
      <c r="BV94" s="23">
        <f t="shared" si="42"/>
        <v>4</v>
      </c>
      <c r="BW94" s="23">
        <f t="shared" si="43"/>
        <v>0</v>
      </c>
      <c r="BX94" s="23">
        <f t="shared" si="44"/>
        <v>0</v>
      </c>
      <c r="BY94" s="23">
        <f t="shared" si="45"/>
        <v>0</v>
      </c>
      <c r="BZ94" s="23">
        <f t="shared" si="46"/>
        <v>0</v>
      </c>
      <c r="CA94" s="23">
        <f t="shared" si="47"/>
        <v>4</v>
      </c>
      <c r="CB94" s="23">
        <f t="shared" si="48"/>
        <v>4</v>
      </c>
      <c r="CC94" s="23">
        <f t="shared" si="49"/>
        <v>0</v>
      </c>
      <c r="CD94" s="23">
        <f t="shared" si="50"/>
        <v>0</v>
      </c>
      <c r="CE94" s="23">
        <f t="shared" si="51"/>
        <v>4</v>
      </c>
      <c r="CF94" s="23">
        <f t="shared" si="52"/>
        <v>0</v>
      </c>
      <c r="CG94" s="23">
        <f t="shared" si="53"/>
        <v>0</v>
      </c>
      <c r="CH94" s="23">
        <f t="shared" si="54"/>
        <v>0</v>
      </c>
      <c r="CI94" s="23">
        <f t="shared" si="55"/>
        <v>4</v>
      </c>
      <c r="CJ94" s="23">
        <f t="shared" si="56"/>
        <v>0</v>
      </c>
      <c r="CK94" s="23">
        <f t="shared" si="57"/>
        <v>0</v>
      </c>
      <c r="CL94" s="23">
        <f t="shared" si="58"/>
        <v>0</v>
      </c>
      <c r="CM94" s="23">
        <f t="shared" si="59"/>
        <v>4</v>
      </c>
      <c r="CN94" s="23">
        <f t="shared" si="60"/>
        <v>0</v>
      </c>
      <c r="CO94" s="23">
        <f t="shared" si="61"/>
        <v>0</v>
      </c>
      <c r="CP94" s="23">
        <f t="shared" si="62"/>
        <v>0</v>
      </c>
      <c r="CQ94" s="23">
        <f t="shared" si="63"/>
        <v>0</v>
      </c>
      <c r="CR94" s="23">
        <f t="shared" si="64"/>
        <v>0</v>
      </c>
      <c r="CS94" s="23">
        <f t="shared" si="65"/>
        <v>0</v>
      </c>
      <c r="CT94" s="23">
        <f t="shared" si="66"/>
        <v>0</v>
      </c>
      <c r="CU94" s="23">
        <f t="shared" si="67"/>
        <v>0</v>
      </c>
      <c r="CV94" s="23">
        <f t="shared" si="68"/>
        <v>0</v>
      </c>
    </row>
    <row r="95" spans="1:100" ht="13.5">
      <c r="A95" s="15">
        <v>332</v>
      </c>
      <c r="B95" s="27" t="s">
        <v>137</v>
      </c>
      <c r="C95" t="s">
        <v>130</v>
      </c>
      <c r="D95" t="s">
        <v>138</v>
      </c>
      <c r="E95" t="s">
        <v>139</v>
      </c>
      <c r="F95" t="s">
        <v>133</v>
      </c>
      <c r="G95" t="s">
        <v>140</v>
      </c>
      <c r="H95" t="s">
        <v>141</v>
      </c>
      <c r="I95" s="6" t="s">
        <v>136</v>
      </c>
      <c r="J95" s="6">
        <v>0</v>
      </c>
      <c r="L95" s="15">
        <v>4</v>
      </c>
      <c r="N95" s="7">
        <v>46192</v>
      </c>
      <c r="O95" s="7">
        <v>46191</v>
      </c>
      <c r="P95" s="7">
        <v>46192</v>
      </c>
      <c r="S95" s="6" t="s">
        <v>140</v>
      </c>
      <c r="U95" s="6" t="s">
        <v>191</v>
      </c>
      <c r="V95" s="6" t="str">
        <f t="shared" si="35"/>
        <v>26/06</v>
      </c>
      <c r="W95">
        <v>21418</v>
      </c>
      <c r="Y95" s="6" t="s">
        <v>211</v>
      </c>
      <c r="Z95" s="6" t="s">
        <v>212</v>
      </c>
      <c r="AA95">
        <v>3235</v>
      </c>
      <c r="AI95" s="23">
        <v>1</v>
      </c>
      <c r="AJ95" s="23">
        <v>1</v>
      </c>
      <c r="AK95" s="23">
        <v>0</v>
      </c>
      <c r="AL95" s="23">
        <v>0</v>
      </c>
      <c r="AM95" s="23">
        <v>1</v>
      </c>
      <c r="AN95" s="23">
        <v>0</v>
      </c>
      <c r="AO95" s="23">
        <v>1</v>
      </c>
      <c r="AP95" s="23">
        <v>0</v>
      </c>
      <c r="AQ95" s="23">
        <v>0</v>
      </c>
      <c r="AR95" s="23">
        <v>1</v>
      </c>
      <c r="AS95" s="23">
        <v>0</v>
      </c>
      <c r="AT95" s="23">
        <v>0</v>
      </c>
      <c r="AU95" s="23">
        <v>1</v>
      </c>
      <c r="AV95" s="23">
        <v>0</v>
      </c>
      <c r="AW95" s="23">
        <v>0</v>
      </c>
      <c r="AX95" s="23">
        <v>1</v>
      </c>
      <c r="AY95" s="23">
        <v>0</v>
      </c>
      <c r="AZ95" s="23">
        <v>0</v>
      </c>
      <c r="BA95" s="23">
        <v>0</v>
      </c>
      <c r="BB95" s="23">
        <v>1</v>
      </c>
      <c r="BC95" s="23">
        <v>0</v>
      </c>
      <c r="BD95" s="23">
        <v>0</v>
      </c>
      <c r="BE95" s="23">
        <v>0</v>
      </c>
      <c r="BF95" s="23">
        <v>1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f t="shared" si="36"/>
        <v>4</v>
      </c>
      <c r="BQ95" s="23">
        <f t="shared" si="37"/>
        <v>4</v>
      </c>
      <c r="BR95" s="23">
        <f t="shared" si="38"/>
        <v>0</v>
      </c>
      <c r="BS95" s="23">
        <f t="shared" si="39"/>
        <v>0</v>
      </c>
      <c r="BT95" s="23">
        <f t="shared" si="40"/>
        <v>4</v>
      </c>
      <c r="BU95" s="23">
        <f t="shared" si="41"/>
        <v>0</v>
      </c>
      <c r="BV95" s="23">
        <f t="shared" si="42"/>
        <v>4</v>
      </c>
      <c r="BW95" s="23">
        <f t="shared" si="43"/>
        <v>0</v>
      </c>
      <c r="BX95" s="23">
        <f t="shared" si="44"/>
        <v>0</v>
      </c>
      <c r="BY95" s="23">
        <f t="shared" si="45"/>
        <v>4</v>
      </c>
      <c r="BZ95" s="23">
        <f t="shared" si="46"/>
        <v>0</v>
      </c>
      <c r="CA95" s="23">
        <f t="shared" si="47"/>
        <v>0</v>
      </c>
      <c r="CB95" s="23">
        <f t="shared" si="48"/>
        <v>4</v>
      </c>
      <c r="CC95" s="23">
        <f t="shared" si="49"/>
        <v>0</v>
      </c>
      <c r="CD95" s="23">
        <f t="shared" si="50"/>
        <v>0</v>
      </c>
      <c r="CE95" s="23">
        <f t="shared" si="51"/>
        <v>4</v>
      </c>
      <c r="CF95" s="23">
        <f t="shared" si="52"/>
        <v>0</v>
      </c>
      <c r="CG95" s="23">
        <f t="shared" si="53"/>
        <v>0</v>
      </c>
      <c r="CH95" s="23">
        <f t="shared" si="54"/>
        <v>0</v>
      </c>
      <c r="CI95" s="23">
        <f t="shared" si="55"/>
        <v>4</v>
      </c>
      <c r="CJ95" s="23">
        <f t="shared" si="56"/>
        <v>0</v>
      </c>
      <c r="CK95" s="23">
        <f t="shared" si="57"/>
        <v>0</v>
      </c>
      <c r="CL95" s="23">
        <f t="shared" si="58"/>
        <v>0</v>
      </c>
      <c r="CM95" s="23">
        <f t="shared" si="59"/>
        <v>4</v>
      </c>
      <c r="CN95" s="23">
        <f t="shared" si="60"/>
        <v>0</v>
      </c>
      <c r="CO95" s="23">
        <f t="shared" si="61"/>
        <v>0</v>
      </c>
      <c r="CP95" s="23">
        <f t="shared" si="62"/>
        <v>0</v>
      </c>
      <c r="CQ95" s="23">
        <f t="shared" si="63"/>
        <v>0</v>
      </c>
      <c r="CR95" s="23">
        <f t="shared" si="64"/>
        <v>0</v>
      </c>
      <c r="CS95" s="23">
        <f t="shared" si="65"/>
        <v>0</v>
      </c>
      <c r="CT95" s="23">
        <f t="shared" si="66"/>
        <v>0</v>
      </c>
      <c r="CU95" s="23">
        <f t="shared" si="67"/>
        <v>0</v>
      </c>
      <c r="CV95" s="23">
        <f t="shared" si="68"/>
        <v>0</v>
      </c>
    </row>
    <row r="96" spans="1:100" ht="13.5">
      <c r="A96" s="15">
        <v>333</v>
      </c>
      <c r="B96" s="27" t="s">
        <v>142</v>
      </c>
      <c r="C96" t="s">
        <v>130</v>
      </c>
      <c r="D96" t="s">
        <v>131</v>
      </c>
      <c r="E96" t="s">
        <v>132</v>
      </c>
      <c r="F96" t="s">
        <v>133</v>
      </c>
      <c r="G96" t="s">
        <v>134</v>
      </c>
      <c r="H96" t="s">
        <v>135</v>
      </c>
      <c r="I96" s="6" t="s">
        <v>136</v>
      </c>
      <c r="J96" s="6">
        <v>0</v>
      </c>
      <c r="L96" s="15">
        <v>4</v>
      </c>
      <c r="N96" s="7">
        <v>46195</v>
      </c>
      <c r="O96" s="7">
        <v>46192</v>
      </c>
      <c r="P96" s="7">
        <v>46195</v>
      </c>
      <c r="S96" s="6" t="s">
        <v>134</v>
      </c>
      <c r="U96" s="6" t="s">
        <v>191</v>
      </c>
      <c r="V96" s="6" t="str">
        <f t="shared" si="35"/>
        <v>26/06</v>
      </c>
      <c r="W96">
        <v>21419</v>
      </c>
      <c r="Y96" s="6" t="s">
        <v>211</v>
      </c>
      <c r="Z96" s="6" t="s">
        <v>212</v>
      </c>
      <c r="AA96">
        <v>3236</v>
      </c>
      <c r="AI96" s="23">
        <v>1</v>
      </c>
      <c r="AJ96" s="23">
        <v>1</v>
      </c>
      <c r="AK96" s="23">
        <v>0</v>
      </c>
      <c r="AL96" s="23">
        <v>0</v>
      </c>
      <c r="AM96" s="23">
        <v>1</v>
      </c>
      <c r="AN96" s="23">
        <v>0</v>
      </c>
      <c r="AO96" s="23">
        <v>1</v>
      </c>
      <c r="AP96" s="23">
        <v>0</v>
      </c>
      <c r="AQ96" s="23">
        <v>0</v>
      </c>
      <c r="AR96" s="23">
        <v>0</v>
      </c>
      <c r="AS96" s="23">
        <v>0</v>
      </c>
      <c r="AT96" s="23">
        <v>1</v>
      </c>
      <c r="AU96" s="23">
        <v>1</v>
      </c>
      <c r="AV96" s="23">
        <v>0</v>
      </c>
      <c r="AW96" s="23">
        <v>0</v>
      </c>
      <c r="AX96" s="23">
        <v>1</v>
      </c>
      <c r="AY96" s="23">
        <v>0</v>
      </c>
      <c r="AZ96" s="23">
        <v>0</v>
      </c>
      <c r="BA96" s="23">
        <v>0</v>
      </c>
      <c r="BB96" s="23">
        <v>1</v>
      </c>
      <c r="BC96" s="23">
        <v>0</v>
      </c>
      <c r="BD96" s="23">
        <v>0</v>
      </c>
      <c r="BE96" s="23">
        <v>0</v>
      </c>
      <c r="BF96" s="23">
        <v>1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0</v>
      </c>
      <c r="BP96" s="23">
        <f t="shared" si="36"/>
        <v>4</v>
      </c>
      <c r="BQ96" s="23">
        <f t="shared" si="37"/>
        <v>4</v>
      </c>
      <c r="BR96" s="23">
        <f t="shared" si="38"/>
        <v>0</v>
      </c>
      <c r="BS96" s="23">
        <f t="shared" si="39"/>
        <v>0</v>
      </c>
      <c r="BT96" s="23">
        <f t="shared" si="40"/>
        <v>4</v>
      </c>
      <c r="BU96" s="23">
        <f t="shared" si="41"/>
        <v>0</v>
      </c>
      <c r="BV96" s="23">
        <f t="shared" si="42"/>
        <v>4</v>
      </c>
      <c r="BW96" s="23">
        <f t="shared" si="43"/>
        <v>0</v>
      </c>
      <c r="BX96" s="23">
        <f t="shared" si="44"/>
        <v>0</v>
      </c>
      <c r="BY96" s="23">
        <f t="shared" si="45"/>
        <v>0</v>
      </c>
      <c r="BZ96" s="23">
        <f t="shared" si="46"/>
        <v>0</v>
      </c>
      <c r="CA96" s="23">
        <f t="shared" si="47"/>
        <v>4</v>
      </c>
      <c r="CB96" s="23">
        <f t="shared" si="48"/>
        <v>4</v>
      </c>
      <c r="CC96" s="23">
        <f t="shared" si="49"/>
        <v>0</v>
      </c>
      <c r="CD96" s="23">
        <f t="shared" si="50"/>
        <v>0</v>
      </c>
      <c r="CE96" s="23">
        <f t="shared" si="51"/>
        <v>4</v>
      </c>
      <c r="CF96" s="23">
        <f t="shared" si="52"/>
        <v>0</v>
      </c>
      <c r="CG96" s="23">
        <f t="shared" si="53"/>
        <v>0</v>
      </c>
      <c r="CH96" s="23">
        <f t="shared" si="54"/>
        <v>0</v>
      </c>
      <c r="CI96" s="23">
        <f t="shared" si="55"/>
        <v>4</v>
      </c>
      <c r="CJ96" s="23">
        <f t="shared" si="56"/>
        <v>0</v>
      </c>
      <c r="CK96" s="23">
        <f t="shared" si="57"/>
        <v>0</v>
      </c>
      <c r="CL96" s="23">
        <f t="shared" si="58"/>
        <v>0</v>
      </c>
      <c r="CM96" s="23">
        <f t="shared" si="59"/>
        <v>4</v>
      </c>
      <c r="CN96" s="23">
        <f t="shared" si="60"/>
        <v>0</v>
      </c>
      <c r="CO96" s="23">
        <f t="shared" si="61"/>
        <v>0</v>
      </c>
      <c r="CP96" s="23">
        <f t="shared" si="62"/>
        <v>0</v>
      </c>
      <c r="CQ96" s="23">
        <f t="shared" si="63"/>
        <v>0</v>
      </c>
      <c r="CR96" s="23">
        <f t="shared" si="64"/>
        <v>0</v>
      </c>
      <c r="CS96" s="23">
        <f t="shared" si="65"/>
        <v>0</v>
      </c>
      <c r="CT96" s="23">
        <f t="shared" si="66"/>
        <v>0</v>
      </c>
      <c r="CU96" s="23">
        <f t="shared" si="67"/>
        <v>0</v>
      </c>
      <c r="CV96" s="23">
        <f t="shared" si="68"/>
        <v>0</v>
      </c>
    </row>
    <row r="97" spans="1:100" ht="13.5">
      <c r="A97" s="15">
        <v>334</v>
      </c>
      <c r="B97" s="27" t="s">
        <v>143</v>
      </c>
      <c r="C97" t="s">
        <v>130</v>
      </c>
      <c r="D97" t="s">
        <v>138</v>
      </c>
      <c r="E97" t="s">
        <v>139</v>
      </c>
      <c r="F97" t="s">
        <v>133</v>
      </c>
      <c r="G97" t="s">
        <v>140</v>
      </c>
      <c r="H97" t="s">
        <v>141</v>
      </c>
      <c r="I97" s="6" t="s">
        <v>136</v>
      </c>
      <c r="J97" s="6">
        <v>0</v>
      </c>
      <c r="L97" s="15">
        <v>4</v>
      </c>
      <c r="N97" s="7">
        <v>46195</v>
      </c>
      <c r="O97" s="7">
        <v>46192</v>
      </c>
      <c r="P97" s="7">
        <v>46195</v>
      </c>
      <c r="S97" s="6" t="s">
        <v>140</v>
      </c>
      <c r="U97" s="6" t="s">
        <v>191</v>
      </c>
      <c r="V97" s="6" t="str">
        <f t="shared" si="35"/>
        <v>26/06</v>
      </c>
      <c r="W97">
        <v>21420</v>
      </c>
      <c r="Y97" s="6" t="s">
        <v>211</v>
      </c>
      <c r="Z97" s="6" t="s">
        <v>212</v>
      </c>
      <c r="AA97">
        <v>3237</v>
      </c>
      <c r="AI97" s="23">
        <v>1</v>
      </c>
      <c r="AJ97" s="23">
        <v>1</v>
      </c>
      <c r="AK97" s="23">
        <v>0</v>
      </c>
      <c r="AL97" s="23">
        <v>0</v>
      </c>
      <c r="AM97" s="23">
        <v>1</v>
      </c>
      <c r="AN97" s="23">
        <v>0</v>
      </c>
      <c r="AO97" s="23">
        <v>1</v>
      </c>
      <c r="AP97" s="23">
        <v>0</v>
      </c>
      <c r="AQ97" s="23">
        <v>0</v>
      </c>
      <c r="AR97" s="23">
        <v>1</v>
      </c>
      <c r="AS97" s="23">
        <v>0</v>
      </c>
      <c r="AT97" s="23">
        <v>0</v>
      </c>
      <c r="AU97" s="23">
        <v>1</v>
      </c>
      <c r="AV97" s="23">
        <v>0</v>
      </c>
      <c r="AW97" s="23">
        <v>0</v>
      </c>
      <c r="AX97" s="23">
        <v>1</v>
      </c>
      <c r="AY97" s="23">
        <v>0</v>
      </c>
      <c r="AZ97" s="23">
        <v>0</v>
      </c>
      <c r="BA97" s="23">
        <v>0</v>
      </c>
      <c r="BB97" s="23">
        <v>1</v>
      </c>
      <c r="BC97" s="23">
        <v>0</v>
      </c>
      <c r="BD97" s="23">
        <v>0</v>
      </c>
      <c r="BE97" s="23">
        <v>0</v>
      </c>
      <c r="BF97" s="23">
        <v>1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f t="shared" si="36"/>
        <v>4</v>
      </c>
      <c r="BQ97" s="23">
        <f t="shared" si="37"/>
        <v>4</v>
      </c>
      <c r="BR97" s="23">
        <f t="shared" si="38"/>
        <v>0</v>
      </c>
      <c r="BS97" s="23">
        <f t="shared" si="39"/>
        <v>0</v>
      </c>
      <c r="BT97" s="23">
        <f t="shared" si="40"/>
        <v>4</v>
      </c>
      <c r="BU97" s="23">
        <f t="shared" si="41"/>
        <v>0</v>
      </c>
      <c r="BV97" s="23">
        <f t="shared" si="42"/>
        <v>4</v>
      </c>
      <c r="BW97" s="23">
        <f t="shared" si="43"/>
        <v>0</v>
      </c>
      <c r="BX97" s="23">
        <f t="shared" si="44"/>
        <v>0</v>
      </c>
      <c r="BY97" s="23">
        <f t="shared" si="45"/>
        <v>4</v>
      </c>
      <c r="BZ97" s="23">
        <f t="shared" si="46"/>
        <v>0</v>
      </c>
      <c r="CA97" s="23">
        <f t="shared" si="47"/>
        <v>0</v>
      </c>
      <c r="CB97" s="23">
        <f t="shared" si="48"/>
        <v>4</v>
      </c>
      <c r="CC97" s="23">
        <f t="shared" si="49"/>
        <v>0</v>
      </c>
      <c r="CD97" s="23">
        <f t="shared" si="50"/>
        <v>0</v>
      </c>
      <c r="CE97" s="23">
        <f t="shared" si="51"/>
        <v>4</v>
      </c>
      <c r="CF97" s="23">
        <f t="shared" si="52"/>
        <v>0</v>
      </c>
      <c r="CG97" s="23">
        <f t="shared" si="53"/>
        <v>0</v>
      </c>
      <c r="CH97" s="23">
        <f t="shared" si="54"/>
        <v>0</v>
      </c>
      <c r="CI97" s="23">
        <f t="shared" si="55"/>
        <v>4</v>
      </c>
      <c r="CJ97" s="23">
        <f t="shared" si="56"/>
        <v>0</v>
      </c>
      <c r="CK97" s="23">
        <f t="shared" si="57"/>
        <v>0</v>
      </c>
      <c r="CL97" s="23">
        <f t="shared" si="58"/>
        <v>0</v>
      </c>
      <c r="CM97" s="23">
        <f t="shared" si="59"/>
        <v>4</v>
      </c>
      <c r="CN97" s="23">
        <f t="shared" si="60"/>
        <v>0</v>
      </c>
      <c r="CO97" s="23">
        <f t="shared" si="61"/>
        <v>0</v>
      </c>
      <c r="CP97" s="23">
        <f t="shared" si="62"/>
        <v>0</v>
      </c>
      <c r="CQ97" s="23">
        <f t="shared" si="63"/>
        <v>0</v>
      </c>
      <c r="CR97" s="23">
        <f t="shared" si="64"/>
        <v>0</v>
      </c>
      <c r="CS97" s="23">
        <f t="shared" si="65"/>
        <v>0</v>
      </c>
      <c r="CT97" s="23">
        <f t="shared" si="66"/>
        <v>0</v>
      </c>
      <c r="CU97" s="23">
        <f t="shared" si="67"/>
        <v>0</v>
      </c>
      <c r="CV97" s="23">
        <f t="shared" si="68"/>
        <v>0</v>
      </c>
    </row>
    <row r="98" spans="1:100" ht="13.5">
      <c r="A98" s="15">
        <v>336</v>
      </c>
      <c r="B98" s="27" t="s">
        <v>423</v>
      </c>
      <c r="C98" t="s">
        <v>279</v>
      </c>
      <c r="D98" t="s">
        <v>424</v>
      </c>
      <c r="F98" t="s">
        <v>281</v>
      </c>
      <c r="G98" t="s">
        <v>282</v>
      </c>
      <c r="H98" t="s">
        <v>283</v>
      </c>
      <c r="I98" s="6" t="s">
        <v>147</v>
      </c>
      <c r="J98" s="6">
        <v>0</v>
      </c>
      <c r="L98" s="15">
        <v>1</v>
      </c>
      <c r="N98" s="7">
        <v>46198</v>
      </c>
      <c r="O98" s="7">
        <v>46197</v>
      </c>
      <c r="P98" s="7">
        <v>46198</v>
      </c>
      <c r="S98" s="6" t="s">
        <v>285</v>
      </c>
      <c r="U98" s="6" t="s">
        <v>191</v>
      </c>
      <c r="V98" s="6" t="str">
        <f t="shared" si="35"/>
        <v>26/06</v>
      </c>
      <c r="W98">
        <v>21421</v>
      </c>
      <c r="Y98" s="6" t="s">
        <v>286</v>
      </c>
      <c r="Z98" s="6" t="s">
        <v>193</v>
      </c>
      <c r="AE98">
        <v>1273</v>
      </c>
      <c r="AI98" s="23">
        <v>1</v>
      </c>
      <c r="AJ98" s="23">
        <v>1</v>
      </c>
      <c r="AK98" s="23">
        <v>0</v>
      </c>
      <c r="AL98" s="23">
        <v>0</v>
      </c>
      <c r="AM98" s="23">
        <v>1</v>
      </c>
      <c r="AN98" s="23">
        <v>0</v>
      </c>
      <c r="AO98" s="23">
        <v>0</v>
      </c>
      <c r="AP98" s="23">
        <v>1</v>
      </c>
      <c r="AQ98" s="23">
        <v>0</v>
      </c>
      <c r="AR98" s="23">
        <v>0</v>
      </c>
      <c r="AS98" s="23">
        <v>1</v>
      </c>
      <c r="AT98" s="23">
        <v>0</v>
      </c>
      <c r="AU98" s="23">
        <v>1</v>
      </c>
      <c r="AV98" s="23">
        <v>0</v>
      </c>
      <c r="AW98" s="23">
        <v>0</v>
      </c>
      <c r="AX98" s="23">
        <v>1</v>
      </c>
      <c r="AY98" s="23">
        <v>0</v>
      </c>
      <c r="AZ98" s="23">
        <v>0</v>
      </c>
      <c r="BA98" s="23">
        <v>0</v>
      </c>
      <c r="BB98" s="23">
        <v>1</v>
      </c>
      <c r="BC98" s="23">
        <v>0</v>
      </c>
      <c r="BD98" s="23">
        <v>0</v>
      </c>
      <c r="BE98" s="23">
        <v>0</v>
      </c>
      <c r="BF98" s="23">
        <v>1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f t="shared" si="36"/>
        <v>1</v>
      </c>
      <c r="BQ98" s="23">
        <f t="shared" si="37"/>
        <v>1</v>
      </c>
      <c r="BR98" s="23">
        <f t="shared" si="38"/>
        <v>0</v>
      </c>
      <c r="BS98" s="23">
        <f t="shared" si="39"/>
        <v>0</v>
      </c>
      <c r="BT98" s="23">
        <f t="shared" si="40"/>
        <v>1</v>
      </c>
      <c r="BU98" s="23">
        <f t="shared" si="41"/>
        <v>0</v>
      </c>
      <c r="BV98" s="23">
        <f t="shared" si="42"/>
        <v>0</v>
      </c>
      <c r="BW98" s="23">
        <f t="shared" si="43"/>
        <v>1</v>
      </c>
      <c r="BX98" s="23">
        <f t="shared" si="44"/>
        <v>0</v>
      </c>
      <c r="BY98" s="23">
        <f t="shared" si="45"/>
        <v>0</v>
      </c>
      <c r="BZ98" s="23">
        <f t="shared" si="46"/>
        <v>1</v>
      </c>
      <c r="CA98" s="23">
        <f t="shared" si="47"/>
        <v>0</v>
      </c>
      <c r="CB98" s="23">
        <f t="shared" si="48"/>
        <v>1</v>
      </c>
      <c r="CC98" s="23">
        <f t="shared" si="49"/>
        <v>0</v>
      </c>
      <c r="CD98" s="23">
        <f t="shared" si="50"/>
        <v>0</v>
      </c>
      <c r="CE98" s="23">
        <f t="shared" si="51"/>
        <v>1</v>
      </c>
      <c r="CF98" s="23">
        <f t="shared" si="52"/>
        <v>0</v>
      </c>
      <c r="CG98" s="23">
        <f t="shared" si="53"/>
        <v>0</v>
      </c>
      <c r="CH98" s="23">
        <f t="shared" si="54"/>
        <v>0</v>
      </c>
      <c r="CI98" s="23">
        <f t="shared" si="55"/>
        <v>1</v>
      </c>
      <c r="CJ98" s="23">
        <f t="shared" si="56"/>
        <v>0</v>
      </c>
      <c r="CK98" s="23">
        <f t="shared" si="57"/>
        <v>0</v>
      </c>
      <c r="CL98" s="23">
        <f t="shared" si="58"/>
        <v>0</v>
      </c>
      <c r="CM98" s="23">
        <f t="shared" si="59"/>
        <v>1</v>
      </c>
      <c r="CN98" s="23">
        <f t="shared" si="60"/>
        <v>0</v>
      </c>
      <c r="CO98" s="23">
        <f t="shared" si="61"/>
        <v>0</v>
      </c>
      <c r="CP98" s="23">
        <f t="shared" si="62"/>
        <v>0</v>
      </c>
      <c r="CQ98" s="23">
        <f t="shared" si="63"/>
        <v>0</v>
      </c>
      <c r="CR98" s="23">
        <f t="shared" si="64"/>
        <v>0</v>
      </c>
      <c r="CS98" s="23">
        <f t="shared" si="65"/>
        <v>0</v>
      </c>
      <c r="CT98" s="23">
        <f t="shared" si="66"/>
        <v>0</v>
      </c>
      <c r="CU98" s="23">
        <f t="shared" si="67"/>
        <v>0</v>
      </c>
      <c r="CV98" s="23">
        <f t="shared" si="68"/>
        <v>0</v>
      </c>
    </row>
    <row r="99" spans="1:100" ht="13.5">
      <c r="A99" s="15">
        <v>338</v>
      </c>
      <c r="B99" s="27" t="s">
        <v>425</v>
      </c>
      <c r="C99" t="s">
        <v>279</v>
      </c>
      <c r="E99" t="s">
        <v>285</v>
      </c>
      <c r="F99" t="s">
        <v>133</v>
      </c>
      <c r="G99" t="s">
        <v>285</v>
      </c>
      <c r="H99" t="s">
        <v>368</v>
      </c>
      <c r="I99" s="6" t="s">
        <v>136</v>
      </c>
      <c r="J99" s="6">
        <v>0</v>
      </c>
      <c r="K99" t="s">
        <v>369</v>
      </c>
      <c r="L99" s="15">
        <v>4</v>
      </c>
      <c r="N99" s="7">
        <v>46204</v>
      </c>
      <c r="O99" s="7">
        <v>46203</v>
      </c>
      <c r="P99" s="7">
        <v>46204</v>
      </c>
      <c r="S99" s="6" t="s">
        <v>285</v>
      </c>
      <c r="U99" s="6" t="s">
        <v>191</v>
      </c>
      <c r="V99" s="6" t="str">
        <f t="shared" si="35"/>
        <v>26/07</v>
      </c>
      <c r="W99">
        <v>21422</v>
      </c>
      <c r="Y99" s="6" t="s">
        <v>286</v>
      </c>
      <c r="Z99" s="6" t="s">
        <v>193</v>
      </c>
      <c r="AE99">
        <v>1274</v>
      </c>
      <c r="AI99" s="23">
        <v>1</v>
      </c>
      <c r="AJ99" s="23">
        <v>1</v>
      </c>
      <c r="AK99" s="23">
        <v>0</v>
      </c>
      <c r="AL99" s="23">
        <v>0</v>
      </c>
      <c r="AM99" s="23">
        <v>1</v>
      </c>
      <c r="AN99" s="23">
        <v>0</v>
      </c>
      <c r="AO99" s="23">
        <v>0</v>
      </c>
      <c r="AP99" s="23">
        <v>1</v>
      </c>
      <c r="AQ99" s="23">
        <v>0</v>
      </c>
      <c r="AR99" s="23">
        <v>0</v>
      </c>
      <c r="AS99" s="23">
        <v>1</v>
      </c>
      <c r="AT99" s="23">
        <v>0</v>
      </c>
      <c r="AU99" s="23">
        <v>1</v>
      </c>
      <c r="AV99" s="23">
        <v>0</v>
      </c>
      <c r="AW99" s="23">
        <v>0</v>
      </c>
      <c r="AX99" s="23">
        <v>1</v>
      </c>
      <c r="AY99" s="23">
        <v>0</v>
      </c>
      <c r="AZ99" s="23">
        <v>0</v>
      </c>
      <c r="BA99" s="23">
        <v>0</v>
      </c>
      <c r="BB99" s="23">
        <v>1</v>
      </c>
      <c r="BC99" s="23">
        <v>0</v>
      </c>
      <c r="BD99" s="23">
        <v>0</v>
      </c>
      <c r="BE99" s="23">
        <v>0</v>
      </c>
      <c r="BF99" s="23">
        <v>1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f t="shared" si="36"/>
        <v>4</v>
      </c>
      <c r="BQ99" s="23">
        <f t="shared" si="37"/>
        <v>4</v>
      </c>
      <c r="BR99" s="23">
        <f t="shared" si="38"/>
        <v>0</v>
      </c>
      <c r="BS99" s="23">
        <f t="shared" si="39"/>
        <v>0</v>
      </c>
      <c r="BT99" s="23">
        <f t="shared" si="40"/>
        <v>4</v>
      </c>
      <c r="BU99" s="23">
        <f t="shared" si="41"/>
        <v>0</v>
      </c>
      <c r="BV99" s="23">
        <f t="shared" si="42"/>
        <v>0</v>
      </c>
      <c r="BW99" s="23">
        <f t="shared" si="43"/>
        <v>4</v>
      </c>
      <c r="BX99" s="23">
        <f t="shared" si="44"/>
        <v>0</v>
      </c>
      <c r="BY99" s="23">
        <f t="shared" si="45"/>
        <v>0</v>
      </c>
      <c r="BZ99" s="23">
        <f t="shared" si="46"/>
        <v>4</v>
      </c>
      <c r="CA99" s="23">
        <f t="shared" si="47"/>
        <v>0</v>
      </c>
      <c r="CB99" s="23">
        <f t="shared" si="48"/>
        <v>4</v>
      </c>
      <c r="CC99" s="23">
        <f t="shared" si="49"/>
        <v>0</v>
      </c>
      <c r="CD99" s="23">
        <f t="shared" si="50"/>
        <v>0</v>
      </c>
      <c r="CE99" s="23">
        <f t="shared" si="51"/>
        <v>4</v>
      </c>
      <c r="CF99" s="23">
        <f t="shared" si="52"/>
        <v>0</v>
      </c>
      <c r="CG99" s="23">
        <f t="shared" si="53"/>
        <v>0</v>
      </c>
      <c r="CH99" s="23">
        <f t="shared" si="54"/>
        <v>0</v>
      </c>
      <c r="CI99" s="23">
        <f t="shared" si="55"/>
        <v>4</v>
      </c>
      <c r="CJ99" s="23">
        <f t="shared" si="56"/>
        <v>0</v>
      </c>
      <c r="CK99" s="23">
        <f t="shared" si="57"/>
        <v>0</v>
      </c>
      <c r="CL99" s="23">
        <f t="shared" si="58"/>
        <v>0</v>
      </c>
      <c r="CM99" s="23">
        <f t="shared" si="59"/>
        <v>4</v>
      </c>
      <c r="CN99" s="23">
        <f t="shared" si="60"/>
        <v>0</v>
      </c>
      <c r="CO99" s="23">
        <f t="shared" si="61"/>
        <v>0</v>
      </c>
      <c r="CP99" s="23">
        <f t="shared" si="62"/>
        <v>0</v>
      </c>
      <c r="CQ99" s="23">
        <f t="shared" si="63"/>
        <v>0</v>
      </c>
      <c r="CR99" s="23">
        <f t="shared" si="64"/>
        <v>0</v>
      </c>
      <c r="CS99" s="23">
        <f t="shared" si="65"/>
        <v>0</v>
      </c>
      <c r="CT99" s="23">
        <f t="shared" si="66"/>
        <v>0</v>
      </c>
      <c r="CU99" s="23">
        <f t="shared" si="67"/>
        <v>0</v>
      </c>
      <c r="CV99" s="23">
        <f t="shared" si="68"/>
        <v>0</v>
      </c>
    </row>
    <row r="100" spans="1:100" ht="13.5">
      <c r="A100" s="15">
        <v>339</v>
      </c>
      <c r="B100" s="27" t="s">
        <v>426</v>
      </c>
      <c r="C100" t="s">
        <v>208</v>
      </c>
      <c r="E100" t="s">
        <v>134</v>
      </c>
      <c r="F100" t="s">
        <v>133</v>
      </c>
      <c r="G100" t="s">
        <v>134</v>
      </c>
      <c r="H100" t="s">
        <v>209</v>
      </c>
      <c r="I100" s="6" t="s">
        <v>136</v>
      </c>
      <c r="J100" s="6">
        <v>0</v>
      </c>
      <c r="L100" s="15">
        <v>2</v>
      </c>
      <c r="N100" s="7">
        <v>46204</v>
      </c>
      <c r="O100" s="7">
        <v>46203</v>
      </c>
      <c r="P100" s="7">
        <v>46204</v>
      </c>
      <c r="S100" s="6" t="s">
        <v>134</v>
      </c>
      <c r="U100" s="6" t="s">
        <v>191</v>
      </c>
      <c r="V100" s="6" t="str">
        <f t="shared" si="35"/>
        <v>26/07</v>
      </c>
      <c r="W100">
        <v>21423</v>
      </c>
      <c r="Y100" s="6" t="s">
        <v>211</v>
      </c>
      <c r="Z100" s="6" t="s">
        <v>212</v>
      </c>
      <c r="AA100">
        <v>3238</v>
      </c>
      <c r="AI100" s="23">
        <v>1</v>
      </c>
      <c r="AJ100" s="23">
        <v>1</v>
      </c>
      <c r="AK100" s="23">
        <v>0</v>
      </c>
      <c r="AL100" s="23">
        <v>0</v>
      </c>
      <c r="AM100" s="23">
        <v>1</v>
      </c>
      <c r="AN100" s="23">
        <v>0</v>
      </c>
      <c r="AO100" s="23">
        <v>1</v>
      </c>
      <c r="AP100" s="23">
        <v>0</v>
      </c>
      <c r="AQ100" s="23">
        <v>0</v>
      </c>
      <c r="AR100" s="23">
        <v>0</v>
      </c>
      <c r="AS100" s="23">
        <v>0</v>
      </c>
      <c r="AT100" s="23">
        <v>1</v>
      </c>
      <c r="AU100" s="23">
        <v>1</v>
      </c>
      <c r="AV100" s="23">
        <v>0</v>
      </c>
      <c r="AW100" s="23">
        <v>0</v>
      </c>
      <c r="AX100" s="23">
        <v>1</v>
      </c>
      <c r="AY100" s="23">
        <v>0</v>
      </c>
      <c r="AZ100" s="23">
        <v>0</v>
      </c>
      <c r="BA100" s="23">
        <v>0</v>
      </c>
      <c r="BB100" s="23">
        <v>1</v>
      </c>
      <c r="BC100" s="23">
        <v>0</v>
      </c>
      <c r="BD100" s="23">
        <v>0</v>
      </c>
      <c r="BE100" s="23">
        <v>0</v>
      </c>
      <c r="BF100" s="23">
        <v>1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f t="shared" si="36"/>
        <v>2</v>
      </c>
      <c r="BQ100" s="23">
        <f t="shared" si="37"/>
        <v>2</v>
      </c>
      <c r="BR100" s="23">
        <f t="shared" si="38"/>
        <v>0</v>
      </c>
      <c r="BS100" s="23">
        <f t="shared" si="39"/>
        <v>0</v>
      </c>
      <c r="BT100" s="23">
        <f t="shared" si="40"/>
        <v>2</v>
      </c>
      <c r="BU100" s="23">
        <f t="shared" si="41"/>
        <v>0</v>
      </c>
      <c r="BV100" s="23">
        <f t="shared" si="42"/>
        <v>2</v>
      </c>
      <c r="BW100" s="23">
        <f t="shared" si="43"/>
        <v>0</v>
      </c>
      <c r="BX100" s="23">
        <f t="shared" si="44"/>
        <v>0</v>
      </c>
      <c r="BY100" s="23">
        <f t="shared" si="45"/>
        <v>0</v>
      </c>
      <c r="BZ100" s="23">
        <f t="shared" si="46"/>
        <v>0</v>
      </c>
      <c r="CA100" s="23">
        <f t="shared" si="47"/>
        <v>2</v>
      </c>
      <c r="CB100" s="23">
        <f t="shared" si="48"/>
        <v>2</v>
      </c>
      <c r="CC100" s="23">
        <f t="shared" si="49"/>
        <v>0</v>
      </c>
      <c r="CD100" s="23">
        <f t="shared" si="50"/>
        <v>0</v>
      </c>
      <c r="CE100" s="23">
        <f t="shared" si="51"/>
        <v>2</v>
      </c>
      <c r="CF100" s="23">
        <f t="shared" si="52"/>
        <v>0</v>
      </c>
      <c r="CG100" s="23">
        <f t="shared" si="53"/>
        <v>0</v>
      </c>
      <c r="CH100" s="23">
        <f t="shared" si="54"/>
        <v>0</v>
      </c>
      <c r="CI100" s="23">
        <f t="shared" si="55"/>
        <v>2</v>
      </c>
      <c r="CJ100" s="23">
        <f t="shared" si="56"/>
        <v>0</v>
      </c>
      <c r="CK100" s="23">
        <f t="shared" si="57"/>
        <v>0</v>
      </c>
      <c r="CL100" s="23">
        <f t="shared" si="58"/>
        <v>0</v>
      </c>
      <c r="CM100" s="23">
        <f t="shared" si="59"/>
        <v>2</v>
      </c>
      <c r="CN100" s="23">
        <f t="shared" si="60"/>
        <v>0</v>
      </c>
      <c r="CO100" s="23">
        <f t="shared" si="61"/>
        <v>0</v>
      </c>
      <c r="CP100" s="23">
        <f t="shared" si="62"/>
        <v>0</v>
      </c>
      <c r="CQ100" s="23">
        <f t="shared" si="63"/>
        <v>0</v>
      </c>
      <c r="CR100" s="23">
        <f t="shared" si="64"/>
        <v>0</v>
      </c>
      <c r="CS100" s="23">
        <f t="shared" si="65"/>
        <v>0</v>
      </c>
      <c r="CT100" s="23">
        <f t="shared" si="66"/>
        <v>0</v>
      </c>
      <c r="CU100" s="23">
        <f t="shared" si="67"/>
        <v>0</v>
      </c>
      <c r="CV100" s="23">
        <f t="shared" si="68"/>
        <v>0</v>
      </c>
    </row>
    <row r="101" spans="1:100" ht="13.5">
      <c r="A101" s="15">
        <v>362</v>
      </c>
      <c r="B101" s="27" t="s">
        <v>427</v>
      </c>
      <c r="C101" t="s">
        <v>279</v>
      </c>
      <c r="D101" t="s">
        <v>428</v>
      </c>
      <c r="E101" t="s">
        <v>373</v>
      </c>
      <c r="F101" t="s">
        <v>281</v>
      </c>
      <c r="G101" t="s">
        <v>282</v>
      </c>
      <c r="H101" t="s">
        <v>283</v>
      </c>
      <c r="I101" s="6" t="s">
        <v>147</v>
      </c>
      <c r="J101" s="6">
        <v>0</v>
      </c>
      <c r="L101" s="15">
        <v>1</v>
      </c>
      <c r="N101" s="7">
        <v>46212</v>
      </c>
      <c r="O101" s="7">
        <v>46211</v>
      </c>
      <c r="P101" s="7">
        <v>46212</v>
      </c>
      <c r="S101" s="6" t="s">
        <v>285</v>
      </c>
      <c r="U101" s="6" t="s">
        <v>191</v>
      </c>
      <c r="V101" s="6" t="str">
        <f t="shared" si="35"/>
        <v>26/07</v>
      </c>
      <c r="W101">
        <v>21424</v>
      </c>
      <c r="Y101" s="6" t="s">
        <v>286</v>
      </c>
      <c r="Z101" s="6" t="s">
        <v>193</v>
      </c>
      <c r="AE101">
        <v>1275</v>
      </c>
      <c r="AI101" s="23">
        <v>1</v>
      </c>
      <c r="AJ101" s="23">
        <v>1</v>
      </c>
      <c r="AK101" s="23">
        <v>0</v>
      </c>
      <c r="AL101" s="23">
        <v>0</v>
      </c>
      <c r="AM101" s="23">
        <v>1</v>
      </c>
      <c r="AN101" s="23">
        <v>0</v>
      </c>
      <c r="AO101" s="23">
        <v>0</v>
      </c>
      <c r="AP101" s="23">
        <v>1</v>
      </c>
      <c r="AQ101" s="23">
        <v>0</v>
      </c>
      <c r="AR101" s="23">
        <v>0</v>
      </c>
      <c r="AS101" s="23">
        <v>1</v>
      </c>
      <c r="AT101" s="23">
        <v>0</v>
      </c>
      <c r="AU101" s="23">
        <v>1</v>
      </c>
      <c r="AV101" s="23">
        <v>0</v>
      </c>
      <c r="AW101" s="23">
        <v>0</v>
      </c>
      <c r="AX101" s="23">
        <v>1</v>
      </c>
      <c r="AY101" s="23">
        <v>0</v>
      </c>
      <c r="AZ101" s="23">
        <v>0</v>
      </c>
      <c r="BA101" s="23">
        <v>0</v>
      </c>
      <c r="BB101" s="23">
        <v>1</v>
      </c>
      <c r="BC101" s="23">
        <v>0</v>
      </c>
      <c r="BD101" s="23">
        <v>0</v>
      </c>
      <c r="BE101" s="23">
        <v>0</v>
      </c>
      <c r="BF101" s="23">
        <v>1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f t="shared" si="36"/>
        <v>1</v>
      </c>
      <c r="BQ101" s="23">
        <f t="shared" si="37"/>
        <v>1</v>
      </c>
      <c r="BR101" s="23">
        <f t="shared" si="38"/>
        <v>0</v>
      </c>
      <c r="BS101" s="23">
        <f t="shared" si="39"/>
        <v>0</v>
      </c>
      <c r="BT101" s="23">
        <f t="shared" si="40"/>
        <v>1</v>
      </c>
      <c r="BU101" s="23">
        <f t="shared" si="41"/>
        <v>0</v>
      </c>
      <c r="BV101" s="23">
        <f t="shared" si="42"/>
        <v>0</v>
      </c>
      <c r="BW101" s="23">
        <f t="shared" si="43"/>
        <v>1</v>
      </c>
      <c r="BX101" s="23">
        <f t="shared" si="44"/>
        <v>0</v>
      </c>
      <c r="BY101" s="23">
        <f t="shared" si="45"/>
        <v>0</v>
      </c>
      <c r="BZ101" s="23">
        <f t="shared" si="46"/>
        <v>1</v>
      </c>
      <c r="CA101" s="23">
        <f t="shared" si="47"/>
        <v>0</v>
      </c>
      <c r="CB101" s="23">
        <f t="shared" si="48"/>
        <v>1</v>
      </c>
      <c r="CC101" s="23">
        <f t="shared" si="49"/>
        <v>0</v>
      </c>
      <c r="CD101" s="23">
        <f t="shared" si="50"/>
        <v>0</v>
      </c>
      <c r="CE101" s="23">
        <f t="shared" si="51"/>
        <v>1</v>
      </c>
      <c r="CF101" s="23">
        <f t="shared" si="52"/>
        <v>0</v>
      </c>
      <c r="CG101" s="23">
        <f t="shared" si="53"/>
        <v>0</v>
      </c>
      <c r="CH101" s="23">
        <f t="shared" si="54"/>
        <v>0</v>
      </c>
      <c r="CI101" s="23">
        <f t="shared" si="55"/>
        <v>1</v>
      </c>
      <c r="CJ101" s="23">
        <f t="shared" si="56"/>
        <v>0</v>
      </c>
      <c r="CK101" s="23">
        <f t="shared" si="57"/>
        <v>0</v>
      </c>
      <c r="CL101" s="23">
        <f t="shared" si="58"/>
        <v>0</v>
      </c>
      <c r="CM101" s="23">
        <f t="shared" si="59"/>
        <v>1</v>
      </c>
      <c r="CN101" s="23">
        <f t="shared" si="60"/>
        <v>0</v>
      </c>
      <c r="CO101" s="23">
        <f t="shared" si="61"/>
        <v>0</v>
      </c>
      <c r="CP101" s="23">
        <f t="shared" si="62"/>
        <v>0</v>
      </c>
      <c r="CQ101" s="23">
        <f t="shared" si="63"/>
        <v>0</v>
      </c>
      <c r="CR101" s="23">
        <f t="shared" si="64"/>
        <v>0</v>
      </c>
      <c r="CS101" s="23">
        <f t="shared" si="65"/>
        <v>0</v>
      </c>
      <c r="CT101" s="23">
        <f t="shared" si="66"/>
        <v>0</v>
      </c>
      <c r="CU101" s="23">
        <f t="shared" si="67"/>
        <v>0</v>
      </c>
      <c r="CV101" s="23">
        <f t="shared" si="68"/>
        <v>0</v>
      </c>
    </row>
    <row r="102" spans="1:100" ht="13.5">
      <c r="A102" s="15">
        <v>371</v>
      </c>
      <c r="B102" s="27" t="s">
        <v>432</v>
      </c>
      <c r="C102" t="s">
        <v>279</v>
      </c>
      <c r="E102" t="s">
        <v>285</v>
      </c>
      <c r="F102" t="s">
        <v>133</v>
      </c>
      <c r="G102" t="s">
        <v>285</v>
      </c>
      <c r="H102" t="s">
        <v>368</v>
      </c>
      <c r="I102" s="6" t="s">
        <v>136</v>
      </c>
      <c r="J102" s="6">
        <v>0</v>
      </c>
      <c r="K102" t="s">
        <v>369</v>
      </c>
      <c r="L102" s="15">
        <v>4</v>
      </c>
      <c r="N102" s="7">
        <v>46237</v>
      </c>
      <c r="O102" s="7">
        <v>46234</v>
      </c>
      <c r="P102" s="7">
        <v>46237</v>
      </c>
      <c r="S102" s="6" t="s">
        <v>285</v>
      </c>
      <c r="U102" s="6" t="s">
        <v>191</v>
      </c>
      <c r="V102" s="6" t="str">
        <f t="shared" si="35"/>
        <v>26/08</v>
      </c>
      <c r="W102">
        <v>21425</v>
      </c>
      <c r="Y102" s="6" t="s">
        <v>286</v>
      </c>
      <c r="Z102" s="6" t="s">
        <v>193</v>
      </c>
      <c r="AE102">
        <v>1276</v>
      </c>
      <c r="AI102" s="23">
        <v>1</v>
      </c>
      <c r="AJ102" s="23">
        <v>1</v>
      </c>
      <c r="AK102" s="23">
        <v>0</v>
      </c>
      <c r="AL102" s="23">
        <v>0</v>
      </c>
      <c r="AM102" s="23">
        <v>1</v>
      </c>
      <c r="AN102" s="23">
        <v>0</v>
      </c>
      <c r="AO102" s="23">
        <v>0</v>
      </c>
      <c r="AP102" s="23">
        <v>1</v>
      </c>
      <c r="AQ102" s="23">
        <v>0</v>
      </c>
      <c r="AR102" s="23">
        <v>0</v>
      </c>
      <c r="AS102" s="23">
        <v>1</v>
      </c>
      <c r="AT102" s="23">
        <v>0</v>
      </c>
      <c r="AU102" s="23">
        <v>1</v>
      </c>
      <c r="AV102" s="23">
        <v>0</v>
      </c>
      <c r="AW102" s="23">
        <v>0</v>
      </c>
      <c r="AX102" s="23">
        <v>1</v>
      </c>
      <c r="AY102" s="23">
        <v>0</v>
      </c>
      <c r="AZ102" s="23">
        <v>0</v>
      </c>
      <c r="BA102" s="23">
        <v>0</v>
      </c>
      <c r="BB102" s="23">
        <v>1</v>
      </c>
      <c r="BC102" s="23">
        <v>0</v>
      </c>
      <c r="BD102" s="23">
        <v>0</v>
      </c>
      <c r="BE102" s="23">
        <v>0</v>
      </c>
      <c r="BF102" s="23">
        <v>1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f t="shared" si="36"/>
        <v>4</v>
      </c>
      <c r="BQ102" s="23">
        <f t="shared" si="37"/>
        <v>4</v>
      </c>
      <c r="BR102" s="23">
        <f t="shared" si="38"/>
        <v>0</v>
      </c>
      <c r="BS102" s="23">
        <f t="shared" si="39"/>
        <v>0</v>
      </c>
      <c r="BT102" s="23">
        <f t="shared" si="40"/>
        <v>4</v>
      </c>
      <c r="BU102" s="23">
        <f t="shared" si="41"/>
        <v>0</v>
      </c>
      <c r="BV102" s="23">
        <f t="shared" si="42"/>
        <v>0</v>
      </c>
      <c r="BW102" s="23">
        <f t="shared" si="43"/>
        <v>4</v>
      </c>
      <c r="BX102" s="23">
        <f t="shared" si="44"/>
        <v>0</v>
      </c>
      <c r="BY102" s="23">
        <f t="shared" si="45"/>
        <v>0</v>
      </c>
      <c r="BZ102" s="23">
        <f t="shared" si="46"/>
        <v>4</v>
      </c>
      <c r="CA102" s="23">
        <f t="shared" si="47"/>
        <v>0</v>
      </c>
      <c r="CB102" s="23">
        <f t="shared" si="48"/>
        <v>4</v>
      </c>
      <c r="CC102" s="23">
        <f t="shared" si="49"/>
        <v>0</v>
      </c>
      <c r="CD102" s="23">
        <f t="shared" si="50"/>
        <v>0</v>
      </c>
      <c r="CE102" s="23">
        <f t="shared" si="51"/>
        <v>4</v>
      </c>
      <c r="CF102" s="23">
        <f t="shared" si="52"/>
        <v>0</v>
      </c>
      <c r="CG102" s="23">
        <f t="shared" si="53"/>
        <v>0</v>
      </c>
      <c r="CH102" s="23">
        <f t="shared" si="54"/>
        <v>0</v>
      </c>
      <c r="CI102" s="23">
        <f t="shared" si="55"/>
        <v>4</v>
      </c>
      <c r="CJ102" s="23">
        <f t="shared" si="56"/>
        <v>0</v>
      </c>
      <c r="CK102" s="23">
        <f t="shared" si="57"/>
        <v>0</v>
      </c>
      <c r="CL102" s="23">
        <f t="shared" si="58"/>
        <v>0</v>
      </c>
      <c r="CM102" s="23">
        <f t="shared" si="59"/>
        <v>4</v>
      </c>
      <c r="CN102" s="23">
        <f t="shared" si="60"/>
        <v>0</v>
      </c>
      <c r="CO102" s="23">
        <f t="shared" si="61"/>
        <v>0</v>
      </c>
      <c r="CP102" s="23">
        <f t="shared" si="62"/>
        <v>0</v>
      </c>
      <c r="CQ102" s="23">
        <f t="shared" si="63"/>
        <v>0</v>
      </c>
      <c r="CR102" s="23">
        <f t="shared" si="64"/>
        <v>0</v>
      </c>
      <c r="CS102" s="23">
        <f t="shared" si="65"/>
        <v>0</v>
      </c>
      <c r="CT102" s="23">
        <f t="shared" si="66"/>
        <v>0</v>
      </c>
      <c r="CU102" s="23">
        <f t="shared" si="67"/>
        <v>0</v>
      </c>
      <c r="CV102" s="23">
        <f t="shared" si="68"/>
        <v>0</v>
      </c>
    </row>
    <row r="103" spans="1:100" ht="13.5">
      <c r="A103" s="15">
        <v>372</v>
      </c>
      <c r="B103" s="27" t="s">
        <v>433</v>
      </c>
      <c r="C103" t="s">
        <v>208</v>
      </c>
      <c r="E103" t="s">
        <v>134</v>
      </c>
      <c r="F103" t="s">
        <v>133</v>
      </c>
      <c r="G103" t="s">
        <v>134</v>
      </c>
      <c r="H103" t="s">
        <v>209</v>
      </c>
      <c r="I103" s="6" t="s">
        <v>136</v>
      </c>
      <c r="J103" s="6">
        <v>1</v>
      </c>
      <c r="L103" s="15">
        <v>9</v>
      </c>
      <c r="N103" s="7">
        <v>46237</v>
      </c>
      <c r="O103" s="7">
        <v>46234</v>
      </c>
      <c r="P103" s="7">
        <v>46237</v>
      </c>
      <c r="S103" s="6" t="s">
        <v>134</v>
      </c>
      <c r="U103" s="6" t="s">
        <v>191</v>
      </c>
      <c r="V103" s="6" t="str">
        <f t="shared" si="35"/>
        <v>26/08</v>
      </c>
      <c r="W103">
        <v>21426</v>
      </c>
      <c r="Y103" s="6" t="s">
        <v>211</v>
      </c>
      <c r="Z103" s="6" t="s">
        <v>212</v>
      </c>
      <c r="AA103">
        <v>3239</v>
      </c>
      <c r="AI103" s="23">
        <v>1</v>
      </c>
      <c r="AJ103" s="23">
        <v>1</v>
      </c>
      <c r="AK103" s="23">
        <v>0</v>
      </c>
      <c r="AL103" s="23">
        <v>0</v>
      </c>
      <c r="AM103" s="23">
        <v>1</v>
      </c>
      <c r="AN103" s="23">
        <v>0</v>
      </c>
      <c r="AO103" s="23">
        <v>1</v>
      </c>
      <c r="AP103" s="23">
        <v>0</v>
      </c>
      <c r="AQ103" s="23">
        <v>0</v>
      </c>
      <c r="AR103" s="23">
        <v>0</v>
      </c>
      <c r="AS103" s="23">
        <v>0</v>
      </c>
      <c r="AT103" s="23">
        <v>1</v>
      </c>
      <c r="AU103" s="23">
        <v>1</v>
      </c>
      <c r="AV103" s="23">
        <v>0</v>
      </c>
      <c r="AW103" s="23">
        <v>0</v>
      </c>
      <c r="AX103" s="23">
        <v>1</v>
      </c>
      <c r="AY103" s="23">
        <v>0</v>
      </c>
      <c r="AZ103" s="23">
        <v>0</v>
      </c>
      <c r="BA103" s="23">
        <v>0</v>
      </c>
      <c r="BB103" s="23">
        <v>1</v>
      </c>
      <c r="BC103" s="23">
        <v>0</v>
      </c>
      <c r="BD103" s="23">
        <v>0</v>
      </c>
      <c r="BE103" s="23">
        <v>0</v>
      </c>
      <c r="BF103" s="23">
        <v>1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f t="shared" si="36"/>
        <v>9</v>
      </c>
      <c r="BQ103" s="23">
        <f t="shared" si="37"/>
        <v>9</v>
      </c>
      <c r="BR103" s="23">
        <f t="shared" si="38"/>
        <v>0</v>
      </c>
      <c r="BS103" s="23">
        <f t="shared" si="39"/>
        <v>0</v>
      </c>
      <c r="BT103" s="23">
        <f t="shared" si="40"/>
        <v>9</v>
      </c>
      <c r="BU103" s="23">
        <f t="shared" si="41"/>
        <v>0</v>
      </c>
      <c r="BV103" s="23">
        <f t="shared" si="42"/>
        <v>9</v>
      </c>
      <c r="BW103" s="23">
        <f t="shared" si="43"/>
        <v>0</v>
      </c>
      <c r="BX103" s="23">
        <f t="shared" si="44"/>
        <v>0</v>
      </c>
      <c r="BY103" s="23">
        <f t="shared" si="45"/>
        <v>0</v>
      </c>
      <c r="BZ103" s="23">
        <f t="shared" si="46"/>
        <v>0</v>
      </c>
      <c r="CA103" s="23">
        <f t="shared" si="47"/>
        <v>9</v>
      </c>
      <c r="CB103" s="23">
        <f t="shared" si="48"/>
        <v>9</v>
      </c>
      <c r="CC103" s="23">
        <f t="shared" si="49"/>
        <v>0</v>
      </c>
      <c r="CD103" s="23">
        <f t="shared" si="50"/>
        <v>0</v>
      </c>
      <c r="CE103" s="23">
        <f t="shared" si="51"/>
        <v>9</v>
      </c>
      <c r="CF103" s="23">
        <f t="shared" si="52"/>
        <v>0</v>
      </c>
      <c r="CG103" s="23">
        <f t="shared" si="53"/>
        <v>0</v>
      </c>
      <c r="CH103" s="23">
        <f t="shared" si="54"/>
        <v>0</v>
      </c>
      <c r="CI103" s="23">
        <f t="shared" si="55"/>
        <v>9</v>
      </c>
      <c r="CJ103" s="23">
        <f t="shared" si="56"/>
        <v>0</v>
      </c>
      <c r="CK103" s="23">
        <f t="shared" si="57"/>
        <v>0</v>
      </c>
      <c r="CL103" s="23">
        <f t="shared" si="58"/>
        <v>0</v>
      </c>
      <c r="CM103" s="23">
        <f t="shared" si="59"/>
        <v>9</v>
      </c>
      <c r="CN103" s="23">
        <f t="shared" si="60"/>
        <v>0</v>
      </c>
      <c r="CO103" s="23">
        <f t="shared" si="61"/>
        <v>0</v>
      </c>
      <c r="CP103" s="23">
        <f t="shared" si="62"/>
        <v>0</v>
      </c>
      <c r="CQ103" s="23">
        <f t="shared" si="63"/>
        <v>0</v>
      </c>
      <c r="CR103" s="23">
        <f t="shared" si="64"/>
        <v>0</v>
      </c>
      <c r="CS103" s="23">
        <f t="shared" si="65"/>
        <v>0</v>
      </c>
      <c r="CT103" s="23">
        <f t="shared" si="66"/>
        <v>0</v>
      </c>
      <c r="CU103" s="23">
        <f t="shared" si="67"/>
        <v>0</v>
      </c>
      <c r="CV103" s="23">
        <f t="shared" si="68"/>
        <v>0</v>
      </c>
    </row>
    <row r="104" spans="1:100" ht="13.5">
      <c r="A104" s="15">
        <v>373</v>
      </c>
      <c r="B104" s="27" t="s">
        <v>434</v>
      </c>
      <c r="C104" t="s">
        <v>345</v>
      </c>
      <c r="F104" t="s">
        <v>133</v>
      </c>
      <c r="G104" t="s">
        <v>342</v>
      </c>
      <c r="H104" t="s">
        <v>343</v>
      </c>
      <c r="I104" s="6" t="s">
        <v>136</v>
      </c>
      <c r="J104" s="6">
        <v>0</v>
      </c>
      <c r="L104" s="15">
        <v>7</v>
      </c>
      <c r="N104" s="7">
        <v>46237</v>
      </c>
      <c r="O104" s="7">
        <v>46234</v>
      </c>
      <c r="P104" s="7">
        <v>46237</v>
      </c>
      <c r="S104" s="6" t="s">
        <v>342</v>
      </c>
      <c r="U104" s="6" t="s">
        <v>191</v>
      </c>
      <c r="V104" s="6" t="str">
        <f t="shared" si="35"/>
        <v>26/08</v>
      </c>
      <c r="W104">
        <v>21427</v>
      </c>
      <c r="Y104" s="6" t="s">
        <v>286</v>
      </c>
      <c r="Z104" s="6" t="s">
        <v>193</v>
      </c>
      <c r="AE104">
        <v>1277</v>
      </c>
      <c r="AI104" s="23">
        <v>1</v>
      </c>
      <c r="AJ104" s="23">
        <v>1</v>
      </c>
      <c r="AK104" s="23">
        <v>0</v>
      </c>
      <c r="AL104" s="23">
        <v>0</v>
      </c>
      <c r="AM104" s="23">
        <v>1</v>
      </c>
      <c r="AN104" s="23">
        <v>0</v>
      </c>
      <c r="AO104" s="23">
        <v>0</v>
      </c>
      <c r="AP104" s="23">
        <v>1</v>
      </c>
      <c r="AQ104" s="23">
        <v>0</v>
      </c>
      <c r="AR104" s="23">
        <v>0</v>
      </c>
      <c r="AS104" s="23">
        <v>1</v>
      </c>
      <c r="AT104" s="23">
        <v>0</v>
      </c>
      <c r="AU104" s="23">
        <v>1</v>
      </c>
      <c r="AV104" s="23">
        <v>0</v>
      </c>
      <c r="AW104" s="23">
        <v>0</v>
      </c>
      <c r="AX104" s="23">
        <v>1</v>
      </c>
      <c r="AY104" s="23">
        <v>0</v>
      </c>
      <c r="AZ104" s="23">
        <v>0</v>
      </c>
      <c r="BA104" s="23">
        <v>0</v>
      </c>
      <c r="BB104" s="23">
        <v>1</v>
      </c>
      <c r="BC104" s="23">
        <v>0</v>
      </c>
      <c r="BD104" s="23">
        <v>0</v>
      </c>
      <c r="BE104" s="23">
        <v>0</v>
      </c>
      <c r="BF104" s="23">
        <v>1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f t="shared" si="36"/>
        <v>7</v>
      </c>
      <c r="BQ104" s="23">
        <f t="shared" si="37"/>
        <v>7</v>
      </c>
      <c r="BR104" s="23">
        <f t="shared" si="38"/>
        <v>0</v>
      </c>
      <c r="BS104" s="23">
        <f t="shared" si="39"/>
        <v>0</v>
      </c>
      <c r="BT104" s="23">
        <f t="shared" si="40"/>
        <v>7</v>
      </c>
      <c r="BU104" s="23">
        <f t="shared" si="41"/>
        <v>0</v>
      </c>
      <c r="BV104" s="23">
        <f t="shared" si="42"/>
        <v>0</v>
      </c>
      <c r="BW104" s="23">
        <f t="shared" si="43"/>
        <v>7</v>
      </c>
      <c r="BX104" s="23">
        <f t="shared" si="44"/>
        <v>0</v>
      </c>
      <c r="BY104" s="23">
        <f t="shared" si="45"/>
        <v>0</v>
      </c>
      <c r="BZ104" s="23">
        <f t="shared" si="46"/>
        <v>7</v>
      </c>
      <c r="CA104" s="23">
        <f t="shared" si="47"/>
        <v>0</v>
      </c>
      <c r="CB104" s="23">
        <f t="shared" si="48"/>
        <v>7</v>
      </c>
      <c r="CC104" s="23">
        <f t="shared" si="49"/>
        <v>0</v>
      </c>
      <c r="CD104" s="23">
        <f t="shared" si="50"/>
        <v>0</v>
      </c>
      <c r="CE104" s="23">
        <f t="shared" si="51"/>
        <v>7</v>
      </c>
      <c r="CF104" s="23">
        <f t="shared" si="52"/>
        <v>0</v>
      </c>
      <c r="CG104" s="23">
        <f t="shared" si="53"/>
        <v>0</v>
      </c>
      <c r="CH104" s="23">
        <f t="shared" si="54"/>
        <v>0</v>
      </c>
      <c r="CI104" s="23">
        <f t="shared" si="55"/>
        <v>7</v>
      </c>
      <c r="CJ104" s="23">
        <f t="shared" si="56"/>
        <v>0</v>
      </c>
      <c r="CK104" s="23">
        <f t="shared" si="57"/>
        <v>0</v>
      </c>
      <c r="CL104" s="23">
        <f t="shared" si="58"/>
        <v>0</v>
      </c>
      <c r="CM104" s="23">
        <f t="shared" si="59"/>
        <v>7</v>
      </c>
      <c r="CN104" s="23">
        <f t="shared" si="60"/>
        <v>0</v>
      </c>
      <c r="CO104" s="23">
        <f t="shared" si="61"/>
        <v>0</v>
      </c>
      <c r="CP104" s="23">
        <f t="shared" si="62"/>
        <v>0</v>
      </c>
      <c r="CQ104" s="23">
        <f t="shared" si="63"/>
        <v>0</v>
      </c>
      <c r="CR104" s="23">
        <f t="shared" si="64"/>
        <v>0</v>
      </c>
      <c r="CS104" s="23">
        <f t="shared" si="65"/>
        <v>0</v>
      </c>
      <c r="CT104" s="23">
        <f t="shared" si="66"/>
        <v>0</v>
      </c>
      <c r="CU104" s="23">
        <f t="shared" si="67"/>
        <v>0</v>
      </c>
      <c r="CV104" s="23">
        <f t="shared" si="68"/>
        <v>0</v>
      </c>
    </row>
    <row r="105" spans="1:100" ht="13.5">
      <c r="A105" s="15">
        <v>368</v>
      </c>
      <c r="B105" s="27" t="s">
        <v>159</v>
      </c>
      <c r="C105" t="s">
        <v>151</v>
      </c>
      <c r="F105" t="s">
        <v>160</v>
      </c>
      <c r="G105" t="s">
        <v>161</v>
      </c>
      <c r="H105" t="s">
        <v>162</v>
      </c>
      <c r="I105" s="6" t="s">
        <v>147</v>
      </c>
      <c r="J105" s="6">
        <v>0</v>
      </c>
      <c r="L105" s="15">
        <v>3</v>
      </c>
      <c r="N105" s="7">
        <v>46237</v>
      </c>
      <c r="O105" s="7">
        <v>46234</v>
      </c>
      <c r="P105" s="7">
        <v>46237</v>
      </c>
      <c r="S105" s="6" t="s">
        <v>199</v>
      </c>
      <c r="U105" s="6" t="s">
        <v>191</v>
      </c>
      <c r="V105" s="6" t="str">
        <f t="shared" si="35"/>
        <v>26/08</v>
      </c>
      <c r="W105">
        <v>21428</v>
      </c>
      <c r="Y105" s="6" t="s">
        <v>200</v>
      </c>
      <c r="Z105" s="6" t="s">
        <v>193</v>
      </c>
      <c r="AG105">
        <v>3542</v>
      </c>
      <c r="AI105" s="23">
        <v>1</v>
      </c>
      <c r="AJ105" s="23">
        <v>1</v>
      </c>
      <c r="AK105" s="23">
        <v>0</v>
      </c>
      <c r="AL105" s="23">
        <v>0</v>
      </c>
      <c r="AM105" s="23">
        <v>1</v>
      </c>
      <c r="AN105" s="23">
        <v>0</v>
      </c>
      <c r="AO105" s="23">
        <v>0</v>
      </c>
      <c r="AP105" s="23">
        <v>0</v>
      </c>
      <c r="AQ105" s="23">
        <v>1</v>
      </c>
      <c r="AR105" s="23">
        <v>0</v>
      </c>
      <c r="AS105" s="23">
        <v>1</v>
      </c>
      <c r="AT105" s="23">
        <v>0</v>
      </c>
      <c r="AU105" s="23">
        <v>0</v>
      </c>
      <c r="AV105" s="23">
        <v>0</v>
      </c>
      <c r="AW105" s="23">
        <v>1</v>
      </c>
      <c r="AX105" s="23">
        <v>0</v>
      </c>
      <c r="AY105" s="23">
        <v>0</v>
      </c>
      <c r="AZ105" s="23">
        <v>0</v>
      </c>
      <c r="BA105" s="23">
        <v>1</v>
      </c>
      <c r="BB105" s="23">
        <v>0</v>
      </c>
      <c r="BC105" s="23">
        <v>0</v>
      </c>
      <c r="BD105" s="23">
        <v>0</v>
      </c>
      <c r="BE105" s="23">
        <v>1</v>
      </c>
      <c r="BF105" s="23">
        <v>1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f t="shared" si="36"/>
        <v>3</v>
      </c>
      <c r="BQ105" s="23">
        <f t="shared" si="37"/>
        <v>3</v>
      </c>
      <c r="BR105" s="23">
        <f t="shared" si="38"/>
        <v>0</v>
      </c>
      <c r="BS105" s="23">
        <f t="shared" si="39"/>
        <v>0</v>
      </c>
      <c r="BT105" s="23">
        <f t="shared" si="40"/>
        <v>3</v>
      </c>
      <c r="BU105" s="23">
        <f t="shared" si="41"/>
        <v>0</v>
      </c>
      <c r="BV105" s="23">
        <f t="shared" si="42"/>
        <v>0</v>
      </c>
      <c r="BW105" s="23">
        <f t="shared" si="43"/>
        <v>0</v>
      </c>
      <c r="BX105" s="23">
        <f t="shared" si="44"/>
        <v>3</v>
      </c>
      <c r="BY105" s="23">
        <f t="shared" si="45"/>
        <v>0</v>
      </c>
      <c r="BZ105" s="23">
        <f t="shared" si="46"/>
        <v>3</v>
      </c>
      <c r="CA105" s="23">
        <f t="shared" si="47"/>
        <v>0</v>
      </c>
      <c r="CB105" s="23">
        <f t="shared" si="48"/>
        <v>0</v>
      </c>
      <c r="CC105" s="23">
        <f t="shared" si="49"/>
        <v>0</v>
      </c>
      <c r="CD105" s="23">
        <f t="shared" si="50"/>
        <v>3</v>
      </c>
      <c r="CE105" s="23">
        <f t="shared" si="51"/>
        <v>0</v>
      </c>
      <c r="CF105" s="23">
        <f t="shared" si="52"/>
        <v>0</v>
      </c>
      <c r="CG105" s="23">
        <f t="shared" si="53"/>
        <v>0</v>
      </c>
      <c r="CH105" s="23">
        <f t="shared" si="54"/>
        <v>3</v>
      </c>
      <c r="CI105" s="23">
        <f t="shared" si="55"/>
        <v>0</v>
      </c>
      <c r="CJ105" s="23">
        <f t="shared" si="56"/>
        <v>0</v>
      </c>
      <c r="CK105" s="23">
        <f t="shared" si="57"/>
        <v>0</v>
      </c>
      <c r="CL105" s="23">
        <f t="shared" si="58"/>
        <v>3</v>
      </c>
      <c r="CM105" s="23">
        <f t="shared" si="59"/>
        <v>3</v>
      </c>
      <c r="CN105" s="23">
        <f t="shared" si="60"/>
        <v>0</v>
      </c>
      <c r="CO105" s="23">
        <f t="shared" si="61"/>
        <v>0</v>
      </c>
      <c r="CP105" s="23">
        <f t="shared" si="62"/>
        <v>0</v>
      </c>
      <c r="CQ105" s="23">
        <f t="shared" si="63"/>
        <v>0</v>
      </c>
      <c r="CR105" s="23">
        <f t="shared" si="64"/>
        <v>0</v>
      </c>
      <c r="CS105" s="23">
        <f t="shared" si="65"/>
        <v>0</v>
      </c>
      <c r="CT105" s="23">
        <f t="shared" si="66"/>
        <v>0</v>
      </c>
      <c r="CU105" s="23">
        <f t="shared" si="67"/>
        <v>0</v>
      </c>
      <c r="CV105" s="23">
        <f t="shared" si="68"/>
        <v>0</v>
      </c>
    </row>
    <row r="106" spans="1:100" ht="13.5">
      <c r="A106" s="15">
        <v>367</v>
      </c>
      <c r="B106" s="27" t="s">
        <v>155</v>
      </c>
      <c r="C106" t="s">
        <v>151</v>
      </c>
      <c r="F106" t="s">
        <v>156</v>
      </c>
      <c r="G106" t="s">
        <v>157</v>
      </c>
      <c r="H106" t="s">
        <v>158</v>
      </c>
      <c r="I106" s="6" t="s">
        <v>147</v>
      </c>
      <c r="J106" s="6">
        <v>0</v>
      </c>
      <c r="L106" s="15">
        <v>2</v>
      </c>
      <c r="N106" s="7">
        <v>46237</v>
      </c>
      <c r="O106" s="7">
        <v>46234</v>
      </c>
      <c r="P106" s="7">
        <v>46237</v>
      </c>
      <c r="S106" s="6" t="s">
        <v>199</v>
      </c>
      <c r="U106" s="6" t="s">
        <v>191</v>
      </c>
      <c r="V106" s="6" t="str">
        <f t="shared" si="35"/>
        <v>26/08</v>
      </c>
      <c r="W106">
        <v>21429</v>
      </c>
      <c r="Y106" s="6" t="s">
        <v>200</v>
      </c>
      <c r="Z106" s="6" t="s">
        <v>193</v>
      </c>
      <c r="AG106">
        <v>3543</v>
      </c>
      <c r="AI106" s="23">
        <v>1</v>
      </c>
      <c r="AJ106" s="23">
        <v>1</v>
      </c>
      <c r="AK106" s="23">
        <v>0</v>
      </c>
      <c r="AL106" s="23">
        <v>0</v>
      </c>
      <c r="AM106" s="23">
        <v>1</v>
      </c>
      <c r="AN106" s="23">
        <v>0</v>
      </c>
      <c r="AO106" s="23">
        <v>0</v>
      </c>
      <c r="AP106" s="23">
        <v>0</v>
      </c>
      <c r="AQ106" s="23">
        <v>1</v>
      </c>
      <c r="AR106" s="23">
        <v>0</v>
      </c>
      <c r="AS106" s="23">
        <v>1</v>
      </c>
      <c r="AT106" s="23">
        <v>0</v>
      </c>
      <c r="AU106" s="23">
        <v>0</v>
      </c>
      <c r="AV106" s="23">
        <v>0</v>
      </c>
      <c r="AW106" s="23">
        <v>1</v>
      </c>
      <c r="AX106" s="23">
        <v>0</v>
      </c>
      <c r="AY106" s="23">
        <v>0</v>
      </c>
      <c r="AZ106" s="23">
        <v>0</v>
      </c>
      <c r="BA106" s="23">
        <v>1</v>
      </c>
      <c r="BB106" s="23">
        <v>0</v>
      </c>
      <c r="BC106" s="23">
        <v>0</v>
      </c>
      <c r="BD106" s="23">
        <v>0</v>
      </c>
      <c r="BE106" s="23">
        <v>1</v>
      </c>
      <c r="BF106" s="23">
        <v>1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f t="shared" si="36"/>
        <v>2</v>
      </c>
      <c r="BQ106" s="23">
        <f t="shared" si="37"/>
        <v>2</v>
      </c>
      <c r="BR106" s="23">
        <f t="shared" si="38"/>
        <v>0</v>
      </c>
      <c r="BS106" s="23">
        <f t="shared" si="39"/>
        <v>0</v>
      </c>
      <c r="BT106" s="23">
        <f t="shared" si="40"/>
        <v>2</v>
      </c>
      <c r="BU106" s="23">
        <f t="shared" si="41"/>
        <v>0</v>
      </c>
      <c r="BV106" s="23">
        <f t="shared" si="42"/>
        <v>0</v>
      </c>
      <c r="BW106" s="23">
        <f t="shared" si="43"/>
        <v>0</v>
      </c>
      <c r="BX106" s="23">
        <f t="shared" si="44"/>
        <v>2</v>
      </c>
      <c r="BY106" s="23">
        <f t="shared" si="45"/>
        <v>0</v>
      </c>
      <c r="BZ106" s="23">
        <f t="shared" si="46"/>
        <v>2</v>
      </c>
      <c r="CA106" s="23">
        <f t="shared" si="47"/>
        <v>0</v>
      </c>
      <c r="CB106" s="23">
        <f t="shared" si="48"/>
        <v>0</v>
      </c>
      <c r="CC106" s="23">
        <f t="shared" si="49"/>
        <v>0</v>
      </c>
      <c r="CD106" s="23">
        <f t="shared" si="50"/>
        <v>2</v>
      </c>
      <c r="CE106" s="23">
        <f t="shared" si="51"/>
        <v>0</v>
      </c>
      <c r="CF106" s="23">
        <f t="shared" si="52"/>
        <v>0</v>
      </c>
      <c r="CG106" s="23">
        <f t="shared" si="53"/>
        <v>0</v>
      </c>
      <c r="CH106" s="23">
        <f t="shared" si="54"/>
        <v>2</v>
      </c>
      <c r="CI106" s="23">
        <f t="shared" si="55"/>
        <v>0</v>
      </c>
      <c r="CJ106" s="23">
        <f t="shared" si="56"/>
        <v>0</v>
      </c>
      <c r="CK106" s="23">
        <f t="shared" si="57"/>
        <v>0</v>
      </c>
      <c r="CL106" s="23">
        <f t="shared" si="58"/>
        <v>2</v>
      </c>
      <c r="CM106" s="23">
        <f t="shared" si="59"/>
        <v>2</v>
      </c>
      <c r="CN106" s="23">
        <f t="shared" si="60"/>
        <v>0</v>
      </c>
      <c r="CO106" s="23">
        <f t="shared" si="61"/>
        <v>0</v>
      </c>
      <c r="CP106" s="23">
        <f t="shared" si="62"/>
        <v>0</v>
      </c>
      <c r="CQ106" s="23">
        <f t="shared" si="63"/>
        <v>0</v>
      </c>
      <c r="CR106" s="23">
        <f t="shared" si="64"/>
        <v>0</v>
      </c>
      <c r="CS106" s="23">
        <f t="shared" si="65"/>
        <v>0</v>
      </c>
      <c r="CT106" s="23">
        <f t="shared" si="66"/>
        <v>0</v>
      </c>
      <c r="CU106" s="23">
        <f t="shared" si="67"/>
        <v>0</v>
      </c>
      <c r="CV106" s="23">
        <f t="shared" si="68"/>
        <v>0</v>
      </c>
    </row>
    <row r="107" spans="1:100" ht="13.5">
      <c r="A107" s="15">
        <v>366</v>
      </c>
      <c r="B107" s="27" t="s">
        <v>150</v>
      </c>
      <c r="C107" t="s">
        <v>151</v>
      </c>
      <c r="F107" t="s">
        <v>152</v>
      </c>
      <c r="G107" t="s">
        <v>153</v>
      </c>
      <c r="H107" t="s">
        <v>154</v>
      </c>
      <c r="I107" s="6" t="s">
        <v>147</v>
      </c>
      <c r="J107" s="6">
        <v>0</v>
      </c>
      <c r="L107" s="15">
        <v>1</v>
      </c>
      <c r="N107" s="7">
        <v>46237</v>
      </c>
      <c r="O107" s="7">
        <v>46234</v>
      </c>
      <c r="P107" s="7">
        <v>46237</v>
      </c>
      <c r="S107" s="6" t="s">
        <v>199</v>
      </c>
      <c r="U107" s="6" t="s">
        <v>191</v>
      </c>
      <c r="V107" s="6" t="str">
        <f t="shared" si="35"/>
        <v>26/08</v>
      </c>
      <c r="W107">
        <v>21430</v>
      </c>
      <c r="Y107" s="6" t="s">
        <v>200</v>
      </c>
      <c r="Z107" s="6" t="s">
        <v>193</v>
      </c>
      <c r="AG107">
        <v>3544</v>
      </c>
      <c r="AI107" s="23">
        <v>1</v>
      </c>
      <c r="AJ107" s="23">
        <v>1</v>
      </c>
      <c r="AK107" s="23">
        <v>0</v>
      </c>
      <c r="AL107" s="23">
        <v>0</v>
      </c>
      <c r="AM107" s="23">
        <v>1</v>
      </c>
      <c r="AN107" s="23">
        <v>0</v>
      </c>
      <c r="AO107" s="23">
        <v>0</v>
      </c>
      <c r="AP107" s="23">
        <v>0</v>
      </c>
      <c r="AQ107" s="23">
        <v>1</v>
      </c>
      <c r="AR107" s="23">
        <v>0</v>
      </c>
      <c r="AS107" s="23">
        <v>1</v>
      </c>
      <c r="AT107" s="23">
        <v>0</v>
      </c>
      <c r="AU107" s="23">
        <v>0</v>
      </c>
      <c r="AV107" s="23">
        <v>0</v>
      </c>
      <c r="AW107" s="23">
        <v>1</v>
      </c>
      <c r="AX107" s="23">
        <v>0</v>
      </c>
      <c r="AY107" s="23">
        <v>0</v>
      </c>
      <c r="AZ107" s="23">
        <v>0</v>
      </c>
      <c r="BA107" s="23">
        <v>1</v>
      </c>
      <c r="BB107" s="23">
        <v>0</v>
      </c>
      <c r="BC107" s="23">
        <v>0</v>
      </c>
      <c r="BD107" s="23">
        <v>0</v>
      </c>
      <c r="BE107" s="23">
        <v>1</v>
      </c>
      <c r="BF107" s="23">
        <v>1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f t="shared" si="36"/>
        <v>1</v>
      </c>
      <c r="BQ107" s="23">
        <f t="shared" si="37"/>
        <v>1</v>
      </c>
      <c r="BR107" s="23">
        <f t="shared" si="38"/>
        <v>0</v>
      </c>
      <c r="BS107" s="23">
        <f t="shared" si="39"/>
        <v>0</v>
      </c>
      <c r="BT107" s="23">
        <f t="shared" si="40"/>
        <v>1</v>
      </c>
      <c r="BU107" s="23">
        <f t="shared" si="41"/>
        <v>0</v>
      </c>
      <c r="BV107" s="23">
        <f t="shared" si="42"/>
        <v>0</v>
      </c>
      <c r="BW107" s="23">
        <f t="shared" si="43"/>
        <v>0</v>
      </c>
      <c r="BX107" s="23">
        <f t="shared" si="44"/>
        <v>1</v>
      </c>
      <c r="BY107" s="23">
        <f t="shared" si="45"/>
        <v>0</v>
      </c>
      <c r="BZ107" s="23">
        <f t="shared" si="46"/>
        <v>1</v>
      </c>
      <c r="CA107" s="23">
        <f t="shared" si="47"/>
        <v>0</v>
      </c>
      <c r="CB107" s="23">
        <f t="shared" si="48"/>
        <v>0</v>
      </c>
      <c r="CC107" s="23">
        <f t="shared" si="49"/>
        <v>0</v>
      </c>
      <c r="CD107" s="23">
        <f t="shared" si="50"/>
        <v>1</v>
      </c>
      <c r="CE107" s="23">
        <f t="shared" si="51"/>
        <v>0</v>
      </c>
      <c r="CF107" s="23">
        <f t="shared" si="52"/>
        <v>0</v>
      </c>
      <c r="CG107" s="23">
        <f t="shared" si="53"/>
        <v>0</v>
      </c>
      <c r="CH107" s="23">
        <f t="shared" si="54"/>
        <v>1</v>
      </c>
      <c r="CI107" s="23">
        <f t="shared" si="55"/>
        <v>0</v>
      </c>
      <c r="CJ107" s="23">
        <f t="shared" si="56"/>
        <v>0</v>
      </c>
      <c r="CK107" s="23">
        <f t="shared" si="57"/>
        <v>0</v>
      </c>
      <c r="CL107" s="23">
        <f t="shared" si="58"/>
        <v>1</v>
      </c>
      <c r="CM107" s="23">
        <f t="shared" si="59"/>
        <v>1</v>
      </c>
      <c r="CN107" s="23">
        <f t="shared" si="60"/>
        <v>0</v>
      </c>
      <c r="CO107" s="23">
        <f t="shared" si="61"/>
        <v>0</v>
      </c>
      <c r="CP107" s="23">
        <f t="shared" si="62"/>
        <v>0</v>
      </c>
      <c r="CQ107" s="23">
        <f t="shared" si="63"/>
        <v>0</v>
      </c>
      <c r="CR107" s="23">
        <f t="shared" si="64"/>
        <v>0</v>
      </c>
      <c r="CS107" s="23">
        <f t="shared" si="65"/>
        <v>0</v>
      </c>
      <c r="CT107" s="23">
        <f t="shared" si="66"/>
        <v>0</v>
      </c>
      <c r="CU107" s="23">
        <f t="shared" si="67"/>
        <v>0</v>
      </c>
      <c r="CV107" s="23">
        <f t="shared" si="68"/>
        <v>0</v>
      </c>
    </row>
    <row r="108" spans="1:100" ht="13.5">
      <c r="A108" s="15">
        <v>365</v>
      </c>
      <c r="B108" s="27" t="s">
        <v>429</v>
      </c>
      <c r="C108" t="s">
        <v>151</v>
      </c>
      <c r="F108" t="s">
        <v>233</v>
      </c>
      <c r="G108" t="s">
        <v>234</v>
      </c>
      <c r="H108" t="s">
        <v>235</v>
      </c>
      <c r="I108" s="6" t="s">
        <v>147</v>
      </c>
      <c r="J108" s="6">
        <v>0</v>
      </c>
      <c r="L108" s="15">
        <v>2</v>
      </c>
      <c r="N108" s="7">
        <v>46237</v>
      </c>
      <c r="O108" s="7">
        <v>46234</v>
      </c>
      <c r="P108" s="7">
        <v>46237</v>
      </c>
      <c r="S108" s="6" t="s">
        <v>199</v>
      </c>
      <c r="U108" s="6" t="s">
        <v>191</v>
      </c>
      <c r="V108" s="6" t="str">
        <f t="shared" si="35"/>
        <v>26/08</v>
      </c>
      <c r="W108">
        <v>21431</v>
      </c>
      <c r="Y108" s="6" t="s">
        <v>200</v>
      </c>
      <c r="Z108" s="6" t="s">
        <v>193</v>
      </c>
      <c r="AG108">
        <v>3545</v>
      </c>
      <c r="AI108" s="23">
        <v>1</v>
      </c>
      <c r="AJ108" s="23">
        <v>1</v>
      </c>
      <c r="AK108" s="23">
        <v>0</v>
      </c>
      <c r="AL108" s="23">
        <v>0</v>
      </c>
      <c r="AM108" s="23">
        <v>1</v>
      </c>
      <c r="AN108" s="23">
        <v>0</v>
      </c>
      <c r="AO108" s="23">
        <v>0</v>
      </c>
      <c r="AP108" s="23">
        <v>0</v>
      </c>
      <c r="AQ108" s="23">
        <v>1</v>
      </c>
      <c r="AR108" s="23">
        <v>0</v>
      </c>
      <c r="AS108" s="23">
        <v>1</v>
      </c>
      <c r="AT108" s="23">
        <v>0</v>
      </c>
      <c r="AU108" s="23">
        <v>0</v>
      </c>
      <c r="AV108" s="23">
        <v>0</v>
      </c>
      <c r="AW108" s="23">
        <v>1</v>
      </c>
      <c r="AX108" s="23">
        <v>0</v>
      </c>
      <c r="AY108" s="23">
        <v>0</v>
      </c>
      <c r="AZ108" s="23">
        <v>0</v>
      </c>
      <c r="BA108" s="23">
        <v>1</v>
      </c>
      <c r="BB108" s="23">
        <v>0</v>
      </c>
      <c r="BC108" s="23">
        <v>0</v>
      </c>
      <c r="BD108" s="23">
        <v>0</v>
      </c>
      <c r="BE108" s="23">
        <v>1</v>
      </c>
      <c r="BF108" s="23">
        <v>1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f t="shared" si="36"/>
        <v>2</v>
      </c>
      <c r="BQ108" s="23">
        <f t="shared" si="37"/>
        <v>2</v>
      </c>
      <c r="BR108" s="23">
        <f t="shared" si="38"/>
        <v>0</v>
      </c>
      <c r="BS108" s="23">
        <f t="shared" si="39"/>
        <v>0</v>
      </c>
      <c r="BT108" s="23">
        <f t="shared" si="40"/>
        <v>2</v>
      </c>
      <c r="BU108" s="23">
        <f t="shared" si="41"/>
        <v>0</v>
      </c>
      <c r="BV108" s="23">
        <f t="shared" si="42"/>
        <v>0</v>
      </c>
      <c r="BW108" s="23">
        <f t="shared" si="43"/>
        <v>0</v>
      </c>
      <c r="BX108" s="23">
        <f t="shared" si="44"/>
        <v>2</v>
      </c>
      <c r="BY108" s="23">
        <f t="shared" si="45"/>
        <v>0</v>
      </c>
      <c r="BZ108" s="23">
        <f t="shared" si="46"/>
        <v>2</v>
      </c>
      <c r="CA108" s="23">
        <f t="shared" si="47"/>
        <v>0</v>
      </c>
      <c r="CB108" s="23">
        <f t="shared" si="48"/>
        <v>0</v>
      </c>
      <c r="CC108" s="23">
        <f t="shared" si="49"/>
        <v>0</v>
      </c>
      <c r="CD108" s="23">
        <f t="shared" si="50"/>
        <v>2</v>
      </c>
      <c r="CE108" s="23">
        <f t="shared" si="51"/>
        <v>0</v>
      </c>
      <c r="CF108" s="23">
        <f t="shared" si="52"/>
        <v>0</v>
      </c>
      <c r="CG108" s="23">
        <f t="shared" si="53"/>
        <v>0</v>
      </c>
      <c r="CH108" s="23">
        <f t="shared" si="54"/>
        <v>2</v>
      </c>
      <c r="CI108" s="23">
        <f t="shared" si="55"/>
        <v>0</v>
      </c>
      <c r="CJ108" s="23">
        <f t="shared" si="56"/>
        <v>0</v>
      </c>
      <c r="CK108" s="23">
        <f t="shared" si="57"/>
        <v>0</v>
      </c>
      <c r="CL108" s="23">
        <f t="shared" si="58"/>
        <v>2</v>
      </c>
      <c r="CM108" s="23">
        <f t="shared" si="59"/>
        <v>2</v>
      </c>
      <c r="CN108" s="23">
        <f t="shared" si="60"/>
        <v>0</v>
      </c>
      <c r="CO108" s="23">
        <f t="shared" si="61"/>
        <v>0</v>
      </c>
      <c r="CP108" s="23">
        <f t="shared" si="62"/>
        <v>0</v>
      </c>
      <c r="CQ108" s="23">
        <f t="shared" si="63"/>
        <v>0</v>
      </c>
      <c r="CR108" s="23">
        <f t="shared" si="64"/>
        <v>0</v>
      </c>
      <c r="CS108" s="23">
        <f t="shared" si="65"/>
        <v>0</v>
      </c>
      <c r="CT108" s="23">
        <f t="shared" si="66"/>
        <v>0</v>
      </c>
      <c r="CU108" s="23">
        <f t="shared" si="67"/>
        <v>0</v>
      </c>
      <c r="CV108" s="23">
        <f t="shared" si="68"/>
        <v>0</v>
      </c>
    </row>
    <row r="109" spans="1:100" ht="13.5">
      <c r="A109" s="15">
        <v>370</v>
      </c>
      <c r="B109" s="27" t="s">
        <v>430</v>
      </c>
      <c r="C109" t="s">
        <v>279</v>
      </c>
      <c r="D109" t="s">
        <v>431</v>
      </c>
      <c r="F109" t="s">
        <v>281</v>
      </c>
      <c r="G109" t="s">
        <v>282</v>
      </c>
      <c r="H109" t="s">
        <v>283</v>
      </c>
      <c r="I109" s="6" t="s">
        <v>147</v>
      </c>
      <c r="J109" s="6">
        <v>0</v>
      </c>
      <c r="L109" s="15">
        <v>1</v>
      </c>
      <c r="N109" s="7">
        <v>46237</v>
      </c>
      <c r="O109" s="7">
        <v>46234</v>
      </c>
      <c r="P109" s="7">
        <v>46237</v>
      </c>
      <c r="S109" s="6" t="s">
        <v>285</v>
      </c>
      <c r="U109" s="6" t="s">
        <v>191</v>
      </c>
      <c r="V109" s="6" t="str">
        <f t="shared" si="35"/>
        <v>26/08</v>
      </c>
      <c r="W109">
        <v>21432</v>
      </c>
      <c r="Y109" s="6" t="s">
        <v>286</v>
      </c>
      <c r="Z109" s="6" t="s">
        <v>193</v>
      </c>
      <c r="AE109">
        <v>1278</v>
      </c>
      <c r="AI109" s="23">
        <v>1</v>
      </c>
      <c r="AJ109" s="23">
        <v>1</v>
      </c>
      <c r="AK109" s="23">
        <v>0</v>
      </c>
      <c r="AL109" s="23">
        <v>0</v>
      </c>
      <c r="AM109" s="23">
        <v>1</v>
      </c>
      <c r="AN109" s="23">
        <v>0</v>
      </c>
      <c r="AO109" s="23">
        <v>0</v>
      </c>
      <c r="AP109" s="23">
        <v>1</v>
      </c>
      <c r="AQ109" s="23">
        <v>0</v>
      </c>
      <c r="AR109" s="23">
        <v>0</v>
      </c>
      <c r="AS109" s="23">
        <v>1</v>
      </c>
      <c r="AT109" s="23">
        <v>0</v>
      </c>
      <c r="AU109" s="23">
        <v>1</v>
      </c>
      <c r="AV109" s="23">
        <v>0</v>
      </c>
      <c r="AW109" s="23">
        <v>0</v>
      </c>
      <c r="AX109" s="23">
        <v>1</v>
      </c>
      <c r="AY109" s="23">
        <v>0</v>
      </c>
      <c r="AZ109" s="23">
        <v>0</v>
      </c>
      <c r="BA109" s="23">
        <v>0</v>
      </c>
      <c r="BB109" s="23">
        <v>1</v>
      </c>
      <c r="BC109" s="23">
        <v>0</v>
      </c>
      <c r="BD109" s="23">
        <v>0</v>
      </c>
      <c r="BE109" s="23">
        <v>0</v>
      </c>
      <c r="BF109" s="23">
        <v>1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f t="shared" si="36"/>
        <v>1</v>
      </c>
      <c r="BQ109" s="23">
        <f t="shared" si="37"/>
        <v>1</v>
      </c>
      <c r="BR109" s="23">
        <f t="shared" si="38"/>
        <v>0</v>
      </c>
      <c r="BS109" s="23">
        <f t="shared" si="39"/>
        <v>0</v>
      </c>
      <c r="BT109" s="23">
        <f t="shared" si="40"/>
        <v>1</v>
      </c>
      <c r="BU109" s="23">
        <f t="shared" si="41"/>
        <v>0</v>
      </c>
      <c r="BV109" s="23">
        <f t="shared" si="42"/>
        <v>0</v>
      </c>
      <c r="BW109" s="23">
        <f t="shared" si="43"/>
        <v>1</v>
      </c>
      <c r="BX109" s="23">
        <f t="shared" si="44"/>
        <v>0</v>
      </c>
      <c r="BY109" s="23">
        <f t="shared" si="45"/>
        <v>0</v>
      </c>
      <c r="BZ109" s="23">
        <f t="shared" si="46"/>
        <v>1</v>
      </c>
      <c r="CA109" s="23">
        <f t="shared" si="47"/>
        <v>0</v>
      </c>
      <c r="CB109" s="23">
        <f t="shared" si="48"/>
        <v>1</v>
      </c>
      <c r="CC109" s="23">
        <f t="shared" si="49"/>
        <v>0</v>
      </c>
      <c r="CD109" s="23">
        <f t="shared" si="50"/>
        <v>0</v>
      </c>
      <c r="CE109" s="23">
        <f t="shared" si="51"/>
        <v>1</v>
      </c>
      <c r="CF109" s="23">
        <f t="shared" si="52"/>
        <v>0</v>
      </c>
      <c r="CG109" s="23">
        <f t="shared" si="53"/>
        <v>0</v>
      </c>
      <c r="CH109" s="23">
        <f t="shared" si="54"/>
        <v>0</v>
      </c>
      <c r="CI109" s="23">
        <f t="shared" si="55"/>
        <v>1</v>
      </c>
      <c r="CJ109" s="23">
        <f t="shared" si="56"/>
        <v>0</v>
      </c>
      <c r="CK109" s="23">
        <f t="shared" si="57"/>
        <v>0</v>
      </c>
      <c r="CL109" s="23">
        <f t="shared" si="58"/>
        <v>0</v>
      </c>
      <c r="CM109" s="23">
        <f t="shared" si="59"/>
        <v>1</v>
      </c>
      <c r="CN109" s="23">
        <f t="shared" si="60"/>
        <v>0</v>
      </c>
      <c r="CO109" s="23">
        <f t="shared" si="61"/>
        <v>0</v>
      </c>
      <c r="CP109" s="23">
        <f t="shared" si="62"/>
        <v>0</v>
      </c>
      <c r="CQ109" s="23">
        <f t="shared" si="63"/>
        <v>0</v>
      </c>
      <c r="CR109" s="23">
        <f t="shared" si="64"/>
        <v>0</v>
      </c>
      <c r="CS109" s="23">
        <f t="shared" si="65"/>
        <v>0</v>
      </c>
      <c r="CT109" s="23">
        <f t="shared" si="66"/>
        <v>0</v>
      </c>
      <c r="CU109" s="23">
        <f t="shared" si="67"/>
        <v>0</v>
      </c>
      <c r="CV109" s="23">
        <f t="shared" si="68"/>
        <v>0</v>
      </c>
    </row>
    <row r="110" spans="1:100" ht="13.5">
      <c r="A110" s="15">
        <v>397</v>
      </c>
      <c r="B110" s="27" t="s">
        <v>163</v>
      </c>
      <c r="C110" t="s">
        <v>164</v>
      </c>
      <c r="F110" t="s">
        <v>165</v>
      </c>
      <c r="G110" t="s">
        <v>166</v>
      </c>
      <c r="H110" t="s">
        <v>167</v>
      </c>
      <c r="I110" s="6" t="s">
        <v>147</v>
      </c>
      <c r="J110" s="6">
        <v>0</v>
      </c>
      <c r="L110" s="15">
        <v>6</v>
      </c>
      <c r="N110" s="7">
        <v>46237</v>
      </c>
      <c r="O110" s="7">
        <v>46234</v>
      </c>
      <c r="P110" s="7">
        <v>46237</v>
      </c>
      <c r="S110" s="6" t="s">
        <v>190</v>
      </c>
      <c r="U110" s="6" t="s">
        <v>191</v>
      </c>
      <c r="V110" s="6" t="str">
        <f t="shared" si="35"/>
        <v>26/08</v>
      </c>
      <c r="W110">
        <v>21433</v>
      </c>
      <c r="Y110" s="6" t="s">
        <v>192</v>
      </c>
      <c r="Z110" s="6" t="s">
        <v>193</v>
      </c>
      <c r="AD110">
        <v>8236</v>
      </c>
      <c r="AI110" s="23">
        <v>1</v>
      </c>
      <c r="AJ110" s="23">
        <v>1</v>
      </c>
      <c r="AK110" s="23">
        <v>0</v>
      </c>
      <c r="AL110" s="23">
        <v>0</v>
      </c>
      <c r="AM110" s="23">
        <v>1</v>
      </c>
      <c r="AN110" s="23">
        <v>0</v>
      </c>
      <c r="AO110" s="23">
        <v>1</v>
      </c>
      <c r="AP110" s="23">
        <v>0</v>
      </c>
      <c r="AQ110" s="23">
        <v>0</v>
      </c>
      <c r="AR110" s="23">
        <v>0</v>
      </c>
      <c r="AS110" s="23">
        <v>1</v>
      </c>
      <c r="AT110" s="23">
        <v>0</v>
      </c>
      <c r="AU110" s="23">
        <v>1</v>
      </c>
      <c r="AV110" s="23">
        <v>0</v>
      </c>
      <c r="AW110" s="23">
        <v>0</v>
      </c>
      <c r="AX110" s="23">
        <v>1</v>
      </c>
      <c r="AY110" s="23">
        <v>0</v>
      </c>
      <c r="AZ110" s="23">
        <v>0</v>
      </c>
      <c r="BA110" s="23">
        <v>0</v>
      </c>
      <c r="BB110" s="23">
        <v>1</v>
      </c>
      <c r="BC110" s="23">
        <v>0</v>
      </c>
      <c r="BD110" s="23">
        <v>0</v>
      </c>
      <c r="BE110" s="23">
        <v>0</v>
      </c>
      <c r="BF110" s="23">
        <v>1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0</v>
      </c>
      <c r="BO110" s="23">
        <v>0</v>
      </c>
      <c r="BP110" s="23">
        <f t="shared" si="36"/>
        <v>6</v>
      </c>
      <c r="BQ110" s="23">
        <f t="shared" si="37"/>
        <v>6</v>
      </c>
      <c r="BR110" s="23">
        <f t="shared" si="38"/>
        <v>0</v>
      </c>
      <c r="BS110" s="23">
        <f t="shared" si="39"/>
        <v>0</v>
      </c>
      <c r="BT110" s="23">
        <f t="shared" si="40"/>
        <v>6</v>
      </c>
      <c r="BU110" s="23">
        <f t="shared" si="41"/>
        <v>0</v>
      </c>
      <c r="BV110" s="23">
        <f t="shared" si="42"/>
        <v>6</v>
      </c>
      <c r="BW110" s="23">
        <f t="shared" si="43"/>
        <v>0</v>
      </c>
      <c r="BX110" s="23">
        <f t="shared" si="44"/>
        <v>0</v>
      </c>
      <c r="BY110" s="23">
        <f t="shared" si="45"/>
        <v>0</v>
      </c>
      <c r="BZ110" s="23">
        <f t="shared" si="46"/>
        <v>6</v>
      </c>
      <c r="CA110" s="23">
        <f t="shared" si="47"/>
        <v>0</v>
      </c>
      <c r="CB110" s="23">
        <f t="shared" si="48"/>
        <v>6</v>
      </c>
      <c r="CC110" s="23">
        <f t="shared" si="49"/>
        <v>0</v>
      </c>
      <c r="CD110" s="23">
        <f t="shared" si="50"/>
        <v>0</v>
      </c>
      <c r="CE110" s="23">
        <f t="shared" si="51"/>
        <v>6</v>
      </c>
      <c r="CF110" s="23">
        <f t="shared" si="52"/>
        <v>0</v>
      </c>
      <c r="CG110" s="23">
        <f t="shared" si="53"/>
        <v>0</v>
      </c>
      <c r="CH110" s="23">
        <f t="shared" si="54"/>
        <v>0</v>
      </c>
      <c r="CI110" s="23">
        <f t="shared" si="55"/>
        <v>6</v>
      </c>
      <c r="CJ110" s="23">
        <f t="shared" si="56"/>
        <v>0</v>
      </c>
      <c r="CK110" s="23">
        <f t="shared" si="57"/>
        <v>0</v>
      </c>
      <c r="CL110" s="23">
        <f t="shared" si="58"/>
        <v>0</v>
      </c>
      <c r="CM110" s="23">
        <f t="shared" si="59"/>
        <v>6</v>
      </c>
      <c r="CN110" s="23">
        <f t="shared" si="60"/>
        <v>0</v>
      </c>
      <c r="CO110" s="23">
        <f t="shared" si="61"/>
        <v>0</v>
      </c>
      <c r="CP110" s="23">
        <f t="shared" si="62"/>
        <v>0</v>
      </c>
      <c r="CQ110" s="23">
        <f t="shared" si="63"/>
        <v>0</v>
      </c>
      <c r="CR110" s="23">
        <f t="shared" si="64"/>
        <v>0</v>
      </c>
      <c r="CS110" s="23">
        <f t="shared" si="65"/>
        <v>0</v>
      </c>
      <c r="CT110" s="23">
        <f t="shared" si="66"/>
        <v>0</v>
      </c>
      <c r="CU110" s="23">
        <f t="shared" si="67"/>
        <v>0</v>
      </c>
      <c r="CV110" s="23">
        <f t="shared" si="68"/>
        <v>0</v>
      </c>
    </row>
    <row r="111" spans="1:100" ht="13.5">
      <c r="A111" s="15">
        <v>402</v>
      </c>
      <c r="B111" s="27" t="s">
        <v>436</v>
      </c>
      <c r="C111" t="s">
        <v>279</v>
      </c>
      <c r="E111" t="s">
        <v>285</v>
      </c>
      <c r="F111" t="s">
        <v>133</v>
      </c>
      <c r="G111" t="s">
        <v>285</v>
      </c>
      <c r="H111" t="s">
        <v>368</v>
      </c>
      <c r="I111" s="6" t="s">
        <v>136</v>
      </c>
      <c r="J111" s="6">
        <v>0</v>
      </c>
      <c r="K111" t="s">
        <v>369</v>
      </c>
      <c r="L111" s="15">
        <v>1</v>
      </c>
      <c r="N111" s="7">
        <v>46266</v>
      </c>
      <c r="O111" s="7">
        <v>46265</v>
      </c>
      <c r="P111" s="7">
        <v>46266</v>
      </c>
      <c r="S111" s="6" t="s">
        <v>285</v>
      </c>
      <c r="U111" s="6" t="s">
        <v>191</v>
      </c>
      <c r="V111" s="6" t="str">
        <f t="shared" si="35"/>
        <v>26/09</v>
      </c>
      <c r="W111">
        <v>21434</v>
      </c>
      <c r="Y111" s="6" t="s">
        <v>286</v>
      </c>
      <c r="Z111" s="6" t="s">
        <v>193</v>
      </c>
      <c r="AE111">
        <v>1279</v>
      </c>
      <c r="AI111" s="23">
        <v>1</v>
      </c>
      <c r="AJ111" s="23">
        <v>1</v>
      </c>
      <c r="AK111" s="23">
        <v>0</v>
      </c>
      <c r="AL111" s="23">
        <v>0</v>
      </c>
      <c r="AM111" s="23">
        <v>1</v>
      </c>
      <c r="AN111" s="23">
        <v>0</v>
      </c>
      <c r="AO111" s="23">
        <v>0</v>
      </c>
      <c r="AP111" s="23">
        <v>1</v>
      </c>
      <c r="AQ111" s="23">
        <v>0</v>
      </c>
      <c r="AR111" s="23">
        <v>0</v>
      </c>
      <c r="AS111" s="23">
        <v>1</v>
      </c>
      <c r="AT111" s="23">
        <v>0</v>
      </c>
      <c r="AU111" s="23">
        <v>1</v>
      </c>
      <c r="AV111" s="23">
        <v>0</v>
      </c>
      <c r="AW111" s="23">
        <v>0</v>
      </c>
      <c r="AX111" s="23">
        <v>1</v>
      </c>
      <c r="AY111" s="23">
        <v>0</v>
      </c>
      <c r="AZ111" s="23">
        <v>0</v>
      </c>
      <c r="BA111" s="23">
        <v>0</v>
      </c>
      <c r="BB111" s="23">
        <v>1</v>
      </c>
      <c r="BC111" s="23">
        <v>0</v>
      </c>
      <c r="BD111" s="23">
        <v>0</v>
      </c>
      <c r="BE111" s="23">
        <v>0</v>
      </c>
      <c r="BF111" s="23">
        <v>1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0</v>
      </c>
      <c r="BP111" s="23">
        <f t="shared" si="36"/>
        <v>1</v>
      </c>
      <c r="BQ111" s="23">
        <f t="shared" si="37"/>
        <v>1</v>
      </c>
      <c r="BR111" s="23">
        <f t="shared" si="38"/>
        <v>0</v>
      </c>
      <c r="BS111" s="23">
        <f t="shared" si="39"/>
        <v>0</v>
      </c>
      <c r="BT111" s="23">
        <f t="shared" si="40"/>
        <v>1</v>
      </c>
      <c r="BU111" s="23">
        <f t="shared" si="41"/>
        <v>0</v>
      </c>
      <c r="BV111" s="23">
        <f t="shared" si="42"/>
        <v>0</v>
      </c>
      <c r="BW111" s="23">
        <f t="shared" si="43"/>
        <v>1</v>
      </c>
      <c r="BX111" s="23">
        <f t="shared" si="44"/>
        <v>0</v>
      </c>
      <c r="BY111" s="23">
        <f t="shared" si="45"/>
        <v>0</v>
      </c>
      <c r="BZ111" s="23">
        <f t="shared" si="46"/>
        <v>1</v>
      </c>
      <c r="CA111" s="23">
        <f t="shared" si="47"/>
        <v>0</v>
      </c>
      <c r="CB111" s="23">
        <f t="shared" si="48"/>
        <v>1</v>
      </c>
      <c r="CC111" s="23">
        <f t="shared" si="49"/>
        <v>0</v>
      </c>
      <c r="CD111" s="23">
        <f t="shared" si="50"/>
        <v>0</v>
      </c>
      <c r="CE111" s="23">
        <f t="shared" si="51"/>
        <v>1</v>
      </c>
      <c r="CF111" s="23">
        <f t="shared" si="52"/>
        <v>0</v>
      </c>
      <c r="CG111" s="23">
        <f t="shared" si="53"/>
        <v>0</v>
      </c>
      <c r="CH111" s="23">
        <f t="shared" si="54"/>
        <v>0</v>
      </c>
      <c r="CI111" s="23">
        <f t="shared" si="55"/>
        <v>1</v>
      </c>
      <c r="CJ111" s="23">
        <f t="shared" si="56"/>
        <v>0</v>
      </c>
      <c r="CK111" s="23">
        <f t="shared" si="57"/>
        <v>0</v>
      </c>
      <c r="CL111" s="23">
        <f t="shared" si="58"/>
        <v>0</v>
      </c>
      <c r="CM111" s="23">
        <f t="shared" si="59"/>
        <v>1</v>
      </c>
      <c r="CN111" s="23">
        <f t="shared" si="60"/>
        <v>0</v>
      </c>
      <c r="CO111" s="23">
        <f t="shared" si="61"/>
        <v>0</v>
      </c>
      <c r="CP111" s="23">
        <f t="shared" si="62"/>
        <v>0</v>
      </c>
      <c r="CQ111" s="23">
        <f t="shared" si="63"/>
        <v>0</v>
      </c>
      <c r="CR111" s="23">
        <f t="shared" si="64"/>
        <v>0</v>
      </c>
      <c r="CS111" s="23">
        <f t="shared" si="65"/>
        <v>0</v>
      </c>
      <c r="CT111" s="23">
        <f t="shared" si="66"/>
        <v>0</v>
      </c>
      <c r="CU111" s="23">
        <f t="shared" si="67"/>
        <v>0</v>
      </c>
      <c r="CV111" s="23">
        <f t="shared" si="68"/>
        <v>0</v>
      </c>
    </row>
    <row r="112" spans="1:100" ht="13.5">
      <c r="A112" s="15">
        <v>404</v>
      </c>
      <c r="B112" s="27" t="s">
        <v>437</v>
      </c>
      <c r="C112" t="s">
        <v>259</v>
      </c>
      <c r="E112" t="s">
        <v>260</v>
      </c>
      <c r="F112" t="s">
        <v>133</v>
      </c>
      <c r="G112" t="s">
        <v>260</v>
      </c>
      <c r="H112" t="s">
        <v>261</v>
      </c>
      <c r="I112" s="6" t="s">
        <v>136</v>
      </c>
      <c r="J112" s="6">
        <v>1</v>
      </c>
      <c r="L112" s="15">
        <v>2</v>
      </c>
      <c r="N112" s="7">
        <v>46266</v>
      </c>
      <c r="O112" s="7">
        <v>46265</v>
      </c>
      <c r="P112" s="7">
        <v>46266</v>
      </c>
      <c r="S112" s="6" t="s">
        <v>260</v>
      </c>
      <c r="U112" s="6" t="s">
        <v>191</v>
      </c>
      <c r="V112" s="6" t="str">
        <f t="shared" si="35"/>
        <v>26/09</v>
      </c>
      <c r="W112">
        <v>21435</v>
      </c>
      <c r="Y112" s="6" t="s">
        <v>192</v>
      </c>
      <c r="Z112" s="6" t="s">
        <v>193</v>
      </c>
      <c r="AD112">
        <v>8237</v>
      </c>
      <c r="AI112" s="23">
        <v>1</v>
      </c>
      <c r="AJ112" s="23">
        <v>1</v>
      </c>
      <c r="AK112" s="23">
        <v>0</v>
      </c>
      <c r="AL112" s="23">
        <v>0</v>
      </c>
      <c r="AM112" s="23">
        <v>1</v>
      </c>
      <c r="AN112" s="23">
        <v>0</v>
      </c>
      <c r="AO112" s="23">
        <v>1</v>
      </c>
      <c r="AP112" s="23">
        <v>0</v>
      </c>
      <c r="AQ112" s="23">
        <v>0</v>
      </c>
      <c r="AR112" s="23">
        <v>0</v>
      </c>
      <c r="AS112" s="23">
        <v>0</v>
      </c>
      <c r="AT112" s="23">
        <v>1</v>
      </c>
      <c r="AU112" s="23">
        <v>1</v>
      </c>
      <c r="AV112" s="23">
        <v>0</v>
      </c>
      <c r="AW112" s="23">
        <v>0</v>
      </c>
      <c r="AX112" s="23">
        <v>1</v>
      </c>
      <c r="AY112" s="23">
        <v>0</v>
      </c>
      <c r="AZ112" s="23">
        <v>0</v>
      </c>
      <c r="BA112" s="23">
        <v>0</v>
      </c>
      <c r="BB112" s="23">
        <v>1</v>
      </c>
      <c r="BC112" s="23">
        <v>0</v>
      </c>
      <c r="BD112" s="23">
        <v>0</v>
      </c>
      <c r="BE112" s="23">
        <v>0</v>
      </c>
      <c r="BF112" s="23">
        <v>1</v>
      </c>
      <c r="BG112" s="23">
        <v>0</v>
      </c>
      <c r="BH112" s="23">
        <v>0</v>
      </c>
      <c r="BI112" s="23">
        <v>0</v>
      </c>
      <c r="BJ112" s="23">
        <v>0</v>
      </c>
      <c r="BK112" s="23">
        <v>0</v>
      </c>
      <c r="BL112" s="23">
        <v>0</v>
      </c>
      <c r="BM112" s="23">
        <v>0</v>
      </c>
      <c r="BN112" s="23">
        <v>0</v>
      </c>
      <c r="BO112" s="23">
        <v>0</v>
      </c>
      <c r="BP112" s="23">
        <f t="shared" si="36"/>
        <v>2</v>
      </c>
      <c r="BQ112" s="23">
        <f t="shared" si="37"/>
        <v>2</v>
      </c>
      <c r="BR112" s="23">
        <f t="shared" si="38"/>
        <v>0</v>
      </c>
      <c r="BS112" s="23">
        <f t="shared" si="39"/>
        <v>0</v>
      </c>
      <c r="BT112" s="23">
        <f t="shared" si="40"/>
        <v>2</v>
      </c>
      <c r="BU112" s="23">
        <f t="shared" si="41"/>
        <v>0</v>
      </c>
      <c r="BV112" s="23">
        <f t="shared" si="42"/>
        <v>2</v>
      </c>
      <c r="BW112" s="23">
        <f t="shared" si="43"/>
        <v>0</v>
      </c>
      <c r="BX112" s="23">
        <f t="shared" si="44"/>
        <v>0</v>
      </c>
      <c r="BY112" s="23">
        <f t="shared" si="45"/>
        <v>0</v>
      </c>
      <c r="BZ112" s="23">
        <f t="shared" si="46"/>
        <v>0</v>
      </c>
      <c r="CA112" s="23">
        <f t="shared" si="47"/>
        <v>2</v>
      </c>
      <c r="CB112" s="23">
        <f t="shared" si="48"/>
        <v>2</v>
      </c>
      <c r="CC112" s="23">
        <f t="shared" si="49"/>
        <v>0</v>
      </c>
      <c r="CD112" s="23">
        <f t="shared" si="50"/>
        <v>0</v>
      </c>
      <c r="CE112" s="23">
        <f t="shared" si="51"/>
        <v>2</v>
      </c>
      <c r="CF112" s="23">
        <f t="shared" si="52"/>
        <v>0</v>
      </c>
      <c r="CG112" s="23">
        <f t="shared" si="53"/>
        <v>0</v>
      </c>
      <c r="CH112" s="23">
        <f t="shared" si="54"/>
        <v>0</v>
      </c>
      <c r="CI112" s="23">
        <f t="shared" si="55"/>
        <v>2</v>
      </c>
      <c r="CJ112" s="23">
        <f t="shared" si="56"/>
        <v>0</v>
      </c>
      <c r="CK112" s="23">
        <f t="shared" si="57"/>
        <v>0</v>
      </c>
      <c r="CL112" s="23">
        <f t="shared" si="58"/>
        <v>0</v>
      </c>
      <c r="CM112" s="23">
        <f t="shared" si="59"/>
        <v>2</v>
      </c>
      <c r="CN112" s="23">
        <f t="shared" si="60"/>
        <v>0</v>
      </c>
      <c r="CO112" s="23">
        <f t="shared" si="61"/>
        <v>0</v>
      </c>
      <c r="CP112" s="23">
        <f t="shared" si="62"/>
        <v>0</v>
      </c>
      <c r="CQ112" s="23">
        <f t="shared" si="63"/>
        <v>0</v>
      </c>
      <c r="CR112" s="23">
        <f t="shared" si="64"/>
        <v>0</v>
      </c>
      <c r="CS112" s="23">
        <f t="shared" si="65"/>
        <v>0</v>
      </c>
      <c r="CT112" s="23">
        <f t="shared" si="66"/>
        <v>0</v>
      </c>
      <c r="CU112" s="23">
        <f t="shared" si="67"/>
        <v>0</v>
      </c>
      <c r="CV112" s="23">
        <f t="shared" si="68"/>
        <v>0</v>
      </c>
    </row>
    <row r="113" spans="1:100" ht="13.5">
      <c r="A113" s="15">
        <v>405</v>
      </c>
      <c r="B113" s="27" t="s">
        <v>438</v>
      </c>
      <c r="C113" t="s">
        <v>208</v>
      </c>
      <c r="E113" t="s">
        <v>134</v>
      </c>
      <c r="F113" t="s">
        <v>133</v>
      </c>
      <c r="G113" t="s">
        <v>134</v>
      </c>
      <c r="H113" t="s">
        <v>209</v>
      </c>
      <c r="I113" s="6" t="s">
        <v>136</v>
      </c>
      <c r="J113" s="6">
        <v>1</v>
      </c>
      <c r="L113" s="15">
        <v>8</v>
      </c>
      <c r="N113" s="7">
        <v>46266</v>
      </c>
      <c r="O113" s="7">
        <v>46265</v>
      </c>
      <c r="P113" s="7">
        <v>46266</v>
      </c>
      <c r="S113" s="6" t="s">
        <v>134</v>
      </c>
      <c r="U113" s="6" t="s">
        <v>191</v>
      </c>
      <c r="V113" s="6" t="str">
        <f t="shared" si="35"/>
        <v>26/09</v>
      </c>
      <c r="W113">
        <v>21436</v>
      </c>
      <c r="Y113" s="6" t="s">
        <v>211</v>
      </c>
      <c r="Z113" s="6" t="s">
        <v>212</v>
      </c>
      <c r="AA113">
        <v>3240</v>
      </c>
      <c r="AI113" s="23">
        <v>1</v>
      </c>
      <c r="AJ113" s="23">
        <v>1</v>
      </c>
      <c r="AK113" s="23">
        <v>0</v>
      </c>
      <c r="AL113" s="23">
        <v>0</v>
      </c>
      <c r="AM113" s="23">
        <v>1</v>
      </c>
      <c r="AN113" s="23">
        <v>0</v>
      </c>
      <c r="AO113" s="23">
        <v>1</v>
      </c>
      <c r="AP113" s="23">
        <v>0</v>
      </c>
      <c r="AQ113" s="23">
        <v>0</v>
      </c>
      <c r="AR113" s="23">
        <v>0</v>
      </c>
      <c r="AS113" s="23">
        <v>0</v>
      </c>
      <c r="AT113" s="23">
        <v>1</v>
      </c>
      <c r="AU113" s="23">
        <v>1</v>
      </c>
      <c r="AV113" s="23">
        <v>0</v>
      </c>
      <c r="AW113" s="23">
        <v>0</v>
      </c>
      <c r="AX113" s="23">
        <v>1</v>
      </c>
      <c r="AY113" s="23">
        <v>0</v>
      </c>
      <c r="AZ113" s="23">
        <v>0</v>
      </c>
      <c r="BA113" s="23">
        <v>0</v>
      </c>
      <c r="BB113" s="23">
        <v>1</v>
      </c>
      <c r="BC113" s="23">
        <v>0</v>
      </c>
      <c r="BD113" s="23">
        <v>0</v>
      </c>
      <c r="BE113" s="23">
        <v>0</v>
      </c>
      <c r="BF113" s="23">
        <v>1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f t="shared" si="36"/>
        <v>8</v>
      </c>
      <c r="BQ113" s="23">
        <f t="shared" si="37"/>
        <v>8</v>
      </c>
      <c r="BR113" s="23">
        <f t="shared" si="38"/>
        <v>0</v>
      </c>
      <c r="BS113" s="23">
        <f t="shared" si="39"/>
        <v>0</v>
      </c>
      <c r="BT113" s="23">
        <f t="shared" si="40"/>
        <v>8</v>
      </c>
      <c r="BU113" s="23">
        <f t="shared" si="41"/>
        <v>0</v>
      </c>
      <c r="BV113" s="23">
        <f t="shared" si="42"/>
        <v>8</v>
      </c>
      <c r="BW113" s="23">
        <f t="shared" si="43"/>
        <v>0</v>
      </c>
      <c r="BX113" s="23">
        <f t="shared" si="44"/>
        <v>0</v>
      </c>
      <c r="BY113" s="23">
        <f t="shared" si="45"/>
        <v>0</v>
      </c>
      <c r="BZ113" s="23">
        <f t="shared" si="46"/>
        <v>0</v>
      </c>
      <c r="CA113" s="23">
        <f t="shared" si="47"/>
        <v>8</v>
      </c>
      <c r="CB113" s="23">
        <f t="shared" si="48"/>
        <v>8</v>
      </c>
      <c r="CC113" s="23">
        <f t="shared" si="49"/>
        <v>0</v>
      </c>
      <c r="CD113" s="23">
        <f t="shared" si="50"/>
        <v>0</v>
      </c>
      <c r="CE113" s="23">
        <f t="shared" si="51"/>
        <v>8</v>
      </c>
      <c r="CF113" s="23">
        <f t="shared" si="52"/>
        <v>0</v>
      </c>
      <c r="CG113" s="23">
        <f t="shared" si="53"/>
        <v>0</v>
      </c>
      <c r="CH113" s="23">
        <f t="shared" si="54"/>
        <v>0</v>
      </c>
      <c r="CI113" s="23">
        <f t="shared" si="55"/>
        <v>8</v>
      </c>
      <c r="CJ113" s="23">
        <f t="shared" si="56"/>
        <v>0</v>
      </c>
      <c r="CK113" s="23">
        <f t="shared" si="57"/>
        <v>0</v>
      </c>
      <c r="CL113" s="23">
        <f t="shared" si="58"/>
        <v>0</v>
      </c>
      <c r="CM113" s="23">
        <f t="shared" si="59"/>
        <v>8</v>
      </c>
      <c r="CN113" s="23">
        <f t="shared" si="60"/>
        <v>0</v>
      </c>
      <c r="CO113" s="23">
        <f t="shared" si="61"/>
        <v>0</v>
      </c>
      <c r="CP113" s="23">
        <f t="shared" si="62"/>
        <v>0</v>
      </c>
      <c r="CQ113" s="23">
        <f t="shared" si="63"/>
        <v>0</v>
      </c>
      <c r="CR113" s="23">
        <f t="shared" si="64"/>
        <v>0</v>
      </c>
      <c r="CS113" s="23">
        <f t="shared" si="65"/>
        <v>0</v>
      </c>
      <c r="CT113" s="23">
        <f t="shared" si="66"/>
        <v>0</v>
      </c>
      <c r="CU113" s="23">
        <f t="shared" si="67"/>
        <v>0</v>
      </c>
      <c r="CV113" s="23">
        <f t="shared" si="68"/>
        <v>0</v>
      </c>
    </row>
    <row r="114" spans="1:100" ht="13.5">
      <c r="A114" s="15">
        <v>403</v>
      </c>
      <c r="B114" s="27" t="s">
        <v>435</v>
      </c>
      <c r="C114" t="s">
        <v>279</v>
      </c>
      <c r="F114" t="s">
        <v>281</v>
      </c>
      <c r="G114" t="s">
        <v>282</v>
      </c>
      <c r="H114" t="s">
        <v>283</v>
      </c>
      <c r="I114" s="6" t="s">
        <v>147</v>
      </c>
      <c r="J114" s="6">
        <v>0</v>
      </c>
      <c r="L114" s="15">
        <v>3</v>
      </c>
      <c r="N114" s="7">
        <v>46266</v>
      </c>
      <c r="O114" s="7">
        <v>46265</v>
      </c>
      <c r="P114" s="7">
        <v>46266</v>
      </c>
      <c r="S114" s="6" t="s">
        <v>285</v>
      </c>
      <c r="U114" s="6" t="s">
        <v>191</v>
      </c>
      <c r="V114" s="6" t="str">
        <f t="shared" si="35"/>
        <v>26/09</v>
      </c>
      <c r="W114">
        <v>21437</v>
      </c>
      <c r="Y114" s="6" t="s">
        <v>286</v>
      </c>
      <c r="Z114" s="6" t="s">
        <v>193</v>
      </c>
      <c r="AE114">
        <v>1280</v>
      </c>
      <c r="AI114" s="23">
        <v>1</v>
      </c>
      <c r="AJ114" s="23">
        <v>1</v>
      </c>
      <c r="AK114" s="23">
        <v>0</v>
      </c>
      <c r="AL114" s="23">
        <v>0</v>
      </c>
      <c r="AM114" s="23">
        <v>1</v>
      </c>
      <c r="AN114" s="23">
        <v>0</v>
      </c>
      <c r="AO114" s="23">
        <v>0</v>
      </c>
      <c r="AP114" s="23">
        <v>1</v>
      </c>
      <c r="AQ114" s="23">
        <v>0</v>
      </c>
      <c r="AR114" s="23">
        <v>0</v>
      </c>
      <c r="AS114" s="23">
        <v>1</v>
      </c>
      <c r="AT114" s="23">
        <v>0</v>
      </c>
      <c r="AU114" s="23">
        <v>1</v>
      </c>
      <c r="AV114" s="23">
        <v>0</v>
      </c>
      <c r="AW114" s="23">
        <v>0</v>
      </c>
      <c r="AX114" s="23">
        <v>1</v>
      </c>
      <c r="AY114" s="23">
        <v>0</v>
      </c>
      <c r="AZ114" s="23">
        <v>0</v>
      </c>
      <c r="BA114" s="23">
        <v>0</v>
      </c>
      <c r="BB114" s="23">
        <v>1</v>
      </c>
      <c r="BC114" s="23">
        <v>0</v>
      </c>
      <c r="BD114" s="23">
        <v>0</v>
      </c>
      <c r="BE114" s="23">
        <v>0</v>
      </c>
      <c r="BF114" s="23">
        <v>1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f t="shared" si="36"/>
        <v>3</v>
      </c>
      <c r="BQ114" s="23">
        <f t="shared" si="37"/>
        <v>3</v>
      </c>
      <c r="BR114" s="23">
        <f t="shared" si="38"/>
        <v>0</v>
      </c>
      <c r="BS114" s="23">
        <f t="shared" si="39"/>
        <v>0</v>
      </c>
      <c r="BT114" s="23">
        <f t="shared" si="40"/>
        <v>3</v>
      </c>
      <c r="BU114" s="23">
        <f t="shared" si="41"/>
        <v>0</v>
      </c>
      <c r="BV114" s="23">
        <f t="shared" si="42"/>
        <v>0</v>
      </c>
      <c r="BW114" s="23">
        <f t="shared" si="43"/>
        <v>3</v>
      </c>
      <c r="BX114" s="23">
        <f t="shared" si="44"/>
        <v>0</v>
      </c>
      <c r="BY114" s="23">
        <f t="shared" si="45"/>
        <v>0</v>
      </c>
      <c r="BZ114" s="23">
        <f t="shared" si="46"/>
        <v>3</v>
      </c>
      <c r="CA114" s="23">
        <f t="shared" si="47"/>
        <v>0</v>
      </c>
      <c r="CB114" s="23">
        <f t="shared" si="48"/>
        <v>3</v>
      </c>
      <c r="CC114" s="23">
        <f t="shared" si="49"/>
        <v>0</v>
      </c>
      <c r="CD114" s="23">
        <f t="shared" si="50"/>
        <v>0</v>
      </c>
      <c r="CE114" s="23">
        <f t="shared" si="51"/>
        <v>3</v>
      </c>
      <c r="CF114" s="23">
        <f t="shared" si="52"/>
        <v>0</v>
      </c>
      <c r="CG114" s="23">
        <f t="shared" si="53"/>
        <v>0</v>
      </c>
      <c r="CH114" s="23">
        <f t="shared" si="54"/>
        <v>0</v>
      </c>
      <c r="CI114" s="23">
        <f t="shared" si="55"/>
        <v>3</v>
      </c>
      <c r="CJ114" s="23">
        <f t="shared" si="56"/>
        <v>0</v>
      </c>
      <c r="CK114" s="23">
        <f t="shared" si="57"/>
        <v>0</v>
      </c>
      <c r="CL114" s="23">
        <f t="shared" si="58"/>
        <v>0</v>
      </c>
      <c r="CM114" s="23">
        <f t="shared" si="59"/>
        <v>3</v>
      </c>
      <c r="CN114" s="23">
        <f t="shared" si="60"/>
        <v>0</v>
      </c>
      <c r="CO114" s="23">
        <f t="shared" si="61"/>
        <v>0</v>
      </c>
      <c r="CP114" s="23">
        <f t="shared" si="62"/>
        <v>0</v>
      </c>
      <c r="CQ114" s="23">
        <f t="shared" si="63"/>
        <v>0</v>
      </c>
      <c r="CR114" s="23">
        <f t="shared" si="64"/>
        <v>0</v>
      </c>
      <c r="CS114" s="23">
        <f t="shared" si="65"/>
        <v>0</v>
      </c>
      <c r="CT114" s="23">
        <f t="shared" si="66"/>
        <v>0</v>
      </c>
      <c r="CU114" s="23">
        <f t="shared" si="67"/>
        <v>0</v>
      </c>
      <c r="CV114" s="23">
        <f t="shared" si="68"/>
        <v>0</v>
      </c>
    </row>
    <row r="115" spans="1:100" ht="13.5">
      <c r="A115" s="15">
        <v>441</v>
      </c>
      <c r="B115" s="27" t="s">
        <v>170</v>
      </c>
      <c r="C115" t="s">
        <v>144</v>
      </c>
      <c r="F115" t="s">
        <v>171</v>
      </c>
      <c r="G115" t="s">
        <v>172</v>
      </c>
      <c r="H115" t="s">
        <v>173</v>
      </c>
      <c r="I115" s="6" t="s">
        <v>147</v>
      </c>
      <c r="J115" s="6">
        <v>0</v>
      </c>
      <c r="K115" t="s">
        <v>174</v>
      </c>
      <c r="L115" s="15">
        <v>5</v>
      </c>
      <c r="N115" s="7">
        <v>46266</v>
      </c>
      <c r="O115" s="7">
        <v>46265</v>
      </c>
      <c r="P115" s="7">
        <v>46266</v>
      </c>
      <c r="S115" s="6" t="s">
        <v>197</v>
      </c>
      <c r="U115" s="6" t="s">
        <v>191</v>
      </c>
      <c r="V115" s="6" t="str">
        <f t="shared" si="35"/>
        <v>26/09</v>
      </c>
      <c r="W115">
        <v>21438</v>
      </c>
      <c r="Y115" s="6" t="s">
        <v>192</v>
      </c>
      <c r="Z115" s="6" t="s">
        <v>193</v>
      </c>
      <c r="AD115">
        <v>8238</v>
      </c>
      <c r="AI115" s="23">
        <v>1</v>
      </c>
      <c r="AJ115" s="23">
        <v>1</v>
      </c>
      <c r="AK115" s="23">
        <v>0</v>
      </c>
      <c r="AL115" s="23">
        <v>0</v>
      </c>
      <c r="AM115" s="23">
        <v>1</v>
      </c>
      <c r="AN115" s="23">
        <v>0</v>
      </c>
      <c r="AO115" s="23">
        <v>1</v>
      </c>
      <c r="AP115" s="23">
        <v>0</v>
      </c>
      <c r="AQ115" s="23">
        <v>0</v>
      </c>
      <c r="AR115" s="23">
        <v>0</v>
      </c>
      <c r="AS115" s="23">
        <v>0</v>
      </c>
      <c r="AT115" s="23">
        <v>1</v>
      </c>
      <c r="AU115" s="23">
        <v>1</v>
      </c>
      <c r="AV115" s="23">
        <v>0</v>
      </c>
      <c r="AW115" s="23">
        <v>0</v>
      </c>
      <c r="AX115" s="23">
        <v>1</v>
      </c>
      <c r="AY115" s="23">
        <v>0</v>
      </c>
      <c r="AZ115" s="23">
        <v>0</v>
      </c>
      <c r="BA115" s="23">
        <v>0</v>
      </c>
      <c r="BB115" s="23">
        <v>1</v>
      </c>
      <c r="BC115" s="23">
        <v>0</v>
      </c>
      <c r="BD115" s="23">
        <v>0</v>
      </c>
      <c r="BE115" s="23">
        <v>0</v>
      </c>
      <c r="BF115" s="23">
        <v>1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  <c r="BP115" s="23">
        <f t="shared" si="36"/>
        <v>5</v>
      </c>
      <c r="BQ115" s="23">
        <f t="shared" si="37"/>
        <v>5</v>
      </c>
      <c r="BR115" s="23">
        <f t="shared" si="38"/>
        <v>0</v>
      </c>
      <c r="BS115" s="23">
        <f t="shared" si="39"/>
        <v>0</v>
      </c>
      <c r="BT115" s="23">
        <f t="shared" si="40"/>
        <v>5</v>
      </c>
      <c r="BU115" s="23">
        <f t="shared" si="41"/>
        <v>0</v>
      </c>
      <c r="BV115" s="23">
        <f t="shared" si="42"/>
        <v>5</v>
      </c>
      <c r="BW115" s="23">
        <f t="shared" si="43"/>
        <v>0</v>
      </c>
      <c r="BX115" s="23">
        <f t="shared" si="44"/>
        <v>0</v>
      </c>
      <c r="BY115" s="23">
        <f t="shared" si="45"/>
        <v>0</v>
      </c>
      <c r="BZ115" s="23">
        <f t="shared" si="46"/>
        <v>0</v>
      </c>
      <c r="CA115" s="23">
        <f t="shared" si="47"/>
        <v>5</v>
      </c>
      <c r="CB115" s="23">
        <f t="shared" si="48"/>
        <v>5</v>
      </c>
      <c r="CC115" s="23">
        <f t="shared" si="49"/>
        <v>0</v>
      </c>
      <c r="CD115" s="23">
        <f t="shared" si="50"/>
        <v>0</v>
      </c>
      <c r="CE115" s="23">
        <f t="shared" si="51"/>
        <v>5</v>
      </c>
      <c r="CF115" s="23">
        <f t="shared" si="52"/>
        <v>0</v>
      </c>
      <c r="CG115" s="23">
        <f t="shared" si="53"/>
        <v>0</v>
      </c>
      <c r="CH115" s="23">
        <f t="shared" si="54"/>
        <v>0</v>
      </c>
      <c r="CI115" s="23">
        <f t="shared" si="55"/>
        <v>5</v>
      </c>
      <c r="CJ115" s="23">
        <f t="shared" si="56"/>
        <v>0</v>
      </c>
      <c r="CK115" s="23">
        <f t="shared" si="57"/>
        <v>0</v>
      </c>
      <c r="CL115" s="23">
        <f t="shared" si="58"/>
        <v>0</v>
      </c>
      <c r="CM115" s="23">
        <f t="shared" si="59"/>
        <v>5</v>
      </c>
      <c r="CN115" s="23">
        <f t="shared" si="60"/>
        <v>0</v>
      </c>
      <c r="CO115" s="23">
        <f t="shared" si="61"/>
        <v>0</v>
      </c>
      <c r="CP115" s="23">
        <f t="shared" si="62"/>
        <v>0</v>
      </c>
      <c r="CQ115" s="23">
        <f t="shared" si="63"/>
        <v>0</v>
      </c>
      <c r="CR115" s="23">
        <f t="shared" si="64"/>
        <v>0</v>
      </c>
      <c r="CS115" s="23">
        <f t="shared" si="65"/>
        <v>0</v>
      </c>
      <c r="CT115" s="23">
        <f t="shared" si="66"/>
        <v>0</v>
      </c>
      <c r="CU115" s="23">
        <f t="shared" si="67"/>
        <v>0</v>
      </c>
      <c r="CV115" s="23">
        <f t="shared" si="68"/>
        <v>0</v>
      </c>
    </row>
    <row r="116" spans="1:100" ht="13.5">
      <c r="A116" s="15">
        <v>442</v>
      </c>
      <c r="B116" s="27" t="s">
        <v>175</v>
      </c>
      <c r="C116" t="s">
        <v>144</v>
      </c>
      <c r="F116" t="s">
        <v>171</v>
      </c>
      <c r="G116" t="s">
        <v>176</v>
      </c>
      <c r="H116" t="s">
        <v>177</v>
      </c>
      <c r="I116" s="6" t="s">
        <v>147</v>
      </c>
      <c r="J116" s="6">
        <v>0</v>
      </c>
      <c r="K116" t="s">
        <v>178</v>
      </c>
      <c r="L116" s="15">
        <v>1</v>
      </c>
      <c r="N116" s="7">
        <v>46266</v>
      </c>
      <c r="O116" s="7">
        <v>46265</v>
      </c>
      <c r="P116" s="7">
        <v>46266</v>
      </c>
      <c r="S116" s="6" t="s">
        <v>197</v>
      </c>
      <c r="U116" s="6" t="s">
        <v>191</v>
      </c>
      <c r="V116" s="6" t="str">
        <f t="shared" si="35"/>
        <v>26/09</v>
      </c>
      <c r="W116">
        <v>21439</v>
      </c>
      <c r="Y116" s="6" t="s">
        <v>192</v>
      </c>
      <c r="Z116" s="6" t="s">
        <v>193</v>
      </c>
      <c r="AD116">
        <v>8239</v>
      </c>
      <c r="AI116" s="23">
        <v>1</v>
      </c>
      <c r="AJ116" s="23">
        <v>1</v>
      </c>
      <c r="AK116" s="23">
        <v>0</v>
      </c>
      <c r="AL116" s="23">
        <v>0</v>
      </c>
      <c r="AM116" s="23">
        <v>1</v>
      </c>
      <c r="AN116" s="23">
        <v>0</v>
      </c>
      <c r="AO116" s="23">
        <v>1</v>
      </c>
      <c r="AP116" s="23">
        <v>0</v>
      </c>
      <c r="AQ116" s="23">
        <v>0</v>
      </c>
      <c r="AR116" s="23">
        <v>0</v>
      </c>
      <c r="AS116" s="23">
        <v>0</v>
      </c>
      <c r="AT116" s="23">
        <v>1</v>
      </c>
      <c r="AU116" s="23">
        <v>1</v>
      </c>
      <c r="AV116" s="23">
        <v>0</v>
      </c>
      <c r="AW116" s="23">
        <v>0</v>
      </c>
      <c r="AX116" s="23">
        <v>1</v>
      </c>
      <c r="AY116" s="23">
        <v>0</v>
      </c>
      <c r="AZ116" s="23">
        <v>0</v>
      </c>
      <c r="BA116" s="23">
        <v>0</v>
      </c>
      <c r="BB116" s="23">
        <v>1</v>
      </c>
      <c r="BC116" s="23">
        <v>0</v>
      </c>
      <c r="BD116" s="23">
        <v>0</v>
      </c>
      <c r="BE116" s="23">
        <v>0</v>
      </c>
      <c r="BF116" s="23">
        <v>1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0</v>
      </c>
      <c r="BN116" s="23">
        <v>0</v>
      </c>
      <c r="BO116" s="23">
        <v>0</v>
      </c>
      <c r="BP116" s="23">
        <f t="shared" si="36"/>
        <v>1</v>
      </c>
      <c r="BQ116" s="23">
        <f t="shared" si="37"/>
        <v>1</v>
      </c>
      <c r="BR116" s="23">
        <f t="shared" si="38"/>
        <v>0</v>
      </c>
      <c r="BS116" s="23">
        <f t="shared" si="39"/>
        <v>0</v>
      </c>
      <c r="BT116" s="23">
        <f t="shared" si="40"/>
        <v>1</v>
      </c>
      <c r="BU116" s="23">
        <f t="shared" si="41"/>
        <v>0</v>
      </c>
      <c r="BV116" s="23">
        <f t="shared" si="42"/>
        <v>1</v>
      </c>
      <c r="BW116" s="23">
        <f t="shared" si="43"/>
        <v>0</v>
      </c>
      <c r="BX116" s="23">
        <f t="shared" si="44"/>
        <v>0</v>
      </c>
      <c r="BY116" s="23">
        <f t="shared" si="45"/>
        <v>0</v>
      </c>
      <c r="BZ116" s="23">
        <f t="shared" si="46"/>
        <v>0</v>
      </c>
      <c r="CA116" s="23">
        <f t="shared" si="47"/>
        <v>1</v>
      </c>
      <c r="CB116" s="23">
        <f t="shared" si="48"/>
        <v>1</v>
      </c>
      <c r="CC116" s="23">
        <f t="shared" si="49"/>
        <v>0</v>
      </c>
      <c r="CD116" s="23">
        <f t="shared" si="50"/>
        <v>0</v>
      </c>
      <c r="CE116" s="23">
        <f t="shared" si="51"/>
        <v>1</v>
      </c>
      <c r="CF116" s="23">
        <f t="shared" si="52"/>
        <v>0</v>
      </c>
      <c r="CG116" s="23">
        <f t="shared" si="53"/>
        <v>0</v>
      </c>
      <c r="CH116" s="23">
        <f t="shared" si="54"/>
        <v>0</v>
      </c>
      <c r="CI116" s="23">
        <f t="shared" si="55"/>
        <v>1</v>
      </c>
      <c r="CJ116" s="23">
        <f t="shared" si="56"/>
        <v>0</v>
      </c>
      <c r="CK116" s="23">
        <f t="shared" si="57"/>
        <v>0</v>
      </c>
      <c r="CL116" s="23">
        <f t="shared" si="58"/>
        <v>0</v>
      </c>
      <c r="CM116" s="23">
        <f t="shared" si="59"/>
        <v>1</v>
      </c>
      <c r="CN116" s="23">
        <f t="shared" si="60"/>
        <v>0</v>
      </c>
      <c r="CO116" s="23">
        <f t="shared" si="61"/>
        <v>0</v>
      </c>
      <c r="CP116" s="23">
        <f t="shared" si="62"/>
        <v>0</v>
      </c>
      <c r="CQ116" s="23">
        <f t="shared" si="63"/>
        <v>0</v>
      </c>
      <c r="CR116" s="23">
        <f t="shared" si="64"/>
        <v>0</v>
      </c>
      <c r="CS116" s="23">
        <f t="shared" si="65"/>
        <v>0</v>
      </c>
      <c r="CT116" s="23">
        <f t="shared" si="66"/>
        <v>0</v>
      </c>
      <c r="CU116" s="23">
        <f t="shared" si="67"/>
        <v>0</v>
      </c>
      <c r="CV116" s="23">
        <f t="shared" si="68"/>
        <v>0</v>
      </c>
    </row>
    <row r="117" spans="1:100" ht="13.5">
      <c r="A117" s="15">
        <v>464</v>
      </c>
      <c r="B117" s="27" t="s">
        <v>440</v>
      </c>
      <c r="C117" t="s">
        <v>208</v>
      </c>
      <c r="E117" t="s">
        <v>441</v>
      </c>
      <c r="F117" t="s">
        <v>133</v>
      </c>
      <c r="G117" t="s">
        <v>441</v>
      </c>
      <c r="H117" t="s">
        <v>442</v>
      </c>
      <c r="I117" s="6" t="s">
        <v>136</v>
      </c>
      <c r="J117" s="6">
        <v>1</v>
      </c>
      <c r="L117" s="15">
        <v>10</v>
      </c>
      <c r="N117" s="7">
        <v>46296</v>
      </c>
      <c r="O117" s="7">
        <v>46295</v>
      </c>
      <c r="P117" s="7">
        <v>46296</v>
      </c>
      <c r="S117" s="6" t="s">
        <v>441</v>
      </c>
      <c r="U117" s="6" t="s">
        <v>191</v>
      </c>
      <c r="V117" s="6" t="str">
        <f t="shared" si="35"/>
        <v>26/10</v>
      </c>
      <c r="W117">
        <v>21440</v>
      </c>
      <c r="Y117" s="6" t="s">
        <v>211</v>
      </c>
      <c r="Z117" s="6" t="s">
        <v>212</v>
      </c>
      <c r="AA117">
        <v>3241</v>
      </c>
      <c r="AI117" s="23">
        <v>1</v>
      </c>
      <c r="AJ117" s="23">
        <v>1</v>
      </c>
      <c r="AK117" s="23">
        <v>0</v>
      </c>
      <c r="AL117" s="23">
        <v>0</v>
      </c>
      <c r="AM117" s="23">
        <v>1</v>
      </c>
      <c r="AN117" s="23">
        <v>0</v>
      </c>
      <c r="AO117" s="23">
        <v>1</v>
      </c>
      <c r="AP117" s="23">
        <v>0</v>
      </c>
      <c r="AQ117" s="23">
        <v>0</v>
      </c>
      <c r="AR117" s="23">
        <v>0</v>
      </c>
      <c r="AS117" s="23">
        <v>1</v>
      </c>
      <c r="AT117" s="23">
        <v>0</v>
      </c>
      <c r="AU117" s="23">
        <v>1</v>
      </c>
      <c r="AV117" s="23">
        <v>0</v>
      </c>
      <c r="AW117" s="23">
        <v>0</v>
      </c>
      <c r="AX117" s="23">
        <v>1</v>
      </c>
      <c r="AY117" s="23">
        <v>0</v>
      </c>
      <c r="AZ117" s="23">
        <v>0</v>
      </c>
      <c r="BA117" s="23">
        <v>0</v>
      </c>
      <c r="BB117" s="23">
        <v>1</v>
      </c>
      <c r="BC117" s="23">
        <v>0</v>
      </c>
      <c r="BD117" s="23">
        <v>0</v>
      </c>
      <c r="BE117" s="23">
        <v>0</v>
      </c>
      <c r="BF117" s="23">
        <v>1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f t="shared" si="36"/>
        <v>10</v>
      </c>
      <c r="BQ117" s="23">
        <f t="shared" si="37"/>
        <v>10</v>
      </c>
      <c r="BR117" s="23">
        <f t="shared" si="38"/>
        <v>0</v>
      </c>
      <c r="BS117" s="23">
        <f t="shared" si="39"/>
        <v>0</v>
      </c>
      <c r="BT117" s="23">
        <f t="shared" si="40"/>
        <v>10</v>
      </c>
      <c r="BU117" s="23">
        <f t="shared" si="41"/>
        <v>0</v>
      </c>
      <c r="BV117" s="23">
        <f t="shared" si="42"/>
        <v>10</v>
      </c>
      <c r="BW117" s="23">
        <f t="shared" si="43"/>
        <v>0</v>
      </c>
      <c r="BX117" s="23">
        <f t="shared" si="44"/>
        <v>0</v>
      </c>
      <c r="BY117" s="23">
        <f t="shared" si="45"/>
        <v>0</v>
      </c>
      <c r="BZ117" s="23">
        <f t="shared" si="46"/>
        <v>10</v>
      </c>
      <c r="CA117" s="23">
        <f t="shared" si="47"/>
        <v>0</v>
      </c>
      <c r="CB117" s="23">
        <f t="shared" si="48"/>
        <v>10</v>
      </c>
      <c r="CC117" s="23">
        <f t="shared" si="49"/>
        <v>0</v>
      </c>
      <c r="CD117" s="23">
        <f t="shared" si="50"/>
        <v>0</v>
      </c>
      <c r="CE117" s="23">
        <f t="shared" si="51"/>
        <v>10</v>
      </c>
      <c r="CF117" s="23">
        <f t="shared" si="52"/>
        <v>0</v>
      </c>
      <c r="CG117" s="23">
        <f t="shared" si="53"/>
        <v>0</v>
      </c>
      <c r="CH117" s="23">
        <f t="shared" si="54"/>
        <v>0</v>
      </c>
      <c r="CI117" s="23">
        <f t="shared" si="55"/>
        <v>10</v>
      </c>
      <c r="CJ117" s="23">
        <f t="shared" si="56"/>
        <v>0</v>
      </c>
      <c r="CK117" s="23">
        <f t="shared" si="57"/>
        <v>0</v>
      </c>
      <c r="CL117" s="23">
        <f t="shared" si="58"/>
        <v>0</v>
      </c>
      <c r="CM117" s="23">
        <f t="shared" si="59"/>
        <v>10</v>
      </c>
      <c r="CN117" s="23">
        <f t="shared" si="60"/>
        <v>0</v>
      </c>
      <c r="CO117" s="23">
        <f t="shared" si="61"/>
        <v>0</v>
      </c>
      <c r="CP117" s="23">
        <f t="shared" si="62"/>
        <v>0</v>
      </c>
      <c r="CQ117" s="23">
        <f t="shared" si="63"/>
        <v>0</v>
      </c>
      <c r="CR117" s="23">
        <f t="shared" si="64"/>
        <v>0</v>
      </c>
      <c r="CS117" s="23">
        <f t="shared" si="65"/>
        <v>0</v>
      </c>
      <c r="CT117" s="23">
        <f t="shared" si="66"/>
        <v>0</v>
      </c>
      <c r="CU117" s="23">
        <f t="shared" si="67"/>
        <v>0</v>
      </c>
      <c r="CV117" s="23">
        <f t="shared" si="68"/>
        <v>0</v>
      </c>
    </row>
    <row r="118" spans="1:100" ht="13.5">
      <c r="A118" s="15">
        <v>463</v>
      </c>
      <c r="B118" s="27" t="s">
        <v>439</v>
      </c>
      <c r="C118" t="s">
        <v>208</v>
      </c>
      <c r="E118" t="s">
        <v>134</v>
      </c>
      <c r="F118" t="s">
        <v>133</v>
      </c>
      <c r="G118" t="s">
        <v>134</v>
      </c>
      <c r="H118" t="s">
        <v>209</v>
      </c>
      <c r="I118" s="6" t="s">
        <v>136</v>
      </c>
      <c r="J118" s="6">
        <v>1</v>
      </c>
      <c r="L118" s="15">
        <v>17</v>
      </c>
      <c r="N118" s="7">
        <v>46296</v>
      </c>
      <c r="O118" s="7">
        <v>46295</v>
      </c>
      <c r="P118" s="7">
        <v>46296</v>
      </c>
      <c r="S118" s="6" t="s">
        <v>134</v>
      </c>
      <c r="U118" s="6" t="s">
        <v>191</v>
      </c>
      <c r="V118" s="6" t="str">
        <f t="shared" si="35"/>
        <v>26/10</v>
      </c>
      <c r="W118">
        <v>21441</v>
      </c>
      <c r="Y118" s="6" t="s">
        <v>211</v>
      </c>
      <c r="Z118" s="6" t="s">
        <v>212</v>
      </c>
      <c r="AA118">
        <v>3242</v>
      </c>
      <c r="AI118" s="23">
        <v>1</v>
      </c>
      <c r="AJ118" s="23">
        <v>1</v>
      </c>
      <c r="AK118" s="23">
        <v>0</v>
      </c>
      <c r="AL118" s="23">
        <v>0</v>
      </c>
      <c r="AM118" s="23">
        <v>1</v>
      </c>
      <c r="AN118" s="23">
        <v>0</v>
      </c>
      <c r="AO118" s="23">
        <v>1</v>
      </c>
      <c r="AP118" s="23">
        <v>0</v>
      </c>
      <c r="AQ118" s="23">
        <v>0</v>
      </c>
      <c r="AR118" s="23">
        <v>0</v>
      </c>
      <c r="AS118" s="23">
        <v>0</v>
      </c>
      <c r="AT118" s="23">
        <v>1</v>
      </c>
      <c r="AU118" s="23">
        <v>1</v>
      </c>
      <c r="AV118" s="23">
        <v>0</v>
      </c>
      <c r="AW118" s="23">
        <v>0</v>
      </c>
      <c r="AX118" s="23">
        <v>1</v>
      </c>
      <c r="AY118" s="23">
        <v>0</v>
      </c>
      <c r="AZ118" s="23">
        <v>0</v>
      </c>
      <c r="BA118" s="23">
        <v>0</v>
      </c>
      <c r="BB118" s="23">
        <v>1</v>
      </c>
      <c r="BC118" s="23">
        <v>0</v>
      </c>
      <c r="BD118" s="23">
        <v>0</v>
      </c>
      <c r="BE118" s="23">
        <v>0</v>
      </c>
      <c r="BF118" s="23">
        <v>1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f t="shared" si="36"/>
        <v>17</v>
      </c>
      <c r="BQ118" s="23">
        <f t="shared" si="37"/>
        <v>17</v>
      </c>
      <c r="BR118" s="23">
        <f t="shared" si="38"/>
        <v>0</v>
      </c>
      <c r="BS118" s="23">
        <f t="shared" si="39"/>
        <v>0</v>
      </c>
      <c r="BT118" s="23">
        <f t="shared" si="40"/>
        <v>17</v>
      </c>
      <c r="BU118" s="23">
        <f t="shared" si="41"/>
        <v>0</v>
      </c>
      <c r="BV118" s="23">
        <f t="shared" si="42"/>
        <v>17</v>
      </c>
      <c r="BW118" s="23">
        <f t="shared" si="43"/>
        <v>0</v>
      </c>
      <c r="BX118" s="23">
        <f t="shared" si="44"/>
        <v>0</v>
      </c>
      <c r="BY118" s="23">
        <f t="shared" si="45"/>
        <v>0</v>
      </c>
      <c r="BZ118" s="23">
        <f t="shared" si="46"/>
        <v>0</v>
      </c>
      <c r="CA118" s="23">
        <f t="shared" si="47"/>
        <v>17</v>
      </c>
      <c r="CB118" s="23">
        <f t="shared" si="48"/>
        <v>17</v>
      </c>
      <c r="CC118" s="23">
        <f t="shared" si="49"/>
        <v>0</v>
      </c>
      <c r="CD118" s="23">
        <f t="shared" si="50"/>
        <v>0</v>
      </c>
      <c r="CE118" s="23">
        <f t="shared" si="51"/>
        <v>17</v>
      </c>
      <c r="CF118" s="23">
        <f t="shared" si="52"/>
        <v>0</v>
      </c>
      <c r="CG118" s="23">
        <f t="shared" si="53"/>
        <v>0</v>
      </c>
      <c r="CH118" s="23">
        <f t="shared" si="54"/>
        <v>0</v>
      </c>
      <c r="CI118" s="23">
        <f t="shared" si="55"/>
        <v>17</v>
      </c>
      <c r="CJ118" s="23">
        <f t="shared" si="56"/>
        <v>0</v>
      </c>
      <c r="CK118" s="23">
        <f t="shared" si="57"/>
        <v>0</v>
      </c>
      <c r="CL118" s="23">
        <f t="shared" si="58"/>
        <v>0</v>
      </c>
      <c r="CM118" s="23">
        <f t="shared" si="59"/>
        <v>17</v>
      </c>
      <c r="CN118" s="23">
        <f t="shared" si="60"/>
        <v>0</v>
      </c>
      <c r="CO118" s="23">
        <f t="shared" si="61"/>
        <v>0</v>
      </c>
      <c r="CP118" s="23">
        <f t="shared" si="62"/>
        <v>0</v>
      </c>
      <c r="CQ118" s="23">
        <f t="shared" si="63"/>
        <v>0</v>
      </c>
      <c r="CR118" s="23">
        <f t="shared" si="64"/>
        <v>0</v>
      </c>
      <c r="CS118" s="23">
        <f t="shared" si="65"/>
        <v>0</v>
      </c>
      <c r="CT118" s="23">
        <f t="shared" si="66"/>
        <v>0</v>
      </c>
      <c r="CU118" s="23">
        <f t="shared" si="67"/>
        <v>0</v>
      </c>
      <c r="CV118" s="23">
        <f t="shared" si="68"/>
        <v>0</v>
      </c>
    </row>
    <row r="119" spans="1:100" ht="13.5">
      <c r="A119" s="15">
        <v>465</v>
      </c>
      <c r="B119" s="27" t="s">
        <v>443</v>
      </c>
      <c r="C119" t="s">
        <v>208</v>
      </c>
      <c r="E119" t="s">
        <v>417</v>
      </c>
      <c r="F119" t="s">
        <v>133</v>
      </c>
      <c r="G119" t="s">
        <v>417</v>
      </c>
      <c r="H119" t="s">
        <v>418</v>
      </c>
      <c r="I119" s="6" t="s">
        <v>136</v>
      </c>
      <c r="J119" s="6">
        <v>1</v>
      </c>
      <c r="L119" s="15">
        <v>12</v>
      </c>
      <c r="N119" s="7">
        <v>46296</v>
      </c>
      <c r="O119" s="7">
        <v>46295</v>
      </c>
      <c r="P119" s="7">
        <v>46296</v>
      </c>
      <c r="S119" s="6" t="s">
        <v>417</v>
      </c>
      <c r="U119" s="6" t="s">
        <v>191</v>
      </c>
      <c r="V119" s="6" t="str">
        <f t="shared" si="35"/>
        <v>26/10</v>
      </c>
      <c r="W119">
        <v>21442</v>
      </c>
      <c r="Y119" s="6" t="s">
        <v>211</v>
      </c>
      <c r="Z119" s="6" t="s">
        <v>212</v>
      </c>
      <c r="AA119">
        <v>3243</v>
      </c>
      <c r="AI119" s="23">
        <v>1</v>
      </c>
      <c r="AJ119" s="23">
        <v>1</v>
      </c>
      <c r="AK119" s="23">
        <v>0</v>
      </c>
      <c r="AL119" s="23">
        <v>0</v>
      </c>
      <c r="AM119" s="23">
        <v>1</v>
      </c>
      <c r="AN119" s="23">
        <v>0</v>
      </c>
      <c r="AO119" s="23">
        <v>1</v>
      </c>
      <c r="AP119" s="23">
        <v>0</v>
      </c>
      <c r="AQ119" s="23">
        <v>0</v>
      </c>
      <c r="AR119" s="23">
        <v>0</v>
      </c>
      <c r="AS119" s="23">
        <v>0</v>
      </c>
      <c r="AT119" s="23">
        <v>1</v>
      </c>
      <c r="AU119" s="23">
        <v>0</v>
      </c>
      <c r="AV119" s="23">
        <v>0</v>
      </c>
      <c r="AW119" s="23">
        <v>1</v>
      </c>
      <c r="AX119" s="23">
        <v>0</v>
      </c>
      <c r="AY119" s="23">
        <v>0</v>
      </c>
      <c r="AZ119" s="23">
        <v>0</v>
      </c>
      <c r="BA119" s="23">
        <v>1</v>
      </c>
      <c r="BB119" s="23">
        <v>0</v>
      </c>
      <c r="BC119" s="23">
        <v>0</v>
      </c>
      <c r="BD119" s="23">
        <v>0</v>
      </c>
      <c r="BE119" s="23">
        <v>1</v>
      </c>
      <c r="BF119" s="23">
        <v>1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f t="shared" si="36"/>
        <v>12</v>
      </c>
      <c r="BQ119" s="23">
        <f t="shared" si="37"/>
        <v>12</v>
      </c>
      <c r="BR119" s="23">
        <f t="shared" si="38"/>
        <v>0</v>
      </c>
      <c r="BS119" s="23">
        <f t="shared" si="39"/>
        <v>0</v>
      </c>
      <c r="BT119" s="23">
        <f t="shared" si="40"/>
        <v>12</v>
      </c>
      <c r="BU119" s="23">
        <f t="shared" si="41"/>
        <v>0</v>
      </c>
      <c r="BV119" s="23">
        <f t="shared" si="42"/>
        <v>12</v>
      </c>
      <c r="BW119" s="23">
        <f t="shared" si="43"/>
        <v>0</v>
      </c>
      <c r="BX119" s="23">
        <f t="shared" si="44"/>
        <v>0</v>
      </c>
      <c r="BY119" s="23">
        <f t="shared" si="45"/>
        <v>0</v>
      </c>
      <c r="BZ119" s="23">
        <f t="shared" si="46"/>
        <v>0</v>
      </c>
      <c r="CA119" s="23">
        <f t="shared" si="47"/>
        <v>12</v>
      </c>
      <c r="CB119" s="23">
        <f t="shared" si="48"/>
        <v>0</v>
      </c>
      <c r="CC119" s="23">
        <f t="shared" si="49"/>
        <v>0</v>
      </c>
      <c r="CD119" s="23">
        <f t="shared" si="50"/>
        <v>12</v>
      </c>
      <c r="CE119" s="23">
        <f t="shared" si="51"/>
        <v>0</v>
      </c>
      <c r="CF119" s="23">
        <f t="shared" si="52"/>
        <v>0</v>
      </c>
      <c r="CG119" s="23">
        <f t="shared" si="53"/>
        <v>0</v>
      </c>
      <c r="CH119" s="23">
        <f t="shared" si="54"/>
        <v>12</v>
      </c>
      <c r="CI119" s="23">
        <f t="shared" si="55"/>
        <v>0</v>
      </c>
      <c r="CJ119" s="23">
        <f t="shared" si="56"/>
        <v>0</v>
      </c>
      <c r="CK119" s="23">
        <f t="shared" si="57"/>
        <v>0</v>
      </c>
      <c r="CL119" s="23">
        <f t="shared" si="58"/>
        <v>12</v>
      </c>
      <c r="CM119" s="23">
        <f t="shared" si="59"/>
        <v>12</v>
      </c>
      <c r="CN119" s="23">
        <f t="shared" si="60"/>
        <v>0</v>
      </c>
      <c r="CO119" s="23">
        <f t="shared" si="61"/>
        <v>0</v>
      </c>
      <c r="CP119" s="23">
        <f t="shared" si="62"/>
        <v>0</v>
      </c>
      <c r="CQ119" s="23">
        <f t="shared" si="63"/>
        <v>0</v>
      </c>
      <c r="CR119" s="23">
        <f t="shared" si="64"/>
        <v>0</v>
      </c>
      <c r="CS119" s="23">
        <f t="shared" si="65"/>
        <v>0</v>
      </c>
      <c r="CT119" s="23">
        <f t="shared" si="66"/>
        <v>0</v>
      </c>
      <c r="CU119" s="23">
        <f t="shared" si="67"/>
        <v>0</v>
      </c>
      <c r="CV119" s="23">
        <f t="shared" si="68"/>
        <v>0</v>
      </c>
    </row>
    <row r="120" spans="1:100" ht="13.5">
      <c r="A120" s="15">
        <v>544</v>
      </c>
      <c r="B120" s="27" t="s">
        <v>444</v>
      </c>
      <c r="C120" t="s">
        <v>259</v>
      </c>
      <c r="E120" t="s">
        <v>260</v>
      </c>
      <c r="F120" t="s">
        <v>133</v>
      </c>
      <c r="G120" t="s">
        <v>260</v>
      </c>
      <c r="H120" t="s">
        <v>261</v>
      </c>
      <c r="I120" s="6" t="s">
        <v>136</v>
      </c>
      <c r="J120" s="6">
        <v>1</v>
      </c>
      <c r="L120" s="15">
        <v>4</v>
      </c>
      <c r="N120" s="7">
        <v>46329</v>
      </c>
      <c r="O120" s="7">
        <v>46328</v>
      </c>
      <c r="P120" s="7">
        <v>46329</v>
      </c>
      <c r="S120" s="6" t="s">
        <v>260</v>
      </c>
      <c r="U120" s="6" t="s">
        <v>191</v>
      </c>
      <c r="V120" s="6" t="str">
        <f t="shared" si="35"/>
        <v>26/11</v>
      </c>
      <c r="W120">
        <v>21443</v>
      </c>
      <c r="Y120" s="6" t="s">
        <v>192</v>
      </c>
      <c r="Z120" s="6" t="s">
        <v>193</v>
      </c>
      <c r="AD120">
        <v>8240</v>
      </c>
      <c r="AI120" s="23">
        <v>1</v>
      </c>
      <c r="AJ120" s="23">
        <v>1</v>
      </c>
      <c r="AK120" s="23">
        <v>0</v>
      </c>
      <c r="AL120" s="23">
        <v>0</v>
      </c>
      <c r="AM120" s="23">
        <v>1</v>
      </c>
      <c r="AN120" s="23">
        <v>0</v>
      </c>
      <c r="AO120" s="23">
        <v>1</v>
      </c>
      <c r="AP120" s="23">
        <v>0</v>
      </c>
      <c r="AQ120" s="23">
        <v>0</v>
      </c>
      <c r="AR120" s="23">
        <v>0</v>
      </c>
      <c r="AS120" s="23">
        <v>0</v>
      </c>
      <c r="AT120" s="23">
        <v>1</v>
      </c>
      <c r="AU120" s="23">
        <v>1</v>
      </c>
      <c r="AV120" s="23">
        <v>0</v>
      </c>
      <c r="AW120" s="23">
        <v>0</v>
      </c>
      <c r="AX120" s="23">
        <v>1</v>
      </c>
      <c r="AY120" s="23">
        <v>0</v>
      </c>
      <c r="AZ120" s="23">
        <v>0</v>
      </c>
      <c r="BA120" s="23">
        <v>0</v>
      </c>
      <c r="BB120" s="23">
        <v>1</v>
      </c>
      <c r="BC120" s="23">
        <v>0</v>
      </c>
      <c r="BD120" s="23">
        <v>0</v>
      </c>
      <c r="BE120" s="23">
        <v>0</v>
      </c>
      <c r="BF120" s="23">
        <v>1</v>
      </c>
      <c r="BG120" s="23">
        <v>0</v>
      </c>
      <c r="BH120" s="23">
        <v>0</v>
      </c>
      <c r="BI120" s="23">
        <v>0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  <c r="BP120" s="23">
        <f t="shared" si="36"/>
        <v>4</v>
      </c>
      <c r="BQ120" s="23">
        <f t="shared" si="37"/>
        <v>4</v>
      </c>
      <c r="BR120" s="23">
        <f t="shared" si="38"/>
        <v>0</v>
      </c>
      <c r="BS120" s="23">
        <f t="shared" si="39"/>
        <v>0</v>
      </c>
      <c r="BT120" s="23">
        <f t="shared" si="40"/>
        <v>4</v>
      </c>
      <c r="BU120" s="23">
        <f t="shared" si="41"/>
        <v>0</v>
      </c>
      <c r="BV120" s="23">
        <f t="shared" si="42"/>
        <v>4</v>
      </c>
      <c r="BW120" s="23">
        <f t="shared" si="43"/>
        <v>0</v>
      </c>
      <c r="BX120" s="23">
        <f t="shared" si="44"/>
        <v>0</v>
      </c>
      <c r="BY120" s="23">
        <f t="shared" si="45"/>
        <v>0</v>
      </c>
      <c r="BZ120" s="23">
        <f t="shared" si="46"/>
        <v>0</v>
      </c>
      <c r="CA120" s="23">
        <f t="shared" si="47"/>
        <v>4</v>
      </c>
      <c r="CB120" s="23">
        <f t="shared" si="48"/>
        <v>4</v>
      </c>
      <c r="CC120" s="23">
        <f t="shared" si="49"/>
        <v>0</v>
      </c>
      <c r="CD120" s="23">
        <f t="shared" si="50"/>
        <v>0</v>
      </c>
      <c r="CE120" s="23">
        <f t="shared" si="51"/>
        <v>4</v>
      </c>
      <c r="CF120" s="23">
        <f t="shared" si="52"/>
        <v>0</v>
      </c>
      <c r="CG120" s="23">
        <f t="shared" si="53"/>
        <v>0</v>
      </c>
      <c r="CH120" s="23">
        <f t="shared" si="54"/>
        <v>0</v>
      </c>
      <c r="CI120" s="23">
        <f t="shared" si="55"/>
        <v>4</v>
      </c>
      <c r="CJ120" s="23">
        <f t="shared" si="56"/>
        <v>0</v>
      </c>
      <c r="CK120" s="23">
        <f t="shared" si="57"/>
        <v>0</v>
      </c>
      <c r="CL120" s="23">
        <f t="shared" si="58"/>
        <v>0</v>
      </c>
      <c r="CM120" s="23">
        <f t="shared" si="59"/>
        <v>4</v>
      </c>
      <c r="CN120" s="23">
        <f t="shared" si="60"/>
        <v>0</v>
      </c>
      <c r="CO120" s="23">
        <f t="shared" si="61"/>
        <v>0</v>
      </c>
      <c r="CP120" s="23">
        <f t="shared" si="62"/>
        <v>0</v>
      </c>
      <c r="CQ120" s="23">
        <f t="shared" si="63"/>
        <v>0</v>
      </c>
      <c r="CR120" s="23">
        <f t="shared" si="64"/>
        <v>0</v>
      </c>
      <c r="CS120" s="23">
        <f t="shared" si="65"/>
        <v>0</v>
      </c>
      <c r="CT120" s="23">
        <f t="shared" si="66"/>
        <v>0</v>
      </c>
      <c r="CU120" s="23">
        <f t="shared" si="67"/>
        <v>0</v>
      </c>
      <c r="CV120" s="23">
        <f t="shared" si="68"/>
        <v>0</v>
      </c>
    </row>
    <row r="121" spans="1:100" ht="13.5">
      <c r="A121" s="15">
        <v>547</v>
      </c>
      <c r="B121" s="27" t="s">
        <v>446</v>
      </c>
      <c r="C121" t="s">
        <v>208</v>
      </c>
      <c r="E121" t="s">
        <v>441</v>
      </c>
      <c r="F121" t="s">
        <v>133</v>
      </c>
      <c r="G121" t="s">
        <v>441</v>
      </c>
      <c r="H121" t="s">
        <v>442</v>
      </c>
      <c r="I121" s="6" t="s">
        <v>136</v>
      </c>
      <c r="J121" s="6">
        <v>1</v>
      </c>
      <c r="L121" s="15">
        <v>10</v>
      </c>
      <c r="N121" s="7">
        <v>46330</v>
      </c>
      <c r="O121" s="7">
        <v>46329</v>
      </c>
      <c r="P121" s="7">
        <v>46330</v>
      </c>
      <c r="S121" s="6" t="s">
        <v>441</v>
      </c>
      <c r="U121" s="6" t="s">
        <v>191</v>
      </c>
      <c r="V121" s="6" t="str">
        <f t="shared" si="35"/>
        <v>26/11</v>
      </c>
      <c r="W121">
        <v>21444</v>
      </c>
      <c r="Y121" s="6" t="s">
        <v>211</v>
      </c>
      <c r="Z121" s="6" t="s">
        <v>212</v>
      </c>
      <c r="AA121">
        <v>3244</v>
      </c>
      <c r="AI121" s="23">
        <v>1</v>
      </c>
      <c r="AJ121" s="23">
        <v>1</v>
      </c>
      <c r="AK121" s="23">
        <v>0</v>
      </c>
      <c r="AL121" s="23">
        <v>0</v>
      </c>
      <c r="AM121" s="23">
        <v>1</v>
      </c>
      <c r="AN121" s="23">
        <v>0</v>
      </c>
      <c r="AO121" s="23">
        <v>1</v>
      </c>
      <c r="AP121" s="23">
        <v>0</v>
      </c>
      <c r="AQ121" s="23">
        <v>0</v>
      </c>
      <c r="AR121" s="23">
        <v>0</v>
      </c>
      <c r="AS121" s="23">
        <v>1</v>
      </c>
      <c r="AT121" s="23">
        <v>0</v>
      </c>
      <c r="AU121" s="23">
        <v>1</v>
      </c>
      <c r="AV121" s="23">
        <v>0</v>
      </c>
      <c r="AW121" s="23">
        <v>0</v>
      </c>
      <c r="AX121" s="23">
        <v>1</v>
      </c>
      <c r="AY121" s="23">
        <v>0</v>
      </c>
      <c r="AZ121" s="23">
        <v>0</v>
      </c>
      <c r="BA121" s="23">
        <v>0</v>
      </c>
      <c r="BB121" s="23">
        <v>1</v>
      </c>
      <c r="BC121" s="23">
        <v>0</v>
      </c>
      <c r="BD121" s="23">
        <v>0</v>
      </c>
      <c r="BE121" s="23">
        <v>0</v>
      </c>
      <c r="BF121" s="23">
        <v>1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f t="shared" si="36"/>
        <v>10</v>
      </c>
      <c r="BQ121" s="23">
        <f t="shared" si="37"/>
        <v>10</v>
      </c>
      <c r="BR121" s="23">
        <f t="shared" si="38"/>
        <v>0</v>
      </c>
      <c r="BS121" s="23">
        <f t="shared" si="39"/>
        <v>0</v>
      </c>
      <c r="BT121" s="23">
        <f t="shared" si="40"/>
        <v>10</v>
      </c>
      <c r="BU121" s="23">
        <f t="shared" si="41"/>
        <v>0</v>
      </c>
      <c r="BV121" s="23">
        <f t="shared" si="42"/>
        <v>10</v>
      </c>
      <c r="BW121" s="23">
        <f t="shared" si="43"/>
        <v>0</v>
      </c>
      <c r="BX121" s="23">
        <f t="shared" si="44"/>
        <v>0</v>
      </c>
      <c r="BY121" s="23">
        <f t="shared" si="45"/>
        <v>0</v>
      </c>
      <c r="BZ121" s="23">
        <f t="shared" si="46"/>
        <v>10</v>
      </c>
      <c r="CA121" s="23">
        <f t="shared" si="47"/>
        <v>0</v>
      </c>
      <c r="CB121" s="23">
        <f t="shared" si="48"/>
        <v>10</v>
      </c>
      <c r="CC121" s="23">
        <f t="shared" si="49"/>
        <v>0</v>
      </c>
      <c r="CD121" s="23">
        <f t="shared" si="50"/>
        <v>0</v>
      </c>
      <c r="CE121" s="23">
        <f t="shared" si="51"/>
        <v>10</v>
      </c>
      <c r="CF121" s="23">
        <f t="shared" si="52"/>
        <v>0</v>
      </c>
      <c r="CG121" s="23">
        <f t="shared" si="53"/>
        <v>0</v>
      </c>
      <c r="CH121" s="23">
        <f t="shared" si="54"/>
        <v>0</v>
      </c>
      <c r="CI121" s="23">
        <f t="shared" si="55"/>
        <v>10</v>
      </c>
      <c r="CJ121" s="23">
        <f t="shared" si="56"/>
        <v>0</v>
      </c>
      <c r="CK121" s="23">
        <f t="shared" si="57"/>
        <v>0</v>
      </c>
      <c r="CL121" s="23">
        <f t="shared" si="58"/>
        <v>0</v>
      </c>
      <c r="CM121" s="23">
        <f t="shared" si="59"/>
        <v>10</v>
      </c>
      <c r="CN121" s="23">
        <f t="shared" si="60"/>
        <v>0</v>
      </c>
      <c r="CO121" s="23">
        <f t="shared" si="61"/>
        <v>0</v>
      </c>
      <c r="CP121" s="23">
        <f t="shared" si="62"/>
        <v>0</v>
      </c>
      <c r="CQ121" s="23">
        <f t="shared" si="63"/>
        <v>0</v>
      </c>
      <c r="CR121" s="23">
        <f t="shared" si="64"/>
        <v>0</v>
      </c>
      <c r="CS121" s="23">
        <f t="shared" si="65"/>
        <v>0</v>
      </c>
      <c r="CT121" s="23">
        <f t="shared" si="66"/>
        <v>0</v>
      </c>
      <c r="CU121" s="23">
        <f t="shared" si="67"/>
        <v>0</v>
      </c>
      <c r="CV121" s="23">
        <f t="shared" si="68"/>
        <v>0</v>
      </c>
    </row>
    <row r="122" spans="1:100" ht="13.5">
      <c r="A122" s="15">
        <v>546</v>
      </c>
      <c r="B122" s="27" t="s">
        <v>445</v>
      </c>
      <c r="C122" t="s">
        <v>208</v>
      </c>
      <c r="E122" t="s">
        <v>134</v>
      </c>
      <c r="F122" t="s">
        <v>133</v>
      </c>
      <c r="G122" t="s">
        <v>134</v>
      </c>
      <c r="H122" t="s">
        <v>209</v>
      </c>
      <c r="I122" s="6" t="s">
        <v>136</v>
      </c>
      <c r="J122" s="6">
        <v>1</v>
      </c>
      <c r="L122" s="15">
        <v>18</v>
      </c>
      <c r="N122" s="7">
        <v>46330</v>
      </c>
      <c r="O122" s="7">
        <v>46329</v>
      </c>
      <c r="P122" s="7">
        <v>46330</v>
      </c>
      <c r="S122" s="6" t="s">
        <v>134</v>
      </c>
      <c r="U122" s="6" t="s">
        <v>191</v>
      </c>
      <c r="V122" s="6" t="str">
        <f t="shared" si="35"/>
        <v>26/11</v>
      </c>
      <c r="W122">
        <v>21445</v>
      </c>
      <c r="Y122" s="6" t="s">
        <v>211</v>
      </c>
      <c r="Z122" s="6" t="s">
        <v>212</v>
      </c>
      <c r="AA122">
        <v>3245</v>
      </c>
      <c r="AI122" s="23">
        <v>1</v>
      </c>
      <c r="AJ122" s="23">
        <v>1</v>
      </c>
      <c r="AK122" s="23">
        <v>0</v>
      </c>
      <c r="AL122" s="23">
        <v>0</v>
      </c>
      <c r="AM122" s="23">
        <v>1</v>
      </c>
      <c r="AN122" s="23">
        <v>0</v>
      </c>
      <c r="AO122" s="23">
        <v>1</v>
      </c>
      <c r="AP122" s="23">
        <v>0</v>
      </c>
      <c r="AQ122" s="23">
        <v>0</v>
      </c>
      <c r="AR122" s="23">
        <v>0</v>
      </c>
      <c r="AS122" s="23">
        <v>0</v>
      </c>
      <c r="AT122" s="23">
        <v>1</v>
      </c>
      <c r="AU122" s="23">
        <v>1</v>
      </c>
      <c r="AV122" s="23">
        <v>0</v>
      </c>
      <c r="AW122" s="23">
        <v>0</v>
      </c>
      <c r="AX122" s="23">
        <v>1</v>
      </c>
      <c r="AY122" s="23">
        <v>0</v>
      </c>
      <c r="AZ122" s="23">
        <v>0</v>
      </c>
      <c r="BA122" s="23">
        <v>0</v>
      </c>
      <c r="BB122" s="23">
        <v>1</v>
      </c>
      <c r="BC122" s="23">
        <v>0</v>
      </c>
      <c r="BD122" s="23">
        <v>0</v>
      </c>
      <c r="BE122" s="23">
        <v>0</v>
      </c>
      <c r="BF122" s="23">
        <v>1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0</v>
      </c>
      <c r="BP122" s="23">
        <f t="shared" si="36"/>
        <v>18</v>
      </c>
      <c r="BQ122" s="23">
        <f t="shared" si="37"/>
        <v>18</v>
      </c>
      <c r="BR122" s="23">
        <f t="shared" si="38"/>
        <v>0</v>
      </c>
      <c r="BS122" s="23">
        <f t="shared" si="39"/>
        <v>0</v>
      </c>
      <c r="BT122" s="23">
        <f t="shared" si="40"/>
        <v>18</v>
      </c>
      <c r="BU122" s="23">
        <f t="shared" si="41"/>
        <v>0</v>
      </c>
      <c r="BV122" s="23">
        <f t="shared" si="42"/>
        <v>18</v>
      </c>
      <c r="BW122" s="23">
        <f t="shared" si="43"/>
        <v>0</v>
      </c>
      <c r="BX122" s="23">
        <f t="shared" si="44"/>
        <v>0</v>
      </c>
      <c r="BY122" s="23">
        <f t="shared" si="45"/>
        <v>0</v>
      </c>
      <c r="BZ122" s="23">
        <f t="shared" si="46"/>
        <v>0</v>
      </c>
      <c r="CA122" s="23">
        <f t="shared" si="47"/>
        <v>18</v>
      </c>
      <c r="CB122" s="23">
        <f t="shared" si="48"/>
        <v>18</v>
      </c>
      <c r="CC122" s="23">
        <f t="shared" si="49"/>
        <v>0</v>
      </c>
      <c r="CD122" s="23">
        <f t="shared" si="50"/>
        <v>0</v>
      </c>
      <c r="CE122" s="23">
        <f t="shared" si="51"/>
        <v>18</v>
      </c>
      <c r="CF122" s="23">
        <f t="shared" si="52"/>
        <v>0</v>
      </c>
      <c r="CG122" s="23">
        <f t="shared" si="53"/>
        <v>0</v>
      </c>
      <c r="CH122" s="23">
        <f t="shared" si="54"/>
        <v>0</v>
      </c>
      <c r="CI122" s="23">
        <f t="shared" si="55"/>
        <v>18</v>
      </c>
      <c r="CJ122" s="23">
        <f t="shared" si="56"/>
        <v>0</v>
      </c>
      <c r="CK122" s="23">
        <f t="shared" si="57"/>
        <v>0</v>
      </c>
      <c r="CL122" s="23">
        <f t="shared" si="58"/>
        <v>0</v>
      </c>
      <c r="CM122" s="23">
        <f t="shared" si="59"/>
        <v>18</v>
      </c>
      <c r="CN122" s="23">
        <f t="shared" si="60"/>
        <v>0</v>
      </c>
      <c r="CO122" s="23">
        <f t="shared" si="61"/>
        <v>0</v>
      </c>
      <c r="CP122" s="23">
        <f t="shared" si="62"/>
        <v>0</v>
      </c>
      <c r="CQ122" s="23">
        <f t="shared" si="63"/>
        <v>0</v>
      </c>
      <c r="CR122" s="23">
        <f t="shared" si="64"/>
        <v>0</v>
      </c>
      <c r="CS122" s="23">
        <f t="shared" si="65"/>
        <v>0</v>
      </c>
      <c r="CT122" s="23">
        <f t="shared" si="66"/>
        <v>0</v>
      </c>
      <c r="CU122" s="23">
        <f t="shared" si="67"/>
        <v>0</v>
      </c>
      <c r="CV122" s="23">
        <f t="shared" si="68"/>
        <v>0</v>
      </c>
    </row>
    <row r="123" spans="1:100" ht="13.5">
      <c r="A123" s="15">
        <v>550</v>
      </c>
      <c r="B123" s="27" t="s">
        <v>447</v>
      </c>
      <c r="C123" t="s">
        <v>279</v>
      </c>
      <c r="E123" t="s">
        <v>285</v>
      </c>
      <c r="F123" t="s">
        <v>133</v>
      </c>
      <c r="G123" t="s">
        <v>285</v>
      </c>
      <c r="H123" t="s">
        <v>368</v>
      </c>
      <c r="I123" s="6" t="s">
        <v>136</v>
      </c>
      <c r="J123" s="6">
        <v>0</v>
      </c>
      <c r="K123" t="s">
        <v>369</v>
      </c>
      <c r="L123" s="15">
        <v>1</v>
      </c>
      <c r="N123" s="7">
        <v>46357</v>
      </c>
      <c r="O123" s="7">
        <v>46356</v>
      </c>
      <c r="P123" s="7">
        <v>46357</v>
      </c>
      <c r="S123" s="6" t="s">
        <v>285</v>
      </c>
      <c r="U123" s="6" t="s">
        <v>191</v>
      </c>
      <c r="V123" s="6" t="str">
        <f t="shared" si="35"/>
        <v>26/12</v>
      </c>
      <c r="W123">
        <v>21446</v>
      </c>
      <c r="Y123" s="6" t="s">
        <v>286</v>
      </c>
      <c r="Z123" s="6" t="s">
        <v>193</v>
      </c>
      <c r="AE123">
        <v>1281</v>
      </c>
      <c r="AI123" s="23">
        <v>1</v>
      </c>
      <c r="AJ123" s="23">
        <v>1</v>
      </c>
      <c r="AK123" s="23">
        <v>0</v>
      </c>
      <c r="AL123" s="23">
        <v>0</v>
      </c>
      <c r="AM123" s="23">
        <v>1</v>
      </c>
      <c r="AN123" s="23">
        <v>0</v>
      </c>
      <c r="AO123" s="23">
        <v>0</v>
      </c>
      <c r="AP123" s="23">
        <v>1</v>
      </c>
      <c r="AQ123" s="23">
        <v>0</v>
      </c>
      <c r="AR123" s="23">
        <v>0</v>
      </c>
      <c r="AS123" s="23">
        <v>1</v>
      </c>
      <c r="AT123" s="23">
        <v>0</v>
      </c>
      <c r="AU123" s="23">
        <v>1</v>
      </c>
      <c r="AV123" s="23">
        <v>0</v>
      </c>
      <c r="AW123" s="23">
        <v>0</v>
      </c>
      <c r="AX123" s="23">
        <v>1</v>
      </c>
      <c r="AY123" s="23">
        <v>0</v>
      </c>
      <c r="AZ123" s="23">
        <v>0</v>
      </c>
      <c r="BA123" s="23">
        <v>0</v>
      </c>
      <c r="BB123" s="23">
        <v>1</v>
      </c>
      <c r="BC123" s="23">
        <v>0</v>
      </c>
      <c r="BD123" s="23">
        <v>0</v>
      </c>
      <c r="BE123" s="23">
        <v>0</v>
      </c>
      <c r="BF123" s="23">
        <v>1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0</v>
      </c>
      <c r="BO123" s="23">
        <v>0</v>
      </c>
      <c r="BP123" s="23">
        <f t="shared" si="36"/>
        <v>1</v>
      </c>
      <c r="BQ123" s="23">
        <f t="shared" si="37"/>
        <v>1</v>
      </c>
      <c r="BR123" s="23">
        <f t="shared" si="38"/>
        <v>0</v>
      </c>
      <c r="BS123" s="23">
        <f t="shared" si="39"/>
        <v>0</v>
      </c>
      <c r="BT123" s="23">
        <f t="shared" si="40"/>
        <v>1</v>
      </c>
      <c r="BU123" s="23">
        <f t="shared" si="41"/>
        <v>0</v>
      </c>
      <c r="BV123" s="23">
        <f t="shared" si="42"/>
        <v>0</v>
      </c>
      <c r="BW123" s="23">
        <f t="shared" si="43"/>
        <v>1</v>
      </c>
      <c r="BX123" s="23">
        <f t="shared" si="44"/>
        <v>0</v>
      </c>
      <c r="BY123" s="23">
        <f t="shared" si="45"/>
        <v>0</v>
      </c>
      <c r="BZ123" s="23">
        <f t="shared" si="46"/>
        <v>1</v>
      </c>
      <c r="CA123" s="23">
        <f t="shared" si="47"/>
        <v>0</v>
      </c>
      <c r="CB123" s="23">
        <f t="shared" si="48"/>
        <v>1</v>
      </c>
      <c r="CC123" s="23">
        <f t="shared" si="49"/>
        <v>0</v>
      </c>
      <c r="CD123" s="23">
        <f t="shared" si="50"/>
        <v>0</v>
      </c>
      <c r="CE123" s="23">
        <f t="shared" si="51"/>
        <v>1</v>
      </c>
      <c r="CF123" s="23">
        <f t="shared" si="52"/>
        <v>0</v>
      </c>
      <c r="CG123" s="23">
        <f t="shared" si="53"/>
        <v>0</v>
      </c>
      <c r="CH123" s="23">
        <f t="shared" si="54"/>
        <v>0</v>
      </c>
      <c r="CI123" s="23">
        <f t="shared" si="55"/>
        <v>1</v>
      </c>
      <c r="CJ123" s="23">
        <f t="shared" si="56"/>
        <v>0</v>
      </c>
      <c r="CK123" s="23">
        <f t="shared" si="57"/>
        <v>0</v>
      </c>
      <c r="CL123" s="23">
        <f t="shared" si="58"/>
        <v>0</v>
      </c>
      <c r="CM123" s="23">
        <f t="shared" si="59"/>
        <v>1</v>
      </c>
      <c r="CN123" s="23">
        <f t="shared" si="60"/>
        <v>0</v>
      </c>
      <c r="CO123" s="23">
        <f t="shared" si="61"/>
        <v>0</v>
      </c>
      <c r="CP123" s="23">
        <f t="shared" si="62"/>
        <v>0</v>
      </c>
      <c r="CQ123" s="23">
        <f t="shared" si="63"/>
        <v>0</v>
      </c>
      <c r="CR123" s="23">
        <f t="shared" si="64"/>
        <v>0</v>
      </c>
      <c r="CS123" s="23">
        <f t="shared" si="65"/>
        <v>0</v>
      </c>
      <c r="CT123" s="23">
        <f t="shared" si="66"/>
        <v>0</v>
      </c>
      <c r="CU123" s="23">
        <f t="shared" si="67"/>
        <v>0</v>
      </c>
      <c r="CV123" s="23">
        <f t="shared" si="68"/>
        <v>0</v>
      </c>
    </row>
    <row r="124" spans="1:100" ht="13.5">
      <c r="A124" s="15">
        <v>552</v>
      </c>
      <c r="B124" s="27" t="s">
        <v>449</v>
      </c>
      <c r="C124" t="s">
        <v>259</v>
      </c>
      <c r="E124" t="s">
        <v>450</v>
      </c>
      <c r="F124" t="s">
        <v>133</v>
      </c>
      <c r="G124" t="s">
        <v>450</v>
      </c>
      <c r="H124" t="s">
        <v>451</v>
      </c>
      <c r="I124" s="6" t="s">
        <v>136</v>
      </c>
      <c r="J124" s="6">
        <v>1</v>
      </c>
      <c r="L124" s="15">
        <v>3</v>
      </c>
      <c r="N124" s="7">
        <v>46357</v>
      </c>
      <c r="O124" s="7">
        <v>46356</v>
      </c>
      <c r="P124" s="7">
        <v>46357</v>
      </c>
      <c r="S124" s="6" t="s">
        <v>450</v>
      </c>
      <c r="U124" s="6" t="s">
        <v>191</v>
      </c>
      <c r="V124" s="6" t="str">
        <f t="shared" si="35"/>
        <v>26/12</v>
      </c>
      <c r="W124">
        <v>21447</v>
      </c>
      <c r="Y124" s="6" t="s">
        <v>192</v>
      </c>
      <c r="Z124" s="6" t="s">
        <v>193</v>
      </c>
      <c r="AD124">
        <v>8241</v>
      </c>
      <c r="AI124" s="23">
        <v>1</v>
      </c>
      <c r="AJ124" s="23">
        <v>1</v>
      </c>
      <c r="AK124" s="23">
        <v>0</v>
      </c>
      <c r="AL124" s="23">
        <v>0</v>
      </c>
      <c r="AM124" s="23">
        <v>1</v>
      </c>
      <c r="AN124" s="23">
        <v>0</v>
      </c>
      <c r="AO124" s="23">
        <v>1</v>
      </c>
      <c r="AP124" s="23">
        <v>0</v>
      </c>
      <c r="AQ124" s="23">
        <v>0</v>
      </c>
      <c r="AR124" s="23">
        <v>0</v>
      </c>
      <c r="AS124" s="23">
        <v>1</v>
      </c>
      <c r="AT124" s="23">
        <v>0</v>
      </c>
      <c r="AU124" s="23">
        <v>1</v>
      </c>
      <c r="AV124" s="23">
        <v>0</v>
      </c>
      <c r="AW124" s="23">
        <v>0</v>
      </c>
      <c r="AX124" s="23">
        <v>1</v>
      </c>
      <c r="AY124" s="23">
        <v>0</v>
      </c>
      <c r="AZ124" s="23">
        <v>0</v>
      </c>
      <c r="BA124" s="23">
        <v>0</v>
      </c>
      <c r="BB124" s="23">
        <v>1</v>
      </c>
      <c r="BC124" s="23">
        <v>0</v>
      </c>
      <c r="BD124" s="23">
        <v>0</v>
      </c>
      <c r="BE124" s="23">
        <v>0</v>
      </c>
      <c r="BF124" s="23">
        <v>1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0</v>
      </c>
      <c r="BO124" s="23">
        <v>0</v>
      </c>
      <c r="BP124" s="23">
        <f t="shared" si="36"/>
        <v>3</v>
      </c>
      <c r="BQ124" s="23">
        <f t="shared" si="37"/>
        <v>3</v>
      </c>
      <c r="BR124" s="23">
        <f t="shared" si="38"/>
        <v>0</v>
      </c>
      <c r="BS124" s="23">
        <f t="shared" si="39"/>
        <v>0</v>
      </c>
      <c r="BT124" s="23">
        <f t="shared" si="40"/>
        <v>3</v>
      </c>
      <c r="BU124" s="23">
        <f t="shared" si="41"/>
        <v>0</v>
      </c>
      <c r="BV124" s="23">
        <f t="shared" si="42"/>
        <v>3</v>
      </c>
      <c r="BW124" s="23">
        <f t="shared" si="43"/>
        <v>0</v>
      </c>
      <c r="BX124" s="23">
        <f t="shared" si="44"/>
        <v>0</v>
      </c>
      <c r="BY124" s="23">
        <f t="shared" si="45"/>
        <v>0</v>
      </c>
      <c r="BZ124" s="23">
        <f t="shared" si="46"/>
        <v>3</v>
      </c>
      <c r="CA124" s="23">
        <f t="shared" si="47"/>
        <v>0</v>
      </c>
      <c r="CB124" s="23">
        <f t="shared" si="48"/>
        <v>3</v>
      </c>
      <c r="CC124" s="23">
        <f t="shared" si="49"/>
        <v>0</v>
      </c>
      <c r="CD124" s="23">
        <f t="shared" si="50"/>
        <v>0</v>
      </c>
      <c r="CE124" s="23">
        <f t="shared" si="51"/>
        <v>3</v>
      </c>
      <c r="CF124" s="23">
        <f t="shared" si="52"/>
        <v>0</v>
      </c>
      <c r="CG124" s="23">
        <f t="shared" si="53"/>
        <v>0</v>
      </c>
      <c r="CH124" s="23">
        <f t="shared" si="54"/>
        <v>0</v>
      </c>
      <c r="CI124" s="23">
        <f t="shared" si="55"/>
        <v>3</v>
      </c>
      <c r="CJ124" s="23">
        <f t="shared" si="56"/>
        <v>0</v>
      </c>
      <c r="CK124" s="23">
        <f t="shared" si="57"/>
        <v>0</v>
      </c>
      <c r="CL124" s="23">
        <f t="shared" si="58"/>
        <v>0</v>
      </c>
      <c r="CM124" s="23">
        <f t="shared" si="59"/>
        <v>3</v>
      </c>
      <c r="CN124" s="23">
        <f t="shared" si="60"/>
        <v>0</v>
      </c>
      <c r="CO124" s="23">
        <f t="shared" si="61"/>
        <v>0</v>
      </c>
      <c r="CP124" s="23">
        <f t="shared" si="62"/>
        <v>0</v>
      </c>
      <c r="CQ124" s="23">
        <f t="shared" si="63"/>
        <v>0</v>
      </c>
      <c r="CR124" s="23">
        <f t="shared" si="64"/>
        <v>0</v>
      </c>
      <c r="CS124" s="23">
        <f t="shared" si="65"/>
        <v>0</v>
      </c>
      <c r="CT124" s="23">
        <f t="shared" si="66"/>
        <v>0</v>
      </c>
      <c r="CU124" s="23">
        <f t="shared" si="67"/>
        <v>0</v>
      </c>
      <c r="CV124" s="23">
        <f t="shared" si="68"/>
        <v>0</v>
      </c>
    </row>
    <row r="125" spans="1:100" ht="13.5">
      <c r="A125" s="15">
        <v>551</v>
      </c>
      <c r="B125" s="27" t="s">
        <v>448</v>
      </c>
      <c r="C125" t="s">
        <v>259</v>
      </c>
      <c r="E125" t="s">
        <v>260</v>
      </c>
      <c r="F125" t="s">
        <v>133</v>
      </c>
      <c r="G125" t="s">
        <v>260</v>
      </c>
      <c r="H125" t="s">
        <v>261</v>
      </c>
      <c r="I125" s="6" t="s">
        <v>136</v>
      </c>
      <c r="J125" s="6">
        <v>1</v>
      </c>
      <c r="L125" s="15">
        <v>3</v>
      </c>
      <c r="N125" s="7">
        <v>46357</v>
      </c>
      <c r="O125" s="7">
        <v>46356</v>
      </c>
      <c r="P125" s="7">
        <v>46357</v>
      </c>
      <c r="S125" s="6" t="s">
        <v>260</v>
      </c>
      <c r="U125" s="6" t="s">
        <v>191</v>
      </c>
      <c r="V125" s="6" t="str">
        <f t="shared" si="35"/>
        <v>26/12</v>
      </c>
      <c r="W125">
        <v>21448</v>
      </c>
      <c r="Y125" s="6" t="s">
        <v>192</v>
      </c>
      <c r="Z125" s="6" t="s">
        <v>193</v>
      </c>
      <c r="AD125">
        <v>8242</v>
      </c>
      <c r="AI125" s="23">
        <v>1</v>
      </c>
      <c r="AJ125" s="23">
        <v>1</v>
      </c>
      <c r="AK125" s="23">
        <v>0</v>
      </c>
      <c r="AL125" s="23">
        <v>0</v>
      </c>
      <c r="AM125" s="23">
        <v>1</v>
      </c>
      <c r="AN125" s="23">
        <v>0</v>
      </c>
      <c r="AO125" s="23">
        <v>1</v>
      </c>
      <c r="AP125" s="23">
        <v>0</v>
      </c>
      <c r="AQ125" s="23">
        <v>0</v>
      </c>
      <c r="AR125" s="23">
        <v>0</v>
      </c>
      <c r="AS125" s="23">
        <v>0</v>
      </c>
      <c r="AT125" s="23">
        <v>1</v>
      </c>
      <c r="AU125" s="23">
        <v>1</v>
      </c>
      <c r="AV125" s="23">
        <v>0</v>
      </c>
      <c r="AW125" s="23">
        <v>0</v>
      </c>
      <c r="AX125" s="23">
        <v>1</v>
      </c>
      <c r="AY125" s="23">
        <v>0</v>
      </c>
      <c r="AZ125" s="23">
        <v>0</v>
      </c>
      <c r="BA125" s="23">
        <v>0</v>
      </c>
      <c r="BB125" s="23">
        <v>1</v>
      </c>
      <c r="BC125" s="23">
        <v>0</v>
      </c>
      <c r="BD125" s="23">
        <v>0</v>
      </c>
      <c r="BE125" s="23">
        <v>0</v>
      </c>
      <c r="BF125" s="23">
        <v>1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>
        <f t="shared" si="36"/>
        <v>3</v>
      </c>
      <c r="BQ125" s="23">
        <f t="shared" si="37"/>
        <v>3</v>
      </c>
      <c r="BR125" s="23">
        <f t="shared" si="38"/>
        <v>0</v>
      </c>
      <c r="BS125" s="23">
        <f t="shared" si="39"/>
        <v>0</v>
      </c>
      <c r="BT125" s="23">
        <f t="shared" si="40"/>
        <v>3</v>
      </c>
      <c r="BU125" s="23">
        <f t="shared" si="41"/>
        <v>0</v>
      </c>
      <c r="BV125" s="23">
        <f t="shared" si="42"/>
        <v>3</v>
      </c>
      <c r="BW125" s="23">
        <f t="shared" si="43"/>
        <v>0</v>
      </c>
      <c r="BX125" s="23">
        <f t="shared" si="44"/>
        <v>0</v>
      </c>
      <c r="BY125" s="23">
        <f t="shared" si="45"/>
        <v>0</v>
      </c>
      <c r="BZ125" s="23">
        <f t="shared" si="46"/>
        <v>0</v>
      </c>
      <c r="CA125" s="23">
        <f t="shared" si="47"/>
        <v>3</v>
      </c>
      <c r="CB125" s="23">
        <f t="shared" si="48"/>
        <v>3</v>
      </c>
      <c r="CC125" s="23">
        <f t="shared" si="49"/>
        <v>0</v>
      </c>
      <c r="CD125" s="23">
        <f t="shared" si="50"/>
        <v>0</v>
      </c>
      <c r="CE125" s="23">
        <f t="shared" si="51"/>
        <v>3</v>
      </c>
      <c r="CF125" s="23">
        <f t="shared" si="52"/>
        <v>0</v>
      </c>
      <c r="CG125" s="23">
        <f t="shared" si="53"/>
        <v>0</v>
      </c>
      <c r="CH125" s="23">
        <f t="shared" si="54"/>
        <v>0</v>
      </c>
      <c r="CI125" s="23">
        <f t="shared" si="55"/>
        <v>3</v>
      </c>
      <c r="CJ125" s="23">
        <f t="shared" si="56"/>
        <v>0</v>
      </c>
      <c r="CK125" s="23">
        <f t="shared" si="57"/>
        <v>0</v>
      </c>
      <c r="CL125" s="23">
        <f t="shared" si="58"/>
        <v>0</v>
      </c>
      <c r="CM125" s="23">
        <f t="shared" si="59"/>
        <v>3</v>
      </c>
      <c r="CN125" s="23">
        <f t="shared" si="60"/>
        <v>0</v>
      </c>
      <c r="CO125" s="23">
        <f t="shared" si="61"/>
        <v>0</v>
      </c>
      <c r="CP125" s="23">
        <f t="shared" si="62"/>
        <v>0</v>
      </c>
      <c r="CQ125" s="23">
        <f t="shared" si="63"/>
        <v>0</v>
      </c>
      <c r="CR125" s="23">
        <f t="shared" si="64"/>
        <v>0</v>
      </c>
      <c r="CS125" s="23">
        <f t="shared" si="65"/>
        <v>0</v>
      </c>
      <c r="CT125" s="23">
        <f t="shared" si="66"/>
        <v>0</v>
      </c>
      <c r="CU125" s="23">
        <f t="shared" si="67"/>
        <v>0</v>
      </c>
      <c r="CV125" s="23">
        <f t="shared" si="68"/>
        <v>0</v>
      </c>
    </row>
    <row r="126" spans="1:100" ht="13.5">
      <c r="A126" s="15">
        <v>553</v>
      </c>
      <c r="B126" s="27" t="s">
        <v>452</v>
      </c>
      <c r="C126" t="s">
        <v>208</v>
      </c>
      <c r="E126" t="s">
        <v>441</v>
      </c>
      <c r="F126" t="s">
        <v>133</v>
      </c>
      <c r="G126" t="s">
        <v>441</v>
      </c>
      <c r="H126" t="s">
        <v>442</v>
      </c>
      <c r="I126" s="6" t="s">
        <v>136</v>
      </c>
      <c r="J126" s="6">
        <v>1</v>
      </c>
      <c r="L126" s="15">
        <v>20</v>
      </c>
      <c r="N126" s="7">
        <v>46357</v>
      </c>
      <c r="O126" s="7">
        <v>46356</v>
      </c>
      <c r="P126" s="7">
        <v>46357</v>
      </c>
      <c r="S126" s="6" t="s">
        <v>441</v>
      </c>
      <c r="U126" s="6" t="s">
        <v>191</v>
      </c>
      <c r="V126" s="6" t="str">
        <f t="shared" si="35"/>
        <v>26/12</v>
      </c>
      <c r="W126">
        <v>21449</v>
      </c>
      <c r="Y126" s="6" t="s">
        <v>211</v>
      </c>
      <c r="Z126" s="6" t="s">
        <v>212</v>
      </c>
      <c r="AA126">
        <v>3246</v>
      </c>
      <c r="AI126" s="23">
        <v>1</v>
      </c>
      <c r="AJ126" s="23">
        <v>1</v>
      </c>
      <c r="AK126" s="23">
        <v>0</v>
      </c>
      <c r="AL126" s="23">
        <v>0</v>
      </c>
      <c r="AM126" s="23">
        <v>1</v>
      </c>
      <c r="AN126" s="23">
        <v>0</v>
      </c>
      <c r="AO126" s="23">
        <v>1</v>
      </c>
      <c r="AP126" s="23">
        <v>0</v>
      </c>
      <c r="AQ126" s="23">
        <v>0</v>
      </c>
      <c r="AR126" s="23">
        <v>0</v>
      </c>
      <c r="AS126" s="23">
        <v>1</v>
      </c>
      <c r="AT126" s="23">
        <v>0</v>
      </c>
      <c r="AU126" s="23">
        <v>1</v>
      </c>
      <c r="AV126" s="23">
        <v>0</v>
      </c>
      <c r="AW126" s="23">
        <v>0</v>
      </c>
      <c r="AX126" s="23">
        <v>1</v>
      </c>
      <c r="AY126" s="23">
        <v>0</v>
      </c>
      <c r="AZ126" s="23">
        <v>0</v>
      </c>
      <c r="BA126" s="23">
        <v>0</v>
      </c>
      <c r="BB126" s="23">
        <v>1</v>
      </c>
      <c r="BC126" s="23">
        <v>0</v>
      </c>
      <c r="BD126" s="23">
        <v>0</v>
      </c>
      <c r="BE126" s="23">
        <v>0</v>
      </c>
      <c r="BF126" s="23">
        <v>1</v>
      </c>
      <c r="BG126" s="23">
        <v>0</v>
      </c>
      <c r="BH126" s="23">
        <v>0</v>
      </c>
      <c r="BI126" s="23">
        <v>0</v>
      </c>
      <c r="BJ126" s="23">
        <v>0</v>
      </c>
      <c r="BK126" s="23">
        <v>0</v>
      </c>
      <c r="BL126" s="23">
        <v>0</v>
      </c>
      <c r="BM126" s="23">
        <v>0</v>
      </c>
      <c r="BN126" s="23">
        <v>0</v>
      </c>
      <c r="BO126" s="23">
        <v>0</v>
      </c>
      <c r="BP126" s="23">
        <f t="shared" si="36"/>
        <v>20</v>
      </c>
      <c r="BQ126" s="23">
        <f t="shared" si="37"/>
        <v>20</v>
      </c>
      <c r="BR126" s="23">
        <f t="shared" si="38"/>
        <v>0</v>
      </c>
      <c r="BS126" s="23">
        <f t="shared" si="39"/>
        <v>0</v>
      </c>
      <c r="BT126" s="23">
        <f t="shared" si="40"/>
        <v>20</v>
      </c>
      <c r="BU126" s="23">
        <f t="shared" si="41"/>
        <v>0</v>
      </c>
      <c r="BV126" s="23">
        <f t="shared" si="42"/>
        <v>20</v>
      </c>
      <c r="BW126" s="23">
        <f t="shared" si="43"/>
        <v>0</v>
      </c>
      <c r="BX126" s="23">
        <f t="shared" si="44"/>
        <v>0</v>
      </c>
      <c r="BY126" s="23">
        <f t="shared" si="45"/>
        <v>0</v>
      </c>
      <c r="BZ126" s="23">
        <f t="shared" si="46"/>
        <v>20</v>
      </c>
      <c r="CA126" s="23">
        <f t="shared" si="47"/>
        <v>0</v>
      </c>
      <c r="CB126" s="23">
        <f t="shared" si="48"/>
        <v>20</v>
      </c>
      <c r="CC126" s="23">
        <f t="shared" si="49"/>
        <v>0</v>
      </c>
      <c r="CD126" s="23">
        <f t="shared" si="50"/>
        <v>0</v>
      </c>
      <c r="CE126" s="23">
        <f t="shared" si="51"/>
        <v>20</v>
      </c>
      <c r="CF126" s="23">
        <f t="shared" si="52"/>
        <v>0</v>
      </c>
      <c r="CG126" s="23">
        <f t="shared" si="53"/>
        <v>0</v>
      </c>
      <c r="CH126" s="23">
        <f t="shared" si="54"/>
        <v>0</v>
      </c>
      <c r="CI126" s="23">
        <f t="shared" si="55"/>
        <v>20</v>
      </c>
      <c r="CJ126" s="23">
        <f t="shared" si="56"/>
        <v>0</v>
      </c>
      <c r="CK126" s="23">
        <f t="shared" si="57"/>
        <v>0</v>
      </c>
      <c r="CL126" s="23">
        <f t="shared" si="58"/>
        <v>0</v>
      </c>
      <c r="CM126" s="23">
        <f t="shared" si="59"/>
        <v>20</v>
      </c>
      <c r="CN126" s="23">
        <f t="shared" si="60"/>
        <v>0</v>
      </c>
      <c r="CO126" s="23">
        <f t="shared" si="61"/>
        <v>0</v>
      </c>
      <c r="CP126" s="23">
        <f t="shared" si="62"/>
        <v>0</v>
      </c>
      <c r="CQ126" s="23">
        <f t="shared" si="63"/>
        <v>0</v>
      </c>
      <c r="CR126" s="23">
        <f t="shared" si="64"/>
        <v>0</v>
      </c>
      <c r="CS126" s="23">
        <f t="shared" si="65"/>
        <v>0</v>
      </c>
      <c r="CT126" s="23">
        <f t="shared" si="66"/>
        <v>0</v>
      </c>
      <c r="CU126" s="23">
        <f t="shared" si="67"/>
        <v>0</v>
      </c>
      <c r="CV126" s="23">
        <f t="shared" si="68"/>
        <v>0</v>
      </c>
    </row>
    <row r="127" spans="1:100" ht="13.5">
      <c r="A127" s="15">
        <v>575</v>
      </c>
      <c r="B127" s="27" t="s">
        <v>453</v>
      </c>
      <c r="C127" t="s">
        <v>259</v>
      </c>
      <c r="E127" t="s">
        <v>450</v>
      </c>
      <c r="F127" t="s">
        <v>133</v>
      </c>
      <c r="G127" t="s">
        <v>450</v>
      </c>
      <c r="H127" t="s">
        <v>451</v>
      </c>
      <c r="I127" s="6" t="s">
        <v>136</v>
      </c>
      <c r="J127" s="6">
        <v>1</v>
      </c>
      <c r="L127" s="15">
        <v>11</v>
      </c>
      <c r="N127" s="7">
        <v>46388</v>
      </c>
      <c r="O127" s="7">
        <v>46387</v>
      </c>
      <c r="P127" s="7">
        <v>46388</v>
      </c>
      <c r="S127" s="6" t="s">
        <v>450</v>
      </c>
      <c r="U127" s="6" t="s">
        <v>191</v>
      </c>
      <c r="V127" s="6" t="str">
        <f t="shared" si="35"/>
        <v>27/01</v>
      </c>
      <c r="W127">
        <v>21450</v>
      </c>
      <c r="Y127" s="6" t="s">
        <v>192</v>
      </c>
      <c r="Z127" s="6" t="s">
        <v>193</v>
      </c>
      <c r="AD127">
        <v>8243</v>
      </c>
      <c r="AI127" s="23">
        <v>1</v>
      </c>
      <c r="AJ127" s="23">
        <v>1</v>
      </c>
      <c r="AK127" s="23">
        <v>0</v>
      </c>
      <c r="AL127" s="23">
        <v>0</v>
      </c>
      <c r="AM127" s="23">
        <v>1</v>
      </c>
      <c r="AN127" s="23">
        <v>0</v>
      </c>
      <c r="AO127" s="23">
        <v>1</v>
      </c>
      <c r="AP127" s="23">
        <v>0</v>
      </c>
      <c r="AQ127" s="23">
        <v>0</v>
      </c>
      <c r="AR127" s="23">
        <v>0</v>
      </c>
      <c r="AS127" s="23">
        <v>1</v>
      </c>
      <c r="AT127" s="23">
        <v>0</v>
      </c>
      <c r="AU127" s="23">
        <v>1</v>
      </c>
      <c r="AV127" s="23">
        <v>0</v>
      </c>
      <c r="AW127" s="23">
        <v>0</v>
      </c>
      <c r="AX127" s="23">
        <v>1</v>
      </c>
      <c r="AY127" s="23">
        <v>0</v>
      </c>
      <c r="AZ127" s="23">
        <v>0</v>
      </c>
      <c r="BA127" s="23">
        <v>0</v>
      </c>
      <c r="BB127" s="23">
        <v>1</v>
      </c>
      <c r="BC127" s="23">
        <v>0</v>
      </c>
      <c r="BD127" s="23">
        <v>0</v>
      </c>
      <c r="BE127" s="23">
        <v>0</v>
      </c>
      <c r="BF127" s="23">
        <v>1</v>
      </c>
      <c r="BG127" s="23">
        <v>0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0</v>
      </c>
      <c r="BN127" s="23">
        <v>0</v>
      </c>
      <c r="BO127" s="23">
        <v>0</v>
      </c>
      <c r="BP127" s="23">
        <f t="shared" si="36"/>
        <v>11</v>
      </c>
      <c r="BQ127" s="23">
        <f t="shared" si="37"/>
        <v>11</v>
      </c>
      <c r="BR127" s="23">
        <f t="shared" si="38"/>
        <v>0</v>
      </c>
      <c r="BS127" s="23">
        <f t="shared" si="39"/>
        <v>0</v>
      </c>
      <c r="BT127" s="23">
        <f t="shared" si="40"/>
        <v>11</v>
      </c>
      <c r="BU127" s="23">
        <f t="shared" si="41"/>
        <v>0</v>
      </c>
      <c r="BV127" s="23">
        <f t="shared" si="42"/>
        <v>11</v>
      </c>
      <c r="BW127" s="23">
        <f t="shared" si="43"/>
        <v>0</v>
      </c>
      <c r="BX127" s="23">
        <f t="shared" si="44"/>
        <v>0</v>
      </c>
      <c r="BY127" s="23">
        <f t="shared" si="45"/>
        <v>0</v>
      </c>
      <c r="BZ127" s="23">
        <f t="shared" si="46"/>
        <v>11</v>
      </c>
      <c r="CA127" s="23">
        <f t="shared" si="47"/>
        <v>0</v>
      </c>
      <c r="CB127" s="23">
        <f t="shared" si="48"/>
        <v>11</v>
      </c>
      <c r="CC127" s="23">
        <f t="shared" si="49"/>
        <v>0</v>
      </c>
      <c r="CD127" s="23">
        <f t="shared" si="50"/>
        <v>0</v>
      </c>
      <c r="CE127" s="23">
        <f t="shared" si="51"/>
        <v>11</v>
      </c>
      <c r="CF127" s="23">
        <f t="shared" si="52"/>
        <v>0</v>
      </c>
      <c r="CG127" s="23">
        <f t="shared" si="53"/>
        <v>0</v>
      </c>
      <c r="CH127" s="23">
        <f t="shared" si="54"/>
        <v>0</v>
      </c>
      <c r="CI127" s="23">
        <f t="shared" si="55"/>
        <v>11</v>
      </c>
      <c r="CJ127" s="23">
        <f t="shared" si="56"/>
        <v>0</v>
      </c>
      <c r="CK127" s="23">
        <f t="shared" si="57"/>
        <v>0</v>
      </c>
      <c r="CL127" s="23">
        <f t="shared" si="58"/>
        <v>0</v>
      </c>
      <c r="CM127" s="23">
        <f t="shared" si="59"/>
        <v>11</v>
      </c>
      <c r="CN127" s="23">
        <f t="shared" si="60"/>
        <v>0</v>
      </c>
      <c r="CO127" s="23">
        <f t="shared" si="61"/>
        <v>0</v>
      </c>
      <c r="CP127" s="23">
        <f t="shared" si="62"/>
        <v>0</v>
      </c>
      <c r="CQ127" s="23">
        <f t="shared" si="63"/>
        <v>0</v>
      </c>
      <c r="CR127" s="23">
        <f t="shared" si="64"/>
        <v>0</v>
      </c>
      <c r="CS127" s="23">
        <f t="shared" si="65"/>
        <v>0</v>
      </c>
      <c r="CT127" s="23">
        <f t="shared" si="66"/>
        <v>0</v>
      </c>
      <c r="CU127" s="23">
        <f t="shared" si="67"/>
        <v>0</v>
      </c>
      <c r="CV127" s="23">
        <f t="shared" si="68"/>
        <v>0</v>
      </c>
    </row>
    <row r="128" spans="1:100" ht="13.5">
      <c r="A128" s="15">
        <v>579</v>
      </c>
      <c r="B128" s="27" t="s">
        <v>454</v>
      </c>
      <c r="C128" t="s">
        <v>259</v>
      </c>
      <c r="E128" t="s">
        <v>260</v>
      </c>
      <c r="F128" t="s">
        <v>133</v>
      </c>
      <c r="G128" t="s">
        <v>260</v>
      </c>
      <c r="H128" t="s">
        <v>261</v>
      </c>
      <c r="I128" s="6" t="s">
        <v>136</v>
      </c>
      <c r="J128" s="6">
        <v>1</v>
      </c>
      <c r="L128" s="15">
        <v>35</v>
      </c>
      <c r="N128" s="7">
        <v>46391</v>
      </c>
      <c r="O128" s="7">
        <v>46388</v>
      </c>
      <c r="P128" s="7">
        <v>46391</v>
      </c>
      <c r="S128" s="6" t="s">
        <v>260</v>
      </c>
      <c r="U128" s="6" t="s">
        <v>191</v>
      </c>
      <c r="V128" s="6" t="str">
        <f t="shared" si="35"/>
        <v>27/01</v>
      </c>
      <c r="W128">
        <v>21451</v>
      </c>
      <c r="Y128" s="6" t="s">
        <v>192</v>
      </c>
      <c r="Z128" s="6" t="s">
        <v>193</v>
      </c>
      <c r="AD128">
        <v>8244</v>
      </c>
      <c r="AI128" s="23">
        <v>1</v>
      </c>
      <c r="AJ128" s="23">
        <v>1</v>
      </c>
      <c r="AK128" s="23">
        <v>0</v>
      </c>
      <c r="AL128" s="23">
        <v>0</v>
      </c>
      <c r="AM128" s="23">
        <v>1</v>
      </c>
      <c r="AN128" s="23">
        <v>0</v>
      </c>
      <c r="AO128" s="23">
        <v>1</v>
      </c>
      <c r="AP128" s="23">
        <v>0</v>
      </c>
      <c r="AQ128" s="23">
        <v>0</v>
      </c>
      <c r="AR128" s="23">
        <v>0</v>
      </c>
      <c r="AS128" s="23">
        <v>0</v>
      </c>
      <c r="AT128" s="23">
        <v>1</v>
      </c>
      <c r="AU128" s="23">
        <v>1</v>
      </c>
      <c r="AV128" s="23">
        <v>0</v>
      </c>
      <c r="AW128" s="23">
        <v>0</v>
      </c>
      <c r="AX128" s="23">
        <v>1</v>
      </c>
      <c r="AY128" s="23">
        <v>0</v>
      </c>
      <c r="AZ128" s="23">
        <v>0</v>
      </c>
      <c r="BA128" s="23">
        <v>0</v>
      </c>
      <c r="BB128" s="23">
        <v>1</v>
      </c>
      <c r="BC128" s="23">
        <v>0</v>
      </c>
      <c r="BD128" s="23">
        <v>0</v>
      </c>
      <c r="BE128" s="23">
        <v>0</v>
      </c>
      <c r="BF128" s="23">
        <v>1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f t="shared" si="36"/>
        <v>35</v>
      </c>
      <c r="BQ128" s="23">
        <f t="shared" si="37"/>
        <v>35</v>
      </c>
      <c r="BR128" s="23">
        <f t="shared" si="38"/>
        <v>0</v>
      </c>
      <c r="BS128" s="23">
        <f t="shared" si="39"/>
        <v>0</v>
      </c>
      <c r="BT128" s="23">
        <f t="shared" si="40"/>
        <v>35</v>
      </c>
      <c r="BU128" s="23">
        <f t="shared" si="41"/>
        <v>0</v>
      </c>
      <c r="BV128" s="23">
        <f t="shared" si="42"/>
        <v>35</v>
      </c>
      <c r="BW128" s="23">
        <f t="shared" si="43"/>
        <v>0</v>
      </c>
      <c r="BX128" s="23">
        <f t="shared" si="44"/>
        <v>0</v>
      </c>
      <c r="BY128" s="23">
        <f t="shared" si="45"/>
        <v>0</v>
      </c>
      <c r="BZ128" s="23">
        <f t="shared" si="46"/>
        <v>0</v>
      </c>
      <c r="CA128" s="23">
        <f t="shared" si="47"/>
        <v>35</v>
      </c>
      <c r="CB128" s="23">
        <f t="shared" si="48"/>
        <v>35</v>
      </c>
      <c r="CC128" s="23">
        <f t="shared" si="49"/>
        <v>0</v>
      </c>
      <c r="CD128" s="23">
        <f t="shared" si="50"/>
        <v>0</v>
      </c>
      <c r="CE128" s="23">
        <f t="shared" si="51"/>
        <v>35</v>
      </c>
      <c r="CF128" s="23">
        <f t="shared" si="52"/>
        <v>0</v>
      </c>
      <c r="CG128" s="23">
        <f t="shared" si="53"/>
        <v>0</v>
      </c>
      <c r="CH128" s="23">
        <f t="shared" si="54"/>
        <v>0</v>
      </c>
      <c r="CI128" s="23">
        <f t="shared" si="55"/>
        <v>35</v>
      </c>
      <c r="CJ128" s="23">
        <f t="shared" si="56"/>
        <v>0</v>
      </c>
      <c r="CK128" s="23">
        <f t="shared" si="57"/>
        <v>0</v>
      </c>
      <c r="CL128" s="23">
        <f t="shared" si="58"/>
        <v>0</v>
      </c>
      <c r="CM128" s="23">
        <f t="shared" si="59"/>
        <v>35</v>
      </c>
      <c r="CN128" s="23">
        <f t="shared" si="60"/>
        <v>0</v>
      </c>
      <c r="CO128" s="23">
        <f t="shared" si="61"/>
        <v>0</v>
      </c>
      <c r="CP128" s="23">
        <f t="shared" si="62"/>
        <v>0</v>
      </c>
      <c r="CQ128" s="23">
        <f t="shared" si="63"/>
        <v>0</v>
      </c>
      <c r="CR128" s="23">
        <f t="shared" si="64"/>
        <v>0</v>
      </c>
      <c r="CS128" s="23">
        <f t="shared" si="65"/>
        <v>0</v>
      </c>
      <c r="CT128" s="23">
        <f t="shared" si="66"/>
        <v>0</v>
      </c>
      <c r="CU128" s="23">
        <f t="shared" si="67"/>
        <v>0</v>
      </c>
      <c r="CV128" s="23">
        <f t="shared" si="68"/>
        <v>0</v>
      </c>
    </row>
    <row r="129" spans="1:100" ht="13.5">
      <c r="A129" s="15">
        <v>581</v>
      </c>
      <c r="B129" s="27" t="s">
        <v>456</v>
      </c>
      <c r="C129" t="s">
        <v>208</v>
      </c>
      <c r="E129" t="s">
        <v>441</v>
      </c>
      <c r="F129" t="s">
        <v>133</v>
      </c>
      <c r="G129" t="s">
        <v>441</v>
      </c>
      <c r="H129" t="s">
        <v>442</v>
      </c>
      <c r="I129" s="6" t="s">
        <v>136</v>
      </c>
      <c r="J129" s="6">
        <v>1</v>
      </c>
      <c r="L129" s="15">
        <v>20</v>
      </c>
      <c r="N129" s="7">
        <v>46391</v>
      </c>
      <c r="O129" s="7">
        <v>46388</v>
      </c>
      <c r="P129" s="7">
        <v>46391</v>
      </c>
      <c r="S129" s="6" t="s">
        <v>441</v>
      </c>
      <c r="U129" s="6" t="s">
        <v>191</v>
      </c>
      <c r="V129" s="6" t="str">
        <f t="shared" si="35"/>
        <v>27/01</v>
      </c>
      <c r="W129">
        <v>21452</v>
      </c>
      <c r="Y129" s="6" t="s">
        <v>211</v>
      </c>
      <c r="Z129" s="6" t="s">
        <v>212</v>
      </c>
      <c r="AA129">
        <v>3247</v>
      </c>
      <c r="AI129" s="23">
        <v>1</v>
      </c>
      <c r="AJ129" s="23">
        <v>1</v>
      </c>
      <c r="AK129" s="23">
        <v>0</v>
      </c>
      <c r="AL129" s="23">
        <v>0</v>
      </c>
      <c r="AM129" s="23">
        <v>1</v>
      </c>
      <c r="AN129" s="23">
        <v>0</v>
      </c>
      <c r="AO129" s="23">
        <v>1</v>
      </c>
      <c r="AP129" s="23">
        <v>0</v>
      </c>
      <c r="AQ129" s="23">
        <v>0</v>
      </c>
      <c r="AR129" s="23">
        <v>0</v>
      </c>
      <c r="AS129" s="23">
        <v>1</v>
      </c>
      <c r="AT129" s="23">
        <v>0</v>
      </c>
      <c r="AU129" s="23">
        <v>1</v>
      </c>
      <c r="AV129" s="23">
        <v>0</v>
      </c>
      <c r="AW129" s="23">
        <v>0</v>
      </c>
      <c r="AX129" s="23">
        <v>1</v>
      </c>
      <c r="AY129" s="23">
        <v>0</v>
      </c>
      <c r="AZ129" s="23">
        <v>0</v>
      </c>
      <c r="BA129" s="23">
        <v>0</v>
      </c>
      <c r="BB129" s="23">
        <v>1</v>
      </c>
      <c r="BC129" s="23">
        <v>0</v>
      </c>
      <c r="BD129" s="23">
        <v>0</v>
      </c>
      <c r="BE129" s="23">
        <v>0</v>
      </c>
      <c r="BF129" s="23">
        <v>1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0</v>
      </c>
      <c r="BP129" s="23">
        <f t="shared" si="36"/>
        <v>20</v>
      </c>
      <c r="BQ129" s="23">
        <f t="shared" si="37"/>
        <v>20</v>
      </c>
      <c r="BR129" s="23">
        <f t="shared" si="38"/>
        <v>0</v>
      </c>
      <c r="BS129" s="23">
        <f t="shared" si="39"/>
        <v>0</v>
      </c>
      <c r="BT129" s="23">
        <f t="shared" si="40"/>
        <v>20</v>
      </c>
      <c r="BU129" s="23">
        <f t="shared" si="41"/>
        <v>0</v>
      </c>
      <c r="BV129" s="23">
        <f t="shared" si="42"/>
        <v>20</v>
      </c>
      <c r="BW129" s="23">
        <f t="shared" si="43"/>
        <v>0</v>
      </c>
      <c r="BX129" s="23">
        <f t="shared" si="44"/>
        <v>0</v>
      </c>
      <c r="BY129" s="23">
        <f t="shared" si="45"/>
        <v>0</v>
      </c>
      <c r="BZ129" s="23">
        <f t="shared" si="46"/>
        <v>20</v>
      </c>
      <c r="CA129" s="23">
        <f t="shared" si="47"/>
        <v>0</v>
      </c>
      <c r="CB129" s="23">
        <f t="shared" si="48"/>
        <v>20</v>
      </c>
      <c r="CC129" s="23">
        <f t="shared" si="49"/>
        <v>0</v>
      </c>
      <c r="CD129" s="23">
        <f t="shared" si="50"/>
        <v>0</v>
      </c>
      <c r="CE129" s="23">
        <f t="shared" si="51"/>
        <v>20</v>
      </c>
      <c r="CF129" s="23">
        <f t="shared" si="52"/>
        <v>0</v>
      </c>
      <c r="CG129" s="23">
        <f t="shared" si="53"/>
        <v>0</v>
      </c>
      <c r="CH129" s="23">
        <f t="shared" si="54"/>
        <v>0</v>
      </c>
      <c r="CI129" s="23">
        <f t="shared" si="55"/>
        <v>20</v>
      </c>
      <c r="CJ129" s="23">
        <f t="shared" si="56"/>
        <v>0</v>
      </c>
      <c r="CK129" s="23">
        <f t="shared" si="57"/>
        <v>0</v>
      </c>
      <c r="CL129" s="23">
        <f t="shared" si="58"/>
        <v>0</v>
      </c>
      <c r="CM129" s="23">
        <f t="shared" si="59"/>
        <v>20</v>
      </c>
      <c r="CN129" s="23">
        <f t="shared" si="60"/>
        <v>0</v>
      </c>
      <c r="CO129" s="23">
        <f t="shared" si="61"/>
        <v>0</v>
      </c>
      <c r="CP129" s="23">
        <f t="shared" si="62"/>
        <v>0</v>
      </c>
      <c r="CQ129" s="23">
        <f t="shared" si="63"/>
        <v>0</v>
      </c>
      <c r="CR129" s="23">
        <f t="shared" si="64"/>
        <v>0</v>
      </c>
      <c r="CS129" s="23">
        <f t="shared" si="65"/>
        <v>0</v>
      </c>
      <c r="CT129" s="23">
        <f t="shared" si="66"/>
        <v>0</v>
      </c>
      <c r="CU129" s="23">
        <f t="shared" si="67"/>
        <v>0</v>
      </c>
      <c r="CV129" s="23">
        <f t="shared" si="68"/>
        <v>0</v>
      </c>
    </row>
    <row r="130" spans="1:100" ht="13.5">
      <c r="A130" s="15">
        <v>580</v>
      </c>
      <c r="B130" s="27" t="s">
        <v>455</v>
      </c>
      <c r="C130" t="s">
        <v>208</v>
      </c>
      <c r="E130" t="s">
        <v>134</v>
      </c>
      <c r="F130" t="s">
        <v>133</v>
      </c>
      <c r="G130" t="s">
        <v>134</v>
      </c>
      <c r="H130" t="s">
        <v>209</v>
      </c>
      <c r="I130" s="6" t="s">
        <v>136</v>
      </c>
      <c r="J130" s="6">
        <v>1</v>
      </c>
      <c r="L130" s="15">
        <v>2</v>
      </c>
      <c r="N130" s="7">
        <v>46391</v>
      </c>
      <c r="O130" s="7">
        <v>46388</v>
      </c>
      <c r="P130" s="7">
        <v>46391</v>
      </c>
      <c r="S130" s="6" t="s">
        <v>134</v>
      </c>
      <c r="U130" s="6" t="s">
        <v>191</v>
      </c>
      <c r="V130" s="6" t="str">
        <f t="shared" si="35"/>
        <v>27/01</v>
      </c>
      <c r="W130">
        <v>21453</v>
      </c>
      <c r="Y130" s="6" t="s">
        <v>211</v>
      </c>
      <c r="Z130" s="6" t="s">
        <v>212</v>
      </c>
      <c r="AA130">
        <v>3248</v>
      </c>
      <c r="AI130" s="23">
        <v>1</v>
      </c>
      <c r="AJ130" s="23">
        <v>1</v>
      </c>
      <c r="AK130" s="23">
        <v>0</v>
      </c>
      <c r="AL130" s="23">
        <v>0</v>
      </c>
      <c r="AM130" s="23">
        <v>1</v>
      </c>
      <c r="AN130" s="23">
        <v>0</v>
      </c>
      <c r="AO130" s="23">
        <v>1</v>
      </c>
      <c r="AP130" s="23">
        <v>0</v>
      </c>
      <c r="AQ130" s="23">
        <v>0</v>
      </c>
      <c r="AR130" s="23">
        <v>0</v>
      </c>
      <c r="AS130" s="23">
        <v>0</v>
      </c>
      <c r="AT130" s="23">
        <v>1</v>
      </c>
      <c r="AU130" s="23">
        <v>1</v>
      </c>
      <c r="AV130" s="23">
        <v>0</v>
      </c>
      <c r="AW130" s="23">
        <v>0</v>
      </c>
      <c r="AX130" s="23">
        <v>1</v>
      </c>
      <c r="AY130" s="23">
        <v>0</v>
      </c>
      <c r="AZ130" s="23">
        <v>0</v>
      </c>
      <c r="BA130" s="23">
        <v>0</v>
      </c>
      <c r="BB130" s="23">
        <v>1</v>
      </c>
      <c r="BC130" s="23">
        <v>0</v>
      </c>
      <c r="BD130" s="23">
        <v>0</v>
      </c>
      <c r="BE130" s="23">
        <v>0</v>
      </c>
      <c r="BF130" s="23">
        <v>1</v>
      </c>
      <c r="BG130" s="23">
        <v>0</v>
      </c>
      <c r="BH130" s="23">
        <v>0</v>
      </c>
      <c r="BI130" s="23">
        <v>0</v>
      </c>
      <c r="BJ130" s="23">
        <v>0</v>
      </c>
      <c r="BK130" s="23">
        <v>0</v>
      </c>
      <c r="BL130" s="23">
        <v>0</v>
      </c>
      <c r="BM130" s="23">
        <v>0</v>
      </c>
      <c r="BN130" s="23">
        <v>0</v>
      </c>
      <c r="BO130" s="23">
        <v>0</v>
      </c>
      <c r="BP130" s="23">
        <f t="shared" si="36"/>
        <v>2</v>
      </c>
      <c r="BQ130" s="23">
        <f t="shared" si="37"/>
        <v>2</v>
      </c>
      <c r="BR130" s="23">
        <f t="shared" si="38"/>
        <v>0</v>
      </c>
      <c r="BS130" s="23">
        <f t="shared" si="39"/>
        <v>0</v>
      </c>
      <c r="BT130" s="23">
        <f t="shared" si="40"/>
        <v>2</v>
      </c>
      <c r="BU130" s="23">
        <f t="shared" si="41"/>
        <v>0</v>
      </c>
      <c r="BV130" s="23">
        <f t="shared" si="42"/>
        <v>2</v>
      </c>
      <c r="BW130" s="23">
        <f t="shared" si="43"/>
        <v>0</v>
      </c>
      <c r="BX130" s="23">
        <f t="shared" si="44"/>
        <v>0</v>
      </c>
      <c r="BY130" s="23">
        <f t="shared" si="45"/>
        <v>0</v>
      </c>
      <c r="BZ130" s="23">
        <f t="shared" si="46"/>
        <v>0</v>
      </c>
      <c r="CA130" s="23">
        <f t="shared" si="47"/>
        <v>2</v>
      </c>
      <c r="CB130" s="23">
        <f t="shared" si="48"/>
        <v>2</v>
      </c>
      <c r="CC130" s="23">
        <f t="shared" si="49"/>
        <v>0</v>
      </c>
      <c r="CD130" s="23">
        <f t="shared" si="50"/>
        <v>0</v>
      </c>
      <c r="CE130" s="23">
        <f t="shared" si="51"/>
        <v>2</v>
      </c>
      <c r="CF130" s="23">
        <f t="shared" si="52"/>
        <v>0</v>
      </c>
      <c r="CG130" s="23">
        <f t="shared" si="53"/>
        <v>0</v>
      </c>
      <c r="CH130" s="23">
        <f t="shared" si="54"/>
        <v>0</v>
      </c>
      <c r="CI130" s="23">
        <f t="shared" si="55"/>
        <v>2</v>
      </c>
      <c r="CJ130" s="23">
        <f t="shared" si="56"/>
        <v>0</v>
      </c>
      <c r="CK130" s="23">
        <f t="shared" si="57"/>
        <v>0</v>
      </c>
      <c r="CL130" s="23">
        <f t="shared" si="58"/>
        <v>0</v>
      </c>
      <c r="CM130" s="23">
        <f t="shared" si="59"/>
        <v>2</v>
      </c>
      <c r="CN130" s="23">
        <f t="shared" si="60"/>
        <v>0</v>
      </c>
      <c r="CO130" s="23">
        <f t="shared" si="61"/>
        <v>0</v>
      </c>
      <c r="CP130" s="23">
        <f t="shared" si="62"/>
        <v>0</v>
      </c>
      <c r="CQ130" s="23">
        <f t="shared" si="63"/>
        <v>0</v>
      </c>
      <c r="CR130" s="23">
        <f t="shared" si="64"/>
        <v>0</v>
      </c>
      <c r="CS130" s="23">
        <f t="shared" si="65"/>
        <v>0</v>
      </c>
      <c r="CT130" s="23">
        <f t="shared" si="66"/>
        <v>0</v>
      </c>
      <c r="CU130" s="23">
        <f t="shared" si="67"/>
        <v>0</v>
      </c>
      <c r="CV130" s="23">
        <f t="shared" si="68"/>
        <v>0</v>
      </c>
    </row>
    <row r="131" spans="1:100" ht="13.5">
      <c r="A131" s="15">
        <v>582</v>
      </c>
      <c r="B131" s="27" t="s">
        <v>457</v>
      </c>
      <c r="C131" t="s">
        <v>208</v>
      </c>
      <c r="E131" t="s">
        <v>417</v>
      </c>
      <c r="F131" t="s">
        <v>133</v>
      </c>
      <c r="G131" t="s">
        <v>417</v>
      </c>
      <c r="H131" t="s">
        <v>418</v>
      </c>
      <c r="I131" s="6" t="s">
        <v>136</v>
      </c>
      <c r="J131" s="6">
        <v>1</v>
      </c>
      <c r="L131" s="15">
        <v>14</v>
      </c>
      <c r="N131" s="7">
        <v>46391</v>
      </c>
      <c r="O131" s="7">
        <v>46388</v>
      </c>
      <c r="P131" s="7">
        <v>46391</v>
      </c>
      <c r="S131" s="6" t="s">
        <v>417</v>
      </c>
      <c r="U131" s="6" t="s">
        <v>191</v>
      </c>
      <c r="V131" s="6" t="str">
        <f t="shared" si="35"/>
        <v>27/01</v>
      </c>
      <c r="W131">
        <v>21454</v>
      </c>
      <c r="Y131" s="6" t="s">
        <v>211</v>
      </c>
      <c r="Z131" s="6" t="s">
        <v>212</v>
      </c>
      <c r="AA131">
        <v>3249</v>
      </c>
      <c r="AI131" s="23">
        <v>1</v>
      </c>
      <c r="AJ131" s="23">
        <v>1</v>
      </c>
      <c r="AK131" s="23">
        <v>0</v>
      </c>
      <c r="AL131" s="23">
        <v>0</v>
      </c>
      <c r="AM131" s="23">
        <v>1</v>
      </c>
      <c r="AN131" s="23">
        <v>0</v>
      </c>
      <c r="AO131" s="23">
        <v>1</v>
      </c>
      <c r="AP131" s="23">
        <v>0</v>
      </c>
      <c r="AQ131" s="23">
        <v>0</v>
      </c>
      <c r="AR131" s="23">
        <v>0</v>
      </c>
      <c r="AS131" s="23">
        <v>0</v>
      </c>
      <c r="AT131" s="23">
        <v>1</v>
      </c>
      <c r="AU131" s="23">
        <v>0</v>
      </c>
      <c r="AV131" s="23">
        <v>0</v>
      </c>
      <c r="AW131" s="23">
        <v>1</v>
      </c>
      <c r="AX131" s="23">
        <v>0</v>
      </c>
      <c r="AY131" s="23">
        <v>0</v>
      </c>
      <c r="AZ131" s="23">
        <v>0</v>
      </c>
      <c r="BA131" s="23">
        <v>1</v>
      </c>
      <c r="BB131" s="23">
        <v>0</v>
      </c>
      <c r="BC131" s="23">
        <v>0</v>
      </c>
      <c r="BD131" s="23">
        <v>0</v>
      </c>
      <c r="BE131" s="23">
        <v>1</v>
      </c>
      <c r="BF131" s="23">
        <v>1</v>
      </c>
      <c r="BG131" s="23">
        <v>0</v>
      </c>
      <c r="BH131" s="23">
        <v>0</v>
      </c>
      <c r="BI131" s="23">
        <v>0</v>
      </c>
      <c r="BJ131" s="23">
        <v>0</v>
      </c>
      <c r="BK131" s="23">
        <v>0</v>
      </c>
      <c r="BL131" s="23">
        <v>0</v>
      </c>
      <c r="BM131" s="23">
        <v>0</v>
      </c>
      <c r="BN131" s="23">
        <v>0</v>
      </c>
      <c r="BO131" s="23">
        <v>0</v>
      </c>
      <c r="BP131" s="23">
        <f t="shared" si="36"/>
        <v>14</v>
      </c>
      <c r="BQ131" s="23">
        <f t="shared" si="37"/>
        <v>14</v>
      </c>
      <c r="BR131" s="23">
        <f t="shared" si="38"/>
        <v>0</v>
      </c>
      <c r="BS131" s="23">
        <f t="shared" si="39"/>
        <v>0</v>
      </c>
      <c r="BT131" s="23">
        <f t="shared" si="40"/>
        <v>14</v>
      </c>
      <c r="BU131" s="23">
        <f t="shared" si="41"/>
        <v>0</v>
      </c>
      <c r="BV131" s="23">
        <f t="shared" si="42"/>
        <v>14</v>
      </c>
      <c r="BW131" s="23">
        <f t="shared" si="43"/>
        <v>0</v>
      </c>
      <c r="BX131" s="23">
        <f t="shared" si="44"/>
        <v>0</v>
      </c>
      <c r="BY131" s="23">
        <f t="shared" si="45"/>
        <v>0</v>
      </c>
      <c r="BZ131" s="23">
        <f t="shared" si="46"/>
        <v>0</v>
      </c>
      <c r="CA131" s="23">
        <f t="shared" si="47"/>
        <v>14</v>
      </c>
      <c r="CB131" s="23">
        <f t="shared" si="48"/>
        <v>0</v>
      </c>
      <c r="CC131" s="23">
        <f t="shared" si="49"/>
        <v>0</v>
      </c>
      <c r="CD131" s="23">
        <f t="shared" si="50"/>
        <v>14</v>
      </c>
      <c r="CE131" s="23">
        <f t="shared" si="51"/>
        <v>0</v>
      </c>
      <c r="CF131" s="23">
        <f t="shared" si="52"/>
        <v>0</v>
      </c>
      <c r="CG131" s="23">
        <f t="shared" si="53"/>
        <v>0</v>
      </c>
      <c r="CH131" s="23">
        <f t="shared" si="54"/>
        <v>14</v>
      </c>
      <c r="CI131" s="23">
        <f t="shared" si="55"/>
        <v>0</v>
      </c>
      <c r="CJ131" s="23">
        <f t="shared" si="56"/>
        <v>0</v>
      </c>
      <c r="CK131" s="23">
        <f t="shared" si="57"/>
        <v>0</v>
      </c>
      <c r="CL131" s="23">
        <f t="shared" si="58"/>
        <v>14</v>
      </c>
      <c r="CM131" s="23">
        <f t="shared" si="59"/>
        <v>14</v>
      </c>
      <c r="CN131" s="23">
        <f t="shared" si="60"/>
        <v>0</v>
      </c>
      <c r="CO131" s="23">
        <f t="shared" si="61"/>
        <v>0</v>
      </c>
      <c r="CP131" s="23">
        <f t="shared" si="62"/>
        <v>0</v>
      </c>
      <c r="CQ131" s="23">
        <f t="shared" si="63"/>
        <v>0</v>
      </c>
      <c r="CR131" s="23">
        <f t="shared" si="64"/>
        <v>0</v>
      </c>
      <c r="CS131" s="23">
        <f t="shared" si="65"/>
        <v>0</v>
      </c>
      <c r="CT131" s="23">
        <f t="shared" si="66"/>
        <v>0</v>
      </c>
      <c r="CU131" s="23">
        <f t="shared" si="67"/>
        <v>0</v>
      </c>
      <c r="CV131" s="23">
        <f t="shared" si="68"/>
        <v>0</v>
      </c>
    </row>
    <row r="132" spans="1:100" ht="13.5">
      <c r="A132" s="15">
        <v>602</v>
      </c>
      <c r="B132" s="27" t="s">
        <v>458</v>
      </c>
      <c r="C132" t="s">
        <v>279</v>
      </c>
      <c r="F132" t="s">
        <v>281</v>
      </c>
      <c r="G132" t="s">
        <v>282</v>
      </c>
      <c r="H132" t="s">
        <v>283</v>
      </c>
      <c r="I132" s="6" t="s">
        <v>147</v>
      </c>
      <c r="J132" s="6">
        <v>0</v>
      </c>
      <c r="L132" s="15">
        <v>1</v>
      </c>
      <c r="N132" s="7">
        <v>46392</v>
      </c>
      <c r="O132" s="7">
        <v>46391</v>
      </c>
      <c r="P132" s="7">
        <v>46392</v>
      </c>
      <c r="S132" s="6" t="s">
        <v>285</v>
      </c>
      <c r="U132" s="6" t="s">
        <v>191</v>
      </c>
      <c r="V132" s="6" t="str">
        <f t="shared" si="35"/>
        <v>27/01</v>
      </c>
      <c r="W132">
        <v>21455</v>
      </c>
      <c r="Y132" s="6" t="s">
        <v>286</v>
      </c>
      <c r="Z132" s="6" t="s">
        <v>193</v>
      </c>
      <c r="AE132">
        <v>1282</v>
      </c>
      <c r="AI132" s="23">
        <v>1</v>
      </c>
      <c r="AJ132" s="23">
        <v>1</v>
      </c>
      <c r="AK132" s="23">
        <v>0</v>
      </c>
      <c r="AL132" s="23">
        <v>0</v>
      </c>
      <c r="AM132" s="23">
        <v>1</v>
      </c>
      <c r="AN132" s="23">
        <v>0</v>
      </c>
      <c r="AO132" s="23">
        <v>0</v>
      </c>
      <c r="AP132" s="23">
        <v>1</v>
      </c>
      <c r="AQ132" s="23">
        <v>0</v>
      </c>
      <c r="AR132" s="23">
        <v>0</v>
      </c>
      <c r="AS132" s="23">
        <v>1</v>
      </c>
      <c r="AT132" s="23">
        <v>0</v>
      </c>
      <c r="AU132" s="23">
        <v>1</v>
      </c>
      <c r="AV132" s="23">
        <v>0</v>
      </c>
      <c r="AW132" s="23">
        <v>0</v>
      </c>
      <c r="AX132" s="23">
        <v>1</v>
      </c>
      <c r="AY132" s="23">
        <v>0</v>
      </c>
      <c r="AZ132" s="23">
        <v>0</v>
      </c>
      <c r="BA132" s="23">
        <v>0</v>
      </c>
      <c r="BB132" s="23">
        <v>1</v>
      </c>
      <c r="BC132" s="23">
        <v>0</v>
      </c>
      <c r="BD132" s="23">
        <v>0</v>
      </c>
      <c r="BE132" s="23">
        <v>0</v>
      </c>
      <c r="BF132" s="23">
        <v>1</v>
      </c>
      <c r="BG132" s="23">
        <v>0</v>
      </c>
      <c r="BH132" s="23">
        <v>0</v>
      </c>
      <c r="BI132" s="23">
        <v>0</v>
      </c>
      <c r="BJ132" s="23">
        <v>0</v>
      </c>
      <c r="BK132" s="23">
        <v>0</v>
      </c>
      <c r="BL132" s="23">
        <v>0</v>
      </c>
      <c r="BM132" s="23">
        <v>0</v>
      </c>
      <c r="BN132" s="23">
        <v>0</v>
      </c>
      <c r="BO132" s="23">
        <v>0</v>
      </c>
      <c r="BP132" s="23">
        <f t="shared" si="36"/>
        <v>1</v>
      </c>
      <c r="BQ132" s="23">
        <f t="shared" si="37"/>
        <v>1</v>
      </c>
      <c r="BR132" s="23">
        <f t="shared" si="38"/>
        <v>0</v>
      </c>
      <c r="BS132" s="23">
        <f t="shared" si="39"/>
        <v>0</v>
      </c>
      <c r="BT132" s="23">
        <f t="shared" si="40"/>
        <v>1</v>
      </c>
      <c r="BU132" s="23">
        <f t="shared" si="41"/>
        <v>0</v>
      </c>
      <c r="BV132" s="23">
        <f t="shared" si="42"/>
        <v>0</v>
      </c>
      <c r="BW132" s="23">
        <f t="shared" si="43"/>
        <v>1</v>
      </c>
      <c r="BX132" s="23">
        <f t="shared" si="44"/>
        <v>0</v>
      </c>
      <c r="BY132" s="23">
        <f t="shared" si="45"/>
        <v>0</v>
      </c>
      <c r="BZ132" s="23">
        <f t="shared" si="46"/>
        <v>1</v>
      </c>
      <c r="CA132" s="23">
        <f t="shared" si="47"/>
        <v>0</v>
      </c>
      <c r="CB132" s="23">
        <f t="shared" si="48"/>
        <v>1</v>
      </c>
      <c r="CC132" s="23">
        <f t="shared" si="49"/>
        <v>0</v>
      </c>
      <c r="CD132" s="23">
        <f t="shared" si="50"/>
        <v>0</v>
      </c>
      <c r="CE132" s="23">
        <f t="shared" si="51"/>
        <v>1</v>
      </c>
      <c r="CF132" s="23">
        <f t="shared" si="52"/>
        <v>0</v>
      </c>
      <c r="CG132" s="23">
        <f t="shared" si="53"/>
        <v>0</v>
      </c>
      <c r="CH132" s="23">
        <f t="shared" si="54"/>
        <v>0</v>
      </c>
      <c r="CI132" s="23">
        <f t="shared" si="55"/>
        <v>1</v>
      </c>
      <c r="CJ132" s="23">
        <f t="shared" si="56"/>
        <v>0</v>
      </c>
      <c r="CK132" s="23">
        <f t="shared" si="57"/>
        <v>0</v>
      </c>
      <c r="CL132" s="23">
        <f t="shared" si="58"/>
        <v>0</v>
      </c>
      <c r="CM132" s="23">
        <f t="shared" si="59"/>
        <v>1</v>
      </c>
      <c r="CN132" s="23">
        <f t="shared" si="60"/>
        <v>0</v>
      </c>
      <c r="CO132" s="23">
        <f t="shared" si="61"/>
        <v>0</v>
      </c>
      <c r="CP132" s="23">
        <f t="shared" si="62"/>
        <v>0</v>
      </c>
      <c r="CQ132" s="23">
        <f t="shared" si="63"/>
        <v>0</v>
      </c>
      <c r="CR132" s="23">
        <f t="shared" si="64"/>
        <v>0</v>
      </c>
      <c r="CS132" s="23">
        <f t="shared" si="65"/>
        <v>0</v>
      </c>
      <c r="CT132" s="23">
        <f t="shared" si="66"/>
        <v>0</v>
      </c>
      <c r="CU132" s="23">
        <f t="shared" si="67"/>
        <v>0</v>
      </c>
      <c r="CV132" s="23">
        <f t="shared" si="68"/>
        <v>0</v>
      </c>
    </row>
    <row r="133" spans="1:100" ht="13.5">
      <c r="A133" s="15">
        <v>607</v>
      </c>
      <c r="B133" s="27" t="s">
        <v>460</v>
      </c>
      <c r="C133" t="s">
        <v>208</v>
      </c>
      <c r="E133" t="s">
        <v>441</v>
      </c>
      <c r="F133" t="s">
        <v>133</v>
      </c>
      <c r="G133" t="s">
        <v>441</v>
      </c>
      <c r="H133" t="s">
        <v>442</v>
      </c>
      <c r="I133" s="6" t="s">
        <v>136</v>
      </c>
      <c r="J133" s="6">
        <v>1</v>
      </c>
      <c r="L133" s="15">
        <v>20</v>
      </c>
      <c r="N133" s="7">
        <v>46419</v>
      </c>
      <c r="O133" s="7">
        <v>46416</v>
      </c>
      <c r="P133" s="7">
        <v>46419</v>
      </c>
      <c r="S133" s="6" t="s">
        <v>441</v>
      </c>
      <c r="U133" s="6" t="s">
        <v>191</v>
      </c>
      <c r="V133" s="6" t="str">
        <f t="shared" ref="V133:V196" si="69">TEXT(N133,"YY/MM")</f>
        <v>27/02</v>
      </c>
      <c r="W133">
        <v>21456</v>
      </c>
      <c r="Y133" s="6" t="s">
        <v>211</v>
      </c>
      <c r="Z133" s="6" t="s">
        <v>212</v>
      </c>
      <c r="AA133">
        <v>3250</v>
      </c>
      <c r="AI133" s="23">
        <v>1</v>
      </c>
      <c r="AJ133" s="23">
        <v>1</v>
      </c>
      <c r="AK133" s="23">
        <v>0</v>
      </c>
      <c r="AL133" s="23">
        <v>0</v>
      </c>
      <c r="AM133" s="23">
        <v>1</v>
      </c>
      <c r="AN133" s="23">
        <v>0</v>
      </c>
      <c r="AO133" s="23">
        <v>1</v>
      </c>
      <c r="AP133" s="23">
        <v>0</v>
      </c>
      <c r="AQ133" s="23">
        <v>0</v>
      </c>
      <c r="AR133" s="23">
        <v>0</v>
      </c>
      <c r="AS133" s="23">
        <v>1</v>
      </c>
      <c r="AT133" s="23">
        <v>0</v>
      </c>
      <c r="AU133" s="23">
        <v>1</v>
      </c>
      <c r="AV133" s="23">
        <v>0</v>
      </c>
      <c r="AW133" s="23">
        <v>0</v>
      </c>
      <c r="AX133" s="23">
        <v>1</v>
      </c>
      <c r="AY133" s="23">
        <v>0</v>
      </c>
      <c r="AZ133" s="23">
        <v>0</v>
      </c>
      <c r="BA133" s="23">
        <v>0</v>
      </c>
      <c r="BB133" s="23">
        <v>1</v>
      </c>
      <c r="BC133" s="23">
        <v>0</v>
      </c>
      <c r="BD133" s="23">
        <v>0</v>
      </c>
      <c r="BE133" s="23">
        <v>0</v>
      </c>
      <c r="BF133" s="23">
        <v>1</v>
      </c>
      <c r="BG133" s="23">
        <v>0</v>
      </c>
      <c r="BH133" s="23">
        <v>0</v>
      </c>
      <c r="BI133" s="23">
        <v>0</v>
      </c>
      <c r="BJ133" s="23">
        <v>0</v>
      </c>
      <c r="BK133" s="23">
        <v>0</v>
      </c>
      <c r="BL133" s="23">
        <v>0</v>
      </c>
      <c r="BM133" s="23">
        <v>0</v>
      </c>
      <c r="BN133" s="23">
        <v>0</v>
      </c>
      <c r="BO133" s="23">
        <v>0</v>
      </c>
      <c r="BP133" s="23">
        <f t="shared" ref="BP133:BP196" si="70">$L133*AI133</f>
        <v>20</v>
      </c>
      <c r="BQ133" s="23">
        <f t="shared" ref="BQ133:BQ196" si="71">$L133*AJ133</f>
        <v>20</v>
      </c>
      <c r="BR133" s="23">
        <f t="shared" ref="BR133:BR196" si="72">$L133*AK133</f>
        <v>0</v>
      </c>
      <c r="BS133" s="23">
        <f t="shared" ref="BS133:BS196" si="73">$L133*AL133</f>
        <v>0</v>
      </c>
      <c r="BT133" s="23">
        <f t="shared" ref="BT133:BT196" si="74">$L133*AM133</f>
        <v>20</v>
      </c>
      <c r="BU133" s="23">
        <f t="shared" ref="BU133:BU196" si="75">$L133*AN133</f>
        <v>0</v>
      </c>
      <c r="BV133" s="23">
        <f t="shared" ref="BV133:BV196" si="76">$L133*AO133</f>
        <v>20</v>
      </c>
      <c r="BW133" s="23">
        <f t="shared" ref="BW133:BW196" si="77">$L133*AP133</f>
        <v>0</v>
      </c>
      <c r="BX133" s="23">
        <f t="shared" ref="BX133:BX196" si="78">$L133*AQ133</f>
        <v>0</v>
      </c>
      <c r="BY133" s="23">
        <f t="shared" ref="BY133:BY196" si="79">$L133*AR133</f>
        <v>0</v>
      </c>
      <c r="BZ133" s="23">
        <f t="shared" ref="BZ133:BZ196" si="80">$L133*AS133</f>
        <v>20</v>
      </c>
      <c r="CA133" s="23">
        <f t="shared" ref="CA133:CA196" si="81">$L133*AT133</f>
        <v>0</v>
      </c>
      <c r="CB133" s="23">
        <f t="shared" ref="CB133:CB196" si="82">$L133*AU133</f>
        <v>20</v>
      </c>
      <c r="CC133" s="23">
        <f t="shared" ref="CC133:CC196" si="83">$L133*AV133</f>
        <v>0</v>
      </c>
      <c r="CD133" s="23">
        <f t="shared" ref="CD133:CD196" si="84">$L133*AW133</f>
        <v>0</v>
      </c>
      <c r="CE133" s="23">
        <f t="shared" ref="CE133:CE196" si="85">$L133*AX133</f>
        <v>20</v>
      </c>
      <c r="CF133" s="23">
        <f t="shared" ref="CF133:CF196" si="86">$L133*AY133</f>
        <v>0</v>
      </c>
      <c r="CG133" s="23">
        <f t="shared" ref="CG133:CG196" si="87">$L133*AZ133</f>
        <v>0</v>
      </c>
      <c r="CH133" s="23">
        <f t="shared" ref="CH133:CH196" si="88">$L133*BA133</f>
        <v>0</v>
      </c>
      <c r="CI133" s="23">
        <f t="shared" ref="CI133:CI196" si="89">$L133*BB133</f>
        <v>20</v>
      </c>
      <c r="CJ133" s="23">
        <f t="shared" ref="CJ133:CJ196" si="90">$L133*BC133</f>
        <v>0</v>
      </c>
      <c r="CK133" s="23">
        <f t="shared" ref="CK133:CK196" si="91">$L133*BD133</f>
        <v>0</v>
      </c>
      <c r="CL133" s="23">
        <f t="shared" ref="CL133:CL196" si="92">$L133*BE133</f>
        <v>0</v>
      </c>
      <c r="CM133" s="23">
        <f t="shared" ref="CM133:CM196" si="93">$L133*BF133</f>
        <v>20</v>
      </c>
      <c r="CN133" s="23">
        <f t="shared" ref="CN133:CN196" si="94">$L133*BG133</f>
        <v>0</v>
      </c>
      <c r="CO133" s="23">
        <f t="shared" ref="CO133:CO196" si="95">$L133*BH133</f>
        <v>0</v>
      </c>
      <c r="CP133" s="23">
        <f t="shared" ref="CP133:CP196" si="96">$L133*BI133</f>
        <v>0</v>
      </c>
      <c r="CQ133" s="23">
        <f t="shared" ref="CQ133:CQ196" si="97">$L133*BJ133</f>
        <v>0</v>
      </c>
      <c r="CR133" s="23">
        <f t="shared" ref="CR133:CR196" si="98">$L133*BK133</f>
        <v>0</v>
      </c>
      <c r="CS133" s="23">
        <f t="shared" ref="CS133:CS196" si="99">$L133*BL133</f>
        <v>0</v>
      </c>
      <c r="CT133" s="23">
        <f t="shared" ref="CT133:CT196" si="100">$L133*BM133</f>
        <v>0</v>
      </c>
      <c r="CU133" s="23">
        <f t="shared" ref="CU133:CU196" si="101">$L133*BN133</f>
        <v>0</v>
      </c>
      <c r="CV133" s="23">
        <f t="shared" ref="CV133:CV196" si="102">$L133*BO133</f>
        <v>0</v>
      </c>
    </row>
    <row r="134" spans="1:100" ht="13.5">
      <c r="A134" s="15">
        <v>606</v>
      </c>
      <c r="B134" s="27" t="s">
        <v>459</v>
      </c>
      <c r="C134" t="s">
        <v>208</v>
      </c>
      <c r="E134" t="s">
        <v>134</v>
      </c>
      <c r="F134" t="s">
        <v>133</v>
      </c>
      <c r="G134" t="s">
        <v>134</v>
      </c>
      <c r="H134" t="s">
        <v>209</v>
      </c>
      <c r="I134" s="6" t="s">
        <v>136</v>
      </c>
      <c r="J134" s="6">
        <v>1</v>
      </c>
      <c r="L134" s="15">
        <v>39</v>
      </c>
      <c r="N134" s="7">
        <v>46419</v>
      </c>
      <c r="O134" s="7">
        <v>46416</v>
      </c>
      <c r="P134" s="7">
        <v>46419</v>
      </c>
      <c r="S134" s="6" t="s">
        <v>134</v>
      </c>
      <c r="U134" s="6" t="s">
        <v>191</v>
      </c>
      <c r="V134" s="6" t="str">
        <f t="shared" si="69"/>
        <v>27/02</v>
      </c>
      <c r="W134">
        <v>21457</v>
      </c>
      <c r="Y134" s="6" t="s">
        <v>211</v>
      </c>
      <c r="Z134" s="6" t="s">
        <v>212</v>
      </c>
      <c r="AA134">
        <v>3251</v>
      </c>
      <c r="AI134" s="23">
        <v>1</v>
      </c>
      <c r="AJ134" s="23">
        <v>1</v>
      </c>
      <c r="AK134" s="23">
        <v>0</v>
      </c>
      <c r="AL134" s="23">
        <v>0</v>
      </c>
      <c r="AM134" s="23">
        <v>1</v>
      </c>
      <c r="AN134" s="23">
        <v>0</v>
      </c>
      <c r="AO134" s="23">
        <v>1</v>
      </c>
      <c r="AP134" s="23">
        <v>0</v>
      </c>
      <c r="AQ134" s="23">
        <v>0</v>
      </c>
      <c r="AR134" s="23">
        <v>0</v>
      </c>
      <c r="AS134" s="23">
        <v>0</v>
      </c>
      <c r="AT134" s="23">
        <v>1</v>
      </c>
      <c r="AU134" s="23">
        <v>1</v>
      </c>
      <c r="AV134" s="23">
        <v>0</v>
      </c>
      <c r="AW134" s="23">
        <v>0</v>
      </c>
      <c r="AX134" s="23">
        <v>1</v>
      </c>
      <c r="AY134" s="23">
        <v>0</v>
      </c>
      <c r="AZ134" s="23">
        <v>0</v>
      </c>
      <c r="BA134" s="23">
        <v>0</v>
      </c>
      <c r="BB134" s="23">
        <v>1</v>
      </c>
      <c r="BC134" s="23">
        <v>0</v>
      </c>
      <c r="BD134" s="23">
        <v>0</v>
      </c>
      <c r="BE134" s="23">
        <v>0</v>
      </c>
      <c r="BF134" s="23">
        <v>1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f t="shared" si="70"/>
        <v>39</v>
      </c>
      <c r="BQ134" s="23">
        <f t="shared" si="71"/>
        <v>39</v>
      </c>
      <c r="BR134" s="23">
        <f t="shared" si="72"/>
        <v>0</v>
      </c>
      <c r="BS134" s="23">
        <f t="shared" si="73"/>
        <v>0</v>
      </c>
      <c r="BT134" s="23">
        <f t="shared" si="74"/>
        <v>39</v>
      </c>
      <c r="BU134" s="23">
        <f t="shared" si="75"/>
        <v>0</v>
      </c>
      <c r="BV134" s="23">
        <f t="shared" si="76"/>
        <v>39</v>
      </c>
      <c r="BW134" s="23">
        <f t="shared" si="77"/>
        <v>0</v>
      </c>
      <c r="BX134" s="23">
        <f t="shared" si="78"/>
        <v>0</v>
      </c>
      <c r="BY134" s="23">
        <f t="shared" si="79"/>
        <v>0</v>
      </c>
      <c r="BZ134" s="23">
        <f t="shared" si="80"/>
        <v>0</v>
      </c>
      <c r="CA134" s="23">
        <f t="shared" si="81"/>
        <v>39</v>
      </c>
      <c r="CB134" s="23">
        <f t="shared" si="82"/>
        <v>39</v>
      </c>
      <c r="CC134" s="23">
        <f t="shared" si="83"/>
        <v>0</v>
      </c>
      <c r="CD134" s="23">
        <f t="shared" si="84"/>
        <v>0</v>
      </c>
      <c r="CE134" s="23">
        <f t="shared" si="85"/>
        <v>39</v>
      </c>
      <c r="CF134" s="23">
        <f t="shared" si="86"/>
        <v>0</v>
      </c>
      <c r="CG134" s="23">
        <f t="shared" si="87"/>
        <v>0</v>
      </c>
      <c r="CH134" s="23">
        <f t="shared" si="88"/>
        <v>0</v>
      </c>
      <c r="CI134" s="23">
        <f t="shared" si="89"/>
        <v>39</v>
      </c>
      <c r="CJ134" s="23">
        <f t="shared" si="90"/>
        <v>0</v>
      </c>
      <c r="CK134" s="23">
        <f t="shared" si="91"/>
        <v>0</v>
      </c>
      <c r="CL134" s="23">
        <f t="shared" si="92"/>
        <v>0</v>
      </c>
      <c r="CM134" s="23">
        <f t="shared" si="93"/>
        <v>39</v>
      </c>
      <c r="CN134" s="23">
        <f t="shared" si="94"/>
        <v>0</v>
      </c>
      <c r="CO134" s="23">
        <f t="shared" si="95"/>
        <v>0</v>
      </c>
      <c r="CP134" s="23">
        <f t="shared" si="96"/>
        <v>0</v>
      </c>
      <c r="CQ134" s="23">
        <f t="shared" si="97"/>
        <v>0</v>
      </c>
      <c r="CR134" s="23">
        <f t="shared" si="98"/>
        <v>0</v>
      </c>
      <c r="CS134" s="23">
        <f t="shared" si="99"/>
        <v>0</v>
      </c>
      <c r="CT134" s="23">
        <f t="shared" si="100"/>
        <v>0</v>
      </c>
      <c r="CU134" s="23">
        <f t="shared" si="101"/>
        <v>0</v>
      </c>
      <c r="CV134" s="23">
        <f t="shared" si="102"/>
        <v>0</v>
      </c>
    </row>
    <row r="135" spans="1:100" ht="13.5">
      <c r="A135" s="15">
        <v>608</v>
      </c>
      <c r="B135" s="27" t="s">
        <v>461</v>
      </c>
      <c r="C135" t="s">
        <v>208</v>
      </c>
      <c r="E135" t="s">
        <v>417</v>
      </c>
      <c r="F135" t="s">
        <v>133</v>
      </c>
      <c r="G135" t="s">
        <v>417</v>
      </c>
      <c r="H135" t="s">
        <v>418</v>
      </c>
      <c r="I135" s="6" t="s">
        <v>136</v>
      </c>
      <c r="J135" s="6">
        <v>1</v>
      </c>
      <c r="L135" s="15">
        <v>1</v>
      </c>
      <c r="N135" s="7">
        <v>46419</v>
      </c>
      <c r="O135" s="7">
        <v>46416</v>
      </c>
      <c r="P135" s="7">
        <v>46419</v>
      </c>
      <c r="S135" s="6" t="s">
        <v>417</v>
      </c>
      <c r="U135" s="6" t="s">
        <v>191</v>
      </c>
      <c r="V135" s="6" t="str">
        <f t="shared" si="69"/>
        <v>27/02</v>
      </c>
      <c r="W135">
        <v>21458</v>
      </c>
      <c r="Y135" s="6" t="s">
        <v>211</v>
      </c>
      <c r="Z135" s="6" t="s">
        <v>212</v>
      </c>
      <c r="AA135">
        <v>3252</v>
      </c>
      <c r="AI135" s="23">
        <v>1</v>
      </c>
      <c r="AJ135" s="23">
        <v>1</v>
      </c>
      <c r="AK135" s="23">
        <v>0</v>
      </c>
      <c r="AL135" s="23">
        <v>0</v>
      </c>
      <c r="AM135" s="23">
        <v>1</v>
      </c>
      <c r="AN135" s="23">
        <v>0</v>
      </c>
      <c r="AO135" s="23">
        <v>1</v>
      </c>
      <c r="AP135" s="23">
        <v>0</v>
      </c>
      <c r="AQ135" s="23">
        <v>0</v>
      </c>
      <c r="AR135" s="23">
        <v>0</v>
      </c>
      <c r="AS135" s="23">
        <v>0</v>
      </c>
      <c r="AT135" s="23">
        <v>1</v>
      </c>
      <c r="AU135" s="23">
        <v>0</v>
      </c>
      <c r="AV135" s="23">
        <v>0</v>
      </c>
      <c r="AW135" s="23">
        <v>1</v>
      </c>
      <c r="AX135" s="23">
        <v>0</v>
      </c>
      <c r="AY135" s="23">
        <v>0</v>
      </c>
      <c r="AZ135" s="23">
        <v>0</v>
      </c>
      <c r="BA135" s="23">
        <v>1</v>
      </c>
      <c r="BB135" s="23">
        <v>0</v>
      </c>
      <c r="BC135" s="23">
        <v>0</v>
      </c>
      <c r="BD135" s="23">
        <v>0</v>
      </c>
      <c r="BE135" s="23">
        <v>1</v>
      </c>
      <c r="BF135" s="23">
        <v>1</v>
      </c>
      <c r="BG135" s="23">
        <v>0</v>
      </c>
      <c r="BH135" s="23">
        <v>0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f t="shared" si="70"/>
        <v>1</v>
      </c>
      <c r="BQ135" s="23">
        <f t="shared" si="71"/>
        <v>1</v>
      </c>
      <c r="BR135" s="23">
        <f t="shared" si="72"/>
        <v>0</v>
      </c>
      <c r="BS135" s="23">
        <f t="shared" si="73"/>
        <v>0</v>
      </c>
      <c r="BT135" s="23">
        <f t="shared" si="74"/>
        <v>1</v>
      </c>
      <c r="BU135" s="23">
        <f t="shared" si="75"/>
        <v>0</v>
      </c>
      <c r="BV135" s="23">
        <f t="shared" si="76"/>
        <v>1</v>
      </c>
      <c r="BW135" s="23">
        <f t="shared" si="77"/>
        <v>0</v>
      </c>
      <c r="BX135" s="23">
        <f t="shared" si="78"/>
        <v>0</v>
      </c>
      <c r="BY135" s="23">
        <f t="shared" si="79"/>
        <v>0</v>
      </c>
      <c r="BZ135" s="23">
        <f t="shared" si="80"/>
        <v>0</v>
      </c>
      <c r="CA135" s="23">
        <f t="shared" si="81"/>
        <v>1</v>
      </c>
      <c r="CB135" s="23">
        <f t="shared" si="82"/>
        <v>0</v>
      </c>
      <c r="CC135" s="23">
        <f t="shared" si="83"/>
        <v>0</v>
      </c>
      <c r="CD135" s="23">
        <f t="shared" si="84"/>
        <v>1</v>
      </c>
      <c r="CE135" s="23">
        <f t="shared" si="85"/>
        <v>0</v>
      </c>
      <c r="CF135" s="23">
        <f t="shared" si="86"/>
        <v>0</v>
      </c>
      <c r="CG135" s="23">
        <f t="shared" si="87"/>
        <v>0</v>
      </c>
      <c r="CH135" s="23">
        <f t="shared" si="88"/>
        <v>1</v>
      </c>
      <c r="CI135" s="23">
        <f t="shared" si="89"/>
        <v>0</v>
      </c>
      <c r="CJ135" s="23">
        <f t="shared" si="90"/>
        <v>0</v>
      </c>
      <c r="CK135" s="23">
        <f t="shared" si="91"/>
        <v>0</v>
      </c>
      <c r="CL135" s="23">
        <f t="shared" si="92"/>
        <v>1</v>
      </c>
      <c r="CM135" s="23">
        <f t="shared" si="93"/>
        <v>1</v>
      </c>
      <c r="CN135" s="23">
        <f t="shared" si="94"/>
        <v>0</v>
      </c>
      <c r="CO135" s="23">
        <f t="shared" si="95"/>
        <v>0</v>
      </c>
      <c r="CP135" s="23">
        <f t="shared" si="96"/>
        <v>0</v>
      </c>
      <c r="CQ135" s="23">
        <f t="shared" si="97"/>
        <v>0</v>
      </c>
      <c r="CR135" s="23">
        <f t="shared" si="98"/>
        <v>0</v>
      </c>
      <c r="CS135" s="23">
        <f t="shared" si="99"/>
        <v>0</v>
      </c>
      <c r="CT135" s="23">
        <f t="shared" si="100"/>
        <v>0</v>
      </c>
      <c r="CU135" s="23">
        <f t="shared" si="101"/>
        <v>0</v>
      </c>
      <c r="CV135" s="23">
        <f t="shared" si="102"/>
        <v>0</v>
      </c>
    </row>
    <row r="136" spans="1:100" ht="13.5">
      <c r="A136" s="15">
        <v>611</v>
      </c>
      <c r="B136" s="27" t="s">
        <v>462</v>
      </c>
      <c r="C136" t="s">
        <v>208</v>
      </c>
      <c r="E136" t="s">
        <v>441</v>
      </c>
      <c r="F136" t="s">
        <v>133</v>
      </c>
      <c r="G136" t="s">
        <v>441</v>
      </c>
      <c r="H136" t="s">
        <v>442</v>
      </c>
      <c r="I136" s="6" t="s">
        <v>136</v>
      </c>
      <c r="J136" s="6">
        <v>1</v>
      </c>
      <c r="L136" s="15">
        <v>25</v>
      </c>
      <c r="N136" s="7">
        <v>46447</v>
      </c>
      <c r="O136" s="7">
        <v>46444</v>
      </c>
      <c r="P136" s="7">
        <v>46447</v>
      </c>
      <c r="S136" s="6" t="s">
        <v>441</v>
      </c>
      <c r="U136" s="6" t="s">
        <v>191</v>
      </c>
      <c r="V136" s="6" t="str">
        <f t="shared" si="69"/>
        <v>27/03</v>
      </c>
      <c r="W136">
        <v>21459</v>
      </c>
      <c r="Y136" s="6" t="s">
        <v>211</v>
      </c>
      <c r="Z136" s="6" t="s">
        <v>212</v>
      </c>
      <c r="AA136">
        <v>3253</v>
      </c>
      <c r="AI136" s="23">
        <v>1</v>
      </c>
      <c r="AJ136" s="23">
        <v>1</v>
      </c>
      <c r="AK136" s="23">
        <v>0</v>
      </c>
      <c r="AL136" s="23">
        <v>0</v>
      </c>
      <c r="AM136" s="23">
        <v>1</v>
      </c>
      <c r="AN136" s="23">
        <v>0</v>
      </c>
      <c r="AO136" s="23">
        <v>1</v>
      </c>
      <c r="AP136" s="23">
        <v>0</v>
      </c>
      <c r="AQ136" s="23">
        <v>0</v>
      </c>
      <c r="AR136" s="23">
        <v>0</v>
      </c>
      <c r="AS136" s="23">
        <v>1</v>
      </c>
      <c r="AT136" s="23">
        <v>0</v>
      </c>
      <c r="AU136" s="23">
        <v>1</v>
      </c>
      <c r="AV136" s="23">
        <v>0</v>
      </c>
      <c r="AW136" s="23">
        <v>0</v>
      </c>
      <c r="AX136" s="23">
        <v>1</v>
      </c>
      <c r="AY136" s="23">
        <v>0</v>
      </c>
      <c r="AZ136" s="23">
        <v>0</v>
      </c>
      <c r="BA136" s="23">
        <v>0</v>
      </c>
      <c r="BB136" s="23">
        <v>1</v>
      </c>
      <c r="BC136" s="23">
        <v>0</v>
      </c>
      <c r="BD136" s="23">
        <v>0</v>
      </c>
      <c r="BE136" s="23">
        <v>0</v>
      </c>
      <c r="BF136" s="23">
        <v>1</v>
      </c>
      <c r="BG136" s="23">
        <v>0</v>
      </c>
      <c r="BH136" s="23">
        <v>0</v>
      </c>
      <c r="BI136" s="23">
        <v>0</v>
      </c>
      <c r="BJ136" s="23">
        <v>0</v>
      </c>
      <c r="BK136" s="23">
        <v>0</v>
      </c>
      <c r="BL136" s="23">
        <v>0</v>
      </c>
      <c r="BM136" s="23">
        <v>0</v>
      </c>
      <c r="BN136" s="23">
        <v>0</v>
      </c>
      <c r="BO136" s="23">
        <v>0</v>
      </c>
      <c r="BP136" s="23">
        <f t="shared" si="70"/>
        <v>25</v>
      </c>
      <c r="BQ136" s="23">
        <f t="shared" si="71"/>
        <v>25</v>
      </c>
      <c r="BR136" s="23">
        <f t="shared" si="72"/>
        <v>0</v>
      </c>
      <c r="BS136" s="23">
        <f t="shared" si="73"/>
        <v>0</v>
      </c>
      <c r="BT136" s="23">
        <f t="shared" si="74"/>
        <v>25</v>
      </c>
      <c r="BU136" s="23">
        <f t="shared" si="75"/>
        <v>0</v>
      </c>
      <c r="BV136" s="23">
        <f t="shared" si="76"/>
        <v>25</v>
      </c>
      <c r="BW136" s="23">
        <f t="shared" si="77"/>
        <v>0</v>
      </c>
      <c r="BX136" s="23">
        <f t="shared" si="78"/>
        <v>0</v>
      </c>
      <c r="BY136" s="23">
        <f t="shared" si="79"/>
        <v>0</v>
      </c>
      <c r="BZ136" s="23">
        <f t="shared" si="80"/>
        <v>25</v>
      </c>
      <c r="CA136" s="23">
        <f t="shared" si="81"/>
        <v>0</v>
      </c>
      <c r="CB136" s="23">
        <f t="shared" si="82"/>
        <v>25</v>
      </c>
      <c r="CC136" s="23">
        <f t="shared" si="83"/>
        <v>0</v>
      </c>
      <c r="CD136" s="23">
        <f t="shared" si="84"/>
        <v>0</v>
      </c>
      <c r="CE136" s="23">
        <f t="shared" si="85"/>
        <v>25</v>
      </c>
      <c r="CF136" s="23">
        <f t="shared" si="86"/>
        <v>0</v>
      </c>
      <c r="CG136" s="23">
        <f t="shared" si="87"/>
        <v>0</v>
      </c>
      <c r="CH136" s="23">
        <f t="shared" si="88"/>
        <v>0</v>
      </c>
      <c r="CI136" s="23">
        <f t="shared" si="89"/>
        <v>25</v>
      </c>
      <c r="CJ136" s="23">
        <f t="shared" si="90"/>
        <v>0</v>
      </c>
      <c r="CK136" s="23">
        <f t="shared" si="91"/>
        <v>0</v>
      </c>
      <c r="CL136" s="23">
        <f t="shared" si="92"/>
        <v>0</v>
      </c>
      <c r="CM136" s="23">
        <f t="shared" si="93"/>
        <v>25</v>
      </c>
      <c r="CN136" s="23">
        <f t="shared" si="94"/>
        <v>0</v>
      </c>
      <c r="CO136" s="23">
        <f t="shared" si="95"/>
        <v>0</v>
      </c>
      <c r="CP136" s="23">
        <f t="shared" si="96"/>
        <v>0</v>
      </c>
      <c r="CQ136" s="23">
        <f t="shared" si="97"/>
        <v>0</v>
      </c>
      <c r="CR136" s="23">
        <f t="shared" si="98"/>
        <v>0</v>
      </c>
      <c r="CS136" s="23">
        <f t="shared" si="99"/>
        <v>0</v>
      </c>
      <c r="CT136" s="23">
        <f t="shared" si="100"/>
        <v>0</v>
      </c>
      <c r="CU136" s="23">
        <f t="shared" si="101"/>
        <v>0</v>
      </c>
      <c r="CV136" s="23">
        <f t="shared" si="102"/>
        <v>0</v>
      </c>
    </row>
    <row r="137" spans="1:100" ht="13.5">
      <c r="A137" s="15">
        <v>620</v>
      </c>
      <c r="B137" s="27" t="s">
        <v>463</v>
      </c>
      <c r="C137" t="s">
        <v>208</v>
      </c>
      <c r="E137" t="s">
        <v>441</v>
      </c>
      <c r="F137" t="s">
        <v>133</v>
      </c>
      <c r="G137" t="s">
        <v>441</v>
      </c>
      <c r="H137" t="s">
        <v>442</v>
      </c>
      <c r="I137" s="6" t="s">
        <v>136</v>
      </c>
      <c r="J137" s="6">
        <v>1</v>
      </c>
      <c r="L137" s="15">
        <v>25</v>
      </c>
      <c r="N137" s="7">
        <v>46483</v>
      </c>
      <c r="O137" s="7">
        <v>46482</v>
      </c>
      <c r="P137" s="7">
        <v>46483</v>
      </c>
      <c r="S137" s="6" t="s">
        <v>441</v>
      </c>
      <c r="U137" s="6" t="s">
        <v>191</v>
      </c>
      <c r="V137" s="6" t="str">
        <f t="shared" si="69"/>
        <v>27/04</v>
      </c>
      <c r="W137">
        <v>21460</v>
      </c>
      <c r="Y137" s="6" t="s">
        <v>211</v>
      </c>
      <c r="Z137" s="6" t="s">
        <v>212</v>
      </c>
      <c r="AA137">
        <v>3254</v>
      </c>
      <c r="AI137" s="23">
        <v>1</v>
      </c>
      <c r="AJ137" s="23">
        <v>1</v>
      </c>
      <c r="AK137" s="23">
        <v>0</v>
      </c>
      <c r="AL137" s="23">
        <v>0</v>
      </c>
      <c r="AM137" s="23">
        <v>1</v>
      </c>
      <c r="AN137" s="23">
        <v>0</v>
      </c>
      <c r="AO137" s="23">
        <v>1</v>
      </c>
      <c r="AP137" s="23">
        <v>0</v>
      </c>
      <c r="AQ137" s="23">
        <v>0</v>
      </c>
      <c r="AR137" s="23">
        <v>0</v>
      </c>
      <c r="AS137" s="23">
        <v>1</v>
      </c>
      <c r="AT137" s="23">
        <v>0</v>
      </c>
      <c r="AU137" s="23">
        <v>1</v>
      </c>
      <c r="AV137" s="23">
        <v>0</v>
      </c>
      <c r="AW137" s="23">
        <v>0</v>
      </c>
      <c r="AX137" s="23">
        <v>1</v>
      </c>
      <c r="AY137" s="23">
        <v>0</v>
      </c>
      <c r="AZ137" s="23">
        <v>0</v>
      </c>
      <c r="BA137" s="23">
        <v>0</v>
      </c>
      <c r="BB137" s="23">
        <v>1</v>
      </c>
      <c r="BC137" s="23">
        <v>0</v>
      </c>
      <c r="BD137" s="23">
        <v>0</v>
      </c>
      <c r="BE137" s="23">
        <v>0</v>
      </c>
      <c r="BF137" s="23">
        <v>1</v>
      </c>
      <c r="BG137" s="23">
        <v>0</v>
      </c>
      <c r="BH137" s="23">
        <v>0</v>
      </c>
      <c r="BI137" s="23">
        <v>0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0</v>
      </c>
      <c r="BP137" s="23">
        <f t="shared" si="70"/>
        <v>25</v>
      </c>
      <c r="BQ137" s="23">
        <f t="shared" si="71"/>
        <v>25</v>
      </c>
      <c r="BR137" s="23">
        <f t="shared" si="72"/>
        <v>0</v>
      </c>
      <c r="BS137" s="23">
        <f t="shared" si="73"/>
        <v>0</v>
      </c>
      <c r="BT137" s="23">
        <f t="shared" si="74"/>
        <v>25</v>
      </c>
      <c r="BU137" s="23">
        <f t="shared" si="75"/>
        <v>0</v>
      </c>
      <c r="BV137" s="23">
        <f t="shared" si="76"/>
        <v>25</v>
      </c>
      <c r="BW137" s="23">
        <f t="shared" si="77"/>
        <v>0</v>
      </c>
      <c r="BX137" s="23">
        <f t="shared" si="78"/>
        <v>0</v>
      </c>
      <c r="BY137" s="23">
        <f t="shared" si="79"/>
        <v>0</v>
      </c>
      <c r="BZ137" s="23">
        <f t="shared" si="80"/>
        <v>25</v>
      </c>
      <c r="CA137" s="23">
        <f t="shared" si="81"/>
        <v>0</v>
      </c>
      <c r="CB137" s="23">
        <f t="shared" si="82"/>
        <v>25</v>
      </c>
      <c r="CC137" s="23">
        <f t="shared" si="83"/>
        <v>0</v>
      </c>
      <c r="CD137" s="23">
        <f t="shared" si="84"/>
        <v>0</v>
      </c>
      <c r="CE137" s="23">
        <f t="shared" si="85"/>
        <v>25</v>
      </c>
      <c r="CF137" s="23">
        <f t="shared" si="86"/>
        <v>0</v>
      </c>
      <c r="CG137" s="23">
        <f t="shared" si="87"/>
        <v>0</v>
      </c>
      <c r="CH137" s="23">
        <f t="shared" si="88"/>
        <v>0</v>
      </c>
      <c r="CI137" s="23">
        <f t="shared" si="89"/>
        <v>25</v>
      </c>
      <c r="CJ137" s="23">
        <f t="shared" si="90"/>
        <v>0</v>
      </c>
      <c r="CK137" s="23">
        <f t="shared" si="91"/>
        <v>0</v>
      </c>
      <c r="CL137" s="23">
        <f t="shared" si="92"/>
        <v>0</v>
      </c>
      <c r="CM137" s="23">
        <f t="shared" si="93"/>
        <v>25</v>
      </c>
      <c r="CN137" s="23">
        <f t="shared" si="94"/>
        <v>0</v>
      </c>
      <c r="CO137" s="23">
        <f t="shared" si="95"/>
        <v>0</v>
      </c>
      <c r="CP137" s="23">
        <f t="shared" si="96"/>
        <v>0</v>
      </c>
      <c r="CQ137" s="23">
        <f t="shared" si="97"/>
        <v>0</v>
      </c>
      <c r="CR137" s="23">
        <f t="shared" si="98"/>
        <v>0</v>
      </c>
      <c r="CS137" s="23">
        <f t="shared" si="99"/>
        <v>0</v>
      </c>
      <c r="CT137" s="23">
        <f t="shared" si="100"/>
        <v>0</v>
      </c>
      <c r="CU137" s="23">
        <f t="shared" si="101"/>
        <v>0</v>
      </c>
      <c r="CV137" s="23">
        <f t="shared" si="102"/>
        <v>0</v>
      </c>
    </row>
    <row r="138" spans="1:100" ht="13.5">
      <c r="A138" s="15">
        <v>55</v>
      </c>
      <c r="B138" s="27" t="s">
        <v>469</v>
      </c>
      <c r="C138" t="s">
        <v>180</v>
      </c>
      <c r="E138" t="s">
        <v>182</v>
      </c>
      <c r="F138" t="s">
        <v>181</v>
      </c>
      <c r="G138" t="s">
        <v>182</v>
      </c>
      <c r="H138" t="s">
        <v>183</v>
      </c>
      <c r="I138" s="6" t="s">
        <v>136</v>
      </c>
      <c r="J138" s="6">
        <v>1</v>
      </c>
      <c r="L138" s="15">
        <v>1</v>
      </c>
      <c r="M138" s="7">
        <v>46008</v>
      </c>
      <c r="N138" s="7">
        <v>46027</v>
      </c>
      <c r="O138" s="7">
        <v>46017</v>
      </c>
      <c r="P138" s="7">
        <v>46017</v>
      </c>
      <c r="R138" s="6" t="s">
        <v>470</v>
      </c>
      <c r="S138" s="6" t="s">
        <v>182</v>
      </c>
      <c r="U138" s="6" t="s">
        <v>464</v>
      </c>
      <c r="V138" s="6" t="str">
        <f t="shared" si="69"/>
        <v>26/01</v>
      </c>
      <c r="W138">
        <v>1442</v>
      </c>
      <c r="AB138">
        <v>583</v>
      </c>
      <c r="AD138">
        <v>530</v>
      </c>
      <c r="AI138" s="23">
        <v>0</v>
      </c>
      <c r="AJ138" s="23">
        <v>0</v>
      </c>
      <c r="AK138" s="23">
        <v>0</v>
      </c>
      <c r="AL138" s="23">
        <v>0</v>
      </c>
      <c r="AM138" s="23">
        <v>0</v>
      </c>
      <c r="AN138" s="23">
        <v>0</v>
      </c>
      <c r="AO138" s="23">
        <v>0</v>
      </c>
      <c r="AP138" s="23">
        <v>0</v>
      </c>
      <c r="AQ138" s="23">
        <v>0</v>
      </c>
      <c r="AR138" s="23">
        <v>0</v>
      </c>
      <c r="AS138" s="23">
        <v>0</v>
      </c>
      <c r="AT138" s="23">
        <v>0</v>
      </c>
      <c r="AU138" s="23">
        <v>0</v>
      </c>
      <c r="AV138" s="23">
        <v>0</v>
      </c>
      <c r="AW138" s="23">
        <v>0</v>
      </c>
      <c r="AX138" s="23">
        <v>0</v>
      </c>
      <c r="AY138" s="23">
        <v>0</v>
      </c>
      <c r="AZ138" s="23">
        <v>0</v>
      </c>
      <c r="BA138" s="23">
        <v>0</v>
      </c>
      <c r="BB138" s="23">
        <v>0</v>
      </c>
      <c r="BC138" s="23">
        <v>0</v>
      </c>
      <c r="BD138" s="23">
        <v>0</v>
      </c>
      <c r="BE138" s="23">
        <v>0</v>
      </c>
      <c r="BF138" s="23">
        <v>0</v>
      </c>
      <c r="BG138" s="23">
        <v>1</v>
      </c>
      <c r="BH138" s="23">
        <v>1</v>
      </c>
      <c r="BI138" s="23">
        <v>1</v>
      </c>
      <c r="BJ138" s="23">
        <v>1</v>
      </c>
      <c r="BK138" s="23">
        <v>1</v>
      </c>
      <c r="BL138" s="23">
        <v>1</v>
      </c>
      <c r="BM138" s="23">
        <v>1</v>
      </c>
      <c r="BN138" s="23">
        <v>1</v>
      </c>
      <c r="BO138" s="23">
        <v>0</v>
      </c>
      <c r="BP138" s="23">
        <f t="shared" si="70"/>
        <v>0</v>
      </c>
      <c r="BQ138" s="23">
        <f t="shared" si="71"/>
        <v>0</v>
      </c>
      <c r="BR138" s="23">
        <f t="shared" si="72"/>
        <v>0</v>
      </c>
      <c r="BS138" s="23">
        <f t="shared" si="73"/>
        <v>0</v>
      </c>
      <c r="BT138" s="23">
        <f t="shared" si="74"/>
        <v>0</v>
      </c>
      <c r="BU138" s="23">
        <f t="shared" si="75"/>
        <v>0</v>
      </c>
      <c r="BV138" s="23">
        <f t="shared" si="76"/>
        <v>0</v>
      </c>
      <c r="BW138" s="23">
        <f t="shared" si="77"/>
        <v>0</v>
      </c>
      <c r="BX138" s="23">
        <f t="shared" si="78"/>
        <v>0</v>
      </c>
      <c r="BY138" s="23">
        <f t="shared" si="79"/>
        <v>0</v>
      </c>
      <c r="BZ138" s="23">
        <f t="shared" si="80"/>
        <v>0</v>
      </c>
      <c r="CA138" s="23">
        <f t="shared" si="81"/>
        <v>0</v>
      </c>
      <c r="CB138" s="23">
        <f t="shared" si="82"/>
        <v>0</v>
      </c>
      <c r="CC138" s="23">
        <f t="shared" si="83"/>
        <v>0</v>
      </c>
      <c r="CD138" s="23">
        <f t="shared" si="84"/>
        <v>0</v>
      </c>
      <c r="CE138" s="23">
        <f t="shared" si="85"/>
        <v>0</v>
      </c>
      <c r="CF138" s="23">
        <f t="shared" si="86"/>
        <v>0</v>
      </c>
      <c r="CG138" s="23">
        <f t="shared" si="87"/>
        <v>0</v>
      </c>
      <c r="CH138" s="23">
        <f t="shared" si="88"/>
        <v>0</v>
      </c>
      <c r="CI138" s="23">
        <f t="shared" si="89"/>
        <v>0</v>
      </c>
      <c r="CJ138" s="23">
        <f t="shared" si="90"/>
        <v>0</v>
      </c>
      <c r="CK138" s="23">
        <f t="shared" si="91"/>
        <v>0</v>
      </c>
      <c r="CL138" s="23">
        <f t="shared" si="92"/>
        <v>0</v>
      </c>
      <c r="CM138" s="23">
        <f t="shared" si="93"/>
        <v>0</v>
      </c>
      <c r="CN138" s="23">
        <f t="shared" si="94"/>
        <v>1</v>
      </c>
      <c r="CO138" s="23">
        <f t="shared" si="95"/>
        <v>1</v>
      </c>
      <c r="CP138" s="23">
        <f t="shared" si="96"/>
        <v>1</v>
      </c>
      <c r="CQ138" s="23">
        <f t="shared" si="97"/>
        <v>1</v>
      </c>
      <c r="CR138" s="23">
        <f t="shared" si="98"/>
        <v>1</v>
      </c>
      <c r="CS138" s="23">
        <f t="shared" si="99"/>
        <v>1</v>
      </c>
      <c r="CT138" s="23">
        <f t="shared" si="100"/>
        <v>1</v>
      </c>
      <c r="CU138" s="23">
        <f t="shared" si="101"/>
        <v>1</v>
      </c>
      <c r="CV138" s="23">
        <f t="shared" si="102"/>
        <v>0</v>
      </c>
    </row>
    <row r="139" spans="1:100" ht="13.5">
      <c r="A139" s="15">
        <v>53</v>
      </c>
      <c r="B139" s="27" t="s">
        <v>471</v>
      </c>
      <c r="C139" t="s">
        <v>180</v>
      </c>
      <c r="E139" t="s">
        <v>182</v>
      </c>
      <c r="F139" t="s">
        <v>181</v>
      </c>
      <c r="G139" t="s">
        <v>182</v>
      </c>
      <c r="H139" t="s">
        <v>183</v>
      </c>
      <c r="I139" s="6" t="s">
        <v>136</v>
      </c>
      <c r="J139" s="6">
        <v>1</v>
      </c>
      <c r="L139" s="15">
        <v>1</v>
      </c>
      <c r="M139" s="7">
        <v>46008</v>
      </c>
      <c r="N139" s="7">
        <v>46027</v>
      </c>
      <c r="O139" s="7">
        <v>46017</v>
      </c>
      <c r="P139" s="7">
        <v>46017</v>
      </c>
      <c r="R139" s="6" t="s">
        <v>472</v>
      </c>
      <c r="S139" s="6" t="s">
        <v>182</v>
      </c>
      <c r="U139" s="6" t="s">
        <v>464</v>
      </c>
      <c r="V139" s="6" t="str">
        <f t="shared" si="69"/>
        <v>26/01</v>
      </c>
      <c r="W139">
        <v>1443</v>
      </c>
      <c r="AB139">
        <v>584</v>
      </c>
      <c r="AD139">
        <v>531</v>
      </c>
      <c r="AI139" s="23">
        <v>0</v>
      </c>
      <c r="AJ139" s="23">
        <v>0</v>
      </c>
      <c r="AK139" s="23">
        <v>0</v>
      </c>
      <c r="AL139" s="23">
        <v>0</v>
      </c>
      <c r="AM139" s="23">
        <v>0</v>
      </c>
      <c r="AN139" s="23">
        <v>0</v>
      </c>
      <c r="AO139" s="23">
        <v>0</v>
      </c>
      <c r="AP139" s="23">
        <v>0</v>
      </c>
      <c r="AQ139" s="23">
        <v>0</v>
      </c>
      <c r="AR139" s="23">
        <v>0</v>
      </c>
      <c r="AS139" s="23">
        <v>0</v>
      </c>
      <c r="AT139" s="23">
        <v>0</v>
      </c>
      <c r="AU139" s="23">
        <v>0</v>
      </c>
      <c r="AV139" s="23">
        <v>0</v>
      </c>
      <c r="AW139" s="23">
        <v>0</v>
      </c>
      <c r="AX139" s="23">
        <v>0</v>
      </c>
      <c r="AY139" s="23">
        <v>0</v>
      </c>
      <c r="AZ139" s="23">
        <v>0</v>
      </c>
      <c r="BA139" s="23">
        <v>0</v>
      </c>
      <c r="BB139" s="23">
        <v>0</v>
      </c>
      <c r="BC139" s="23">
        <v>0</v>
      </c>
      <c r="BD139" s="23">
        <v>0</v>
      </c>
      <c r="BE139" s="23">
        <v>0</v>
      </c>
      <c r="BF139" s="23">
        <v>0</v>
      </c>
      <c r="BG139" s="23">
        <v>1</v>
      </c>
      <c r="BH139" s="23">
        <v>1</v>
      </c>
      <c r="BI139" s="23">
        <v>1</v>
      </c>
      <c r="BJ139" s="23">
        <v>1</v>
      </c>
      <c r="BK139" s="23">
        <v>1</v>
      </c>
      <c r="BL139" s="23">
        <v>1</v>
      </c>
      <c r="BM139" s="23">
        <v>1</v>
      </c>
      <c r="BN139" s="23">
        <v>1</v>
      </c>
      <c r="BO139" s="23">
        <v>0</v>
      </c>
      <c r="BP139" s="23">
        <f t="shared" si="70"/>
        <v>0</v>
      </c>
      <c r="BQ139" s="23">
        <f t="shared" si="71"/>
        <v>0</v>
      </c>
      <c r="BR139" s="23">
        <f t="shared" si="72"/>
        <v>0</v>
      </c>
      <c r="BS139" s="23">
        <f t="shared" si="73"/>
        <v>0</v>
      </c>
      <c r="BT139" s="23">
        <f t="shared" si="74"/>
        <v>0</v>
      </c>
      <c r="BU139" s="23">
        <f t="shared" si="75"/>
        <v>0</v>
      </c>
      <c r="BV139" s="23">
        <f t="shared" si="76"/>
        <v>0</v>
      </c>
      <c r="BW139" s="23">
        <f t="shared" si="77"/>
        <v>0</v>
      </c>
      <c r="BX139" s="23">
        <f t="shared" si="78"/>
        <v>0</v>
      </c>
      <c r="BY139" s="23">
        <f t="shared" si="79"/>
        <v>0</v>
      </c>
      <c r="BZ139" s="23">
        <f t="shared" si="80"/>
        <v>0</v>
      </c>
      <c r="CA139" s="23">
        <f t="shared" si="81"/>
        <v>0</v>
      </c>
      <c r="CB139" s="23">
        <f t="shared" si="82"/>
        <v>0</v>
      </c>
      <c r="CC139" s="23">
        <f t="shared" si="83"/>
        <v>0</v>
      </c>
      <c r="CD139" s="23">
        <f t="shared" si="84"/>
        <v>0</v>
      </c>
      <c r="CE139" s="23">
        <f t="shared" si="85"/>
        <v>0</v>
      </c>
      <c r="CF139" s="23">
        <f t="shared" si="86"/>
        <v>0</v>
      </c>
      <c r="CG139" s="23">
        <f t="shared" si="87"/>
        <v>0</v>
      </c>
      <c r="CH139" s="23">
        <f t="shared" si="88"/>
        <v>0</v>
      </c>
      <c r="CI139" s="23">
        <f t="shared" si="89"/>
        <v>0</v>
      </c>
      <c r="CJ139" s="23">
        <f t="shared" si="90"/>
        <v>0</v>
      </c>
      <c r="CK139" s="23">
        <f t="shared" si="91"/>
        <v>0</v>
      </c>
      <c r="CL139" s="23">
        <f t="shared" si="92"/>
        <v>0</v>
      </c>
      <c r="CM139" s="23">
        <f t="shared" si="93"/>
        <v>0</v>
      </c>
      <c r="CN139" s="23">
        <f t="shared" si="94"/>
        <v>1</v>
      </c>
      <c r="CO139" s="23">
        <f t="shared" si="95"/>
        <v>1</v>
      </c>
      <c r="CP139" s="23">
        <f t="shared" si="96"/>
        <v>1</v>
      </c>
      <c r="CQ139" s="23">
        <f t="shared" si="97"/>
        <v>1</v>
      </c>
      <c r="CR139" s="23">
        <f t="shared" si="98"/>
        <v>1</v>
      </c>
      <c r="CS139" s="23">
        <f t="shared" si="99"/>
        <v>1</v>
      </c>
      <c r="CT139" s="23">
        <f t="shared" si="100"/>
        <v>1</v>
      </c>
      <c r="CU139" s="23">
        <f t="shared" si="101"/>
        <v>1</v>
      </c>
      <c r="CV139" s="23">
        <f t="shared" si="102"/>
        <v>0</v>
      </c>
    </row>
    <row r="140" spans="1:100" ht="13.5">
      <c r="A140" s="15">
        <v>54</v>
      </c>
      <c r="B140" s="27" t="s">
        <v>473</v>
      </c>
      <c r="C140" t="s">
        <v>180</v>
      </c>
      <c r="E140" t="s">
        <v>182</v>
      </c>
      <c r="F140" t="s">
        <v>181</v>
      </c>
      <c r="G140" t="s">
        <v>182</v>
      </c>
      <c r="H140" t="s">
        <v>183</v>
      </c>
      <c r="I140" s="6" t="s">
        <v>136</v>
      </c>
      <c r="J140" s="6">
        <v>1</v>
      </c>
      <c r="L140" s="15">
        <v>1</v>
      </c>
      <c r="M140" s="7">
        <v>46008</v>
      </c>
      <c r="N140" s="7">
        <v>46027</v>
      </c>
      <c r="O140" s="7">
        <v>46017</v>
      </c>
      <c r="P140" s="7">
        <v>46017</v>
      </c>
      <c r="R140" s="6" t="s">
        <v>474</v>
      </c>
      <c r="S140" s="6" t="s">
        <v>182</v>
      </c>
      <c r="U140" s="6" t="s">
        <v>464</v>
      </c>
      <c r="V140" s="6" t="str">
        <f t="shared" si="69"/>
        <v>26/01</v>
      </c>
      <c r="W140">
        <v>1444</v>
      </c>
      <c r="AB140">
        <v>585</v>
      </c>
      <c r="AD140">
        <v>532</v>
      </c>
      <c r="AI140" s="23">
        <v>0</v>
      </c>
      <c r="AJ140" s="23">
        <v>0</v>
      </c>
      <c r="AK140" s="23">
        <v>0</v>
      </c>
      <c r="AL140" s="23">
        <v>0</v>
      </c>
      <c r="AM140" s="23">
        <v>0</v>
      </c>
      <c r="AN140" s="23">
        <v>0</v>
      </c>
      <c r="AO140" s="23">
        <v>0</v>
      </c>
      <c r="AP140" s="23">
        <v>0</v>
      </c>
      <c r="AQ140" s="23">
        <v>0</v>
      </c>
      <c r="AR140" s="23">
        <v>0</v>
      </c>
      <c r="AS140" s="23">
        <v>0</v>
      </c>
      <c r="AT140" s="23">
        <v>0</v>
      </c>
      <c r="AU140" s="23">
        <v>0</v>
      </c>
      <c r="AV140" s="23">
        <v>0</v>
      </c>
      <c r="AW140" s="23">
        <v>0</v>
      </c>
      <c r="AX140" s="23">
        <v>0</v>
      </c>
      <c r="AY140" s="23">
        <v>0</v>
      </c>
      <c r="AZ140" s="23">
        <v>0</v>
      </c>
      <c r="BA140" s="23">
        <v>0</v>
      </c>
      <c r="BB140" s="23">
        <v>0</v>
      </c>
      <c r="BC140" s="23">
        <v>0</v>
      </c>
      <c r="BD140" s="23">
        <v>0</v>
      </c>
      <c r="BE140" s="23">
        <v>0</v>
      </c>
      <c r="BF140" s="23">
        <v>0</v>
      </c>
      <c r="BG140" s="23">
        <v>1</v>
      </c>
      <c r="BH140" s="23">
        <v>1</v>
      </c>
      <c r="BI140" s="23">
        <v>1</v>
      </c>
      <c r="BJ140" s="23">
        <v>1</v>
      </c>
      <c r="BK140" s="23">
        <v>1</v>
      </c>
      <c r="BL140" s="23">
        <v>1</v>
      </c>
      <c r="BM140" s="23">
        <v>1</v>
      </c>
      <c r="BN140" s="23">
        <v>1</v>
      </c>
      <c r="BO140" s="23">
        <v>0</v>
      </c>
      <c r="BP140" s="23">
        <f t="shared" si="70"/>
        <v>0</v>
      </c>
      <c r="BQ140" s="23">
        <f t="shared" si="71"/>
        <v>0</v>
      </c>
      <c r="BR140" s="23">
        <f t="shared" si="72"/>
        <v>0</v>
      </c>
      <c r="BS140" s="23">
        <f t="shared" si="73"/>
        <v>0</v>
      </c>
      <c r="BT140" s="23">
        <f t="shared" si="74"/>
        <v>0</v>
      </c>
      <c r="BU140" s="23">
        <f t="shared" si="75"/>
        <v>0</v>
      </c>
      <c r="BV140" s="23">
        <f t="shared" si="76"/>
        <v>0</v>
      </c>
      <c r="BW140" s="23">
        <f t="shared" si="77"/>
        <v>0</v>
      </c>
      <c r="BX140" s="23">
        <f t="shared" si="78"/>
        <v>0</v>
      </c>
      <c r="BY140" s="23">
        <f t="shared" si="79"/>
        <v>0</v>
      </c>
      <c r="BZ140" s="23">
        <f t="shared" si="80"/>
        <v>0</v>
      </c>
      <c r="CA140" s="23">
        <f t="shared" si="81"/>
        <v>0</v>
      </c>
      <c r="CB140" s="23">
        <f t="shared" si="82"/>
        <v>0</v>
      </c>
      <c r="CC140" s="23">
        <f t="shared" si="83"/>
        <v>0</v>
      </c>
      <c r="CD140" s="23">
        <f t="shared" si="84"/>
        <v>0</v>
      </c>
      <c r="CE140" s="23">
        <f t="shared" si="85"/>
        <v>0</v>
      </c>
      <c r="CF140" s="23">
        <f t="shared" si="86"/>
        <v>0</v>
      </c>
      <c r="CG140" s="23">
        <f t="shared" si="87"/>
        <v>0</v>
      </c>
      <c r="CH140" s="23">
        <f t="shared" si="88"/>
        <v>0</v>
      </c>
      <c r="CI140" s="23">
        <f t="shared" si="89"/>
        <v>0</v>
      </c>
      <c r="CJ140" s="23">
        <f t="shared" si="90"/>
        <v>0</v>
      </c>
      <c r="CK140" s="23">
        <f t="shared" si="91"/>
        <v>0</v>
      </c>
      <c r="CL140" s="23">
        <f t="shared" si="92"/>
        <v>0</v>
      </c>
      <c r="CM140" s="23">
        <f t="shared" si="93"/>
        <v>0</v>
      </c>
      <c r="CN140" s="23">
        <f t="shared" si="94"/>
        <v>1</v>
      </c>
      <c r="CO140" s="23">
        <f t="shared" si="95"/>
        <v>1</v>
      </c>
      <c r="CP140" s="23">
        <f t="shared" si="96"/>
        <v>1</v>
      </c>
      <c r="CQ140" s="23">
        <f t="shared" si="97"/>
        <v>1</v>
      </c>
      <c r="CR140" s="23">
        <f t="shared" si="98"/>
        <v>1</v>
      </c>
      <c r="CS140" s="23">
        <f t="shared" si="99"/>
        <v>1</v>
      </c>
      <c r="CT140" s="23">
        <f t="shared" si="100"/>
        <v>1</v>
      </c>
      <c r="CU140" s="23">
        <f t="shared" si="101"/>
        <v>1</v>
      </c>
      <c r="CV140" s="23">
        <f t="shared" si="102"/>
        <v>0</v>
      </c>
    </row>
    <row r="141" spans="1:100" ht="13.5">
      <c r="A141" s="15">
        <v>74</v>
      </c>
      <c r="B141" s="27" t="s">
        <v>475</v>
      </c>
      <c r="C141" t="s">
        <v>476</v>
      </c>
      <c r="D141" t="s">
        <v>477</v>
      </c>
      <c r="E141" t="s">
        <v>478</v>
      </c>
      <c r="F141" t="s">
        <v>479</v>
      </c>
      <c r="G141" t="s">
        <v>480</v>
      </c>
      <c r="H141" t="s">
        <v>481</v>
      </c>
      <c r="I141" s="6" t="s">
        <v>147</v>
      </c>
      <c r="J141" s="6">
        <v>1</v>
      </c>
      <c r="L141" s="15">
        <v>1</v>
      </c>
      <c r="M141" s="7">
        <v>46008</v>
      </c>
      <c r="N141" s="7">
        <v>46027</v>
      </c>
      <c r="O141" s="7">
        <v>46017</v>
      </c>
      <c r="P141" s="7">
        <v>46029</v>
      </c>
      <c r="R141" s="6" t="s">
        <v>482</v>
      </c>
      <c r="S141" s="6" t="s">
        <v>465</v>
      </c>
      <c r="U141" s="6" t="s">
        <v>464</v>
      </c>
      <c r="V141" s="6" t="str">
        <f t="shared" si="69"/>
        <v>26/01</v>
      </c>
      <c r="W141">
        <v>1445</v>
      </c>
      <c r="AA141">
        <v>863</v>
      </c>
      <c r="AC141">
        <v>916</v>
      </c>
      <c r="AI141" s="23">
        <v>0</v>
      </c>
      <c r="AJ141" s="23">
        <v>0</v>
      </c>
      <c r="AK141" s="23">
        <v>0</v>
      </c>
      <c r="AL141" s="23">
        <v>0</v>
      </c>
      <c r="AM141" s="23">
        <v>0</v>
      </c>
      <c r="AN141" s="23">
        <v>0</v>
      </c>
      <c r="AO141" s="23">
        <v>0</v>
      </c>
      <c r="AP141" s="23">
        <v>0</v>
      </c>
      <c r="AQ141" s="23">
        <v>0</v>
      </c>
      <c r="AR141" s="23">
        <v>0</v>
      </c>
      <c r="AS141" s="23">
        <v>0</v>
      </c>
      <c r="AT141" s="23">
        <v>0</v>
      </c>
      <c r="AU141" s="23">
        <v>0</v>
      </c>
      <c r="AV141" s="23">
        <v>0</v>
      </c>
      <c r="AW141" s="23">
        <v>0</v>
      </c>
      <c r="AX141" s="23">
        <v>0</v>
      </c>
      <c r="AY141" s="23">
        <v>0</v>
      </c>
      <c r="AZ141" s="23">
        <v>0</v>
      </c>
      <c r="BA141" s="23">
        <v>0</v>
      </c>
      <c r="BB141" s="23">
        <v>0</v>
      </c>
      <c r="BC141" s="23">
        <v>0</v>
      </c>
      <c r="BD141" s="23">
        <v>0</v>
      </c>
      <c r="BE141" s="23">
        <v>0</v>
      </c>
      <c r="BF141" s="23">
        <v>0</v>
      </c>
      <c r="BG141" s="23">
        <v>1</v>
      </c>
      <c r="BH141" s="23">
        <v>1</v>
      </c>
      <c r="BI141" s="23">
        <v>1</v>
      </c>
      <c r="BJ141" s="23">
        <v>1</v>
      </c>
      <c r="BK141" s="23">
        <v>1</v>
      </c>
      <c r="BL141" s="23">
        <v>1</v>
      </c>
      <c r="BM141" s="23">
        <v>1</v>
      </c>
      <c r="BN141" s="23">
        <v>1</v>
      </c>
      <c r="BO141" s="23">
        <v>1</v>
      </c>
      <c r="BP141" s="23">
        <f t="shared" si="70"/>
        <v>0</v>
      </c>
      <c r="BQ141" s="23">
        <f t="shared" si="71"/>
        <v>0</v>
      </c>
      <c r="BR141" s="23">
        <f t="shared" si="72"/>
        <v>0</v>
      </c>
      <c r="BS141" s="23">
        <f t="shared" si="73"/>
        <v>0</v>
      </c>
      <c r="BT141" s="23">
        <f t="shared" si="74"/>
        <v>0</v>
      </c>
      <c r="BU141" s="23">
        <f t="shared" si="75"/>
        <v>0</v>
      </c>
      <c r="BV141" s="23">
        <f t="shared" si="76"/>
        <v>0</v>
      </c>
      <c r="BW141" s="23">
        <f t="shared" si="77"/>
        <v>0</v>
      </c>
      <c r="BX141" s="23">
        <f t="shared" si="78"/>
        <v>0</v>
      </c>
      <c r="BY141" s="23">
        <f t="shared" si="79"/>
        <v>0</v>
      </c>
      <c r="BZ141" s="23">
        <f t="shared" si="80"/>
        <v>0</v>
      </c>
      <c r="CA141" s="23">
        <f t="shared" si="81"/>
        <v>0</v>
      </c>
      <c r="CB141" s="23">
        <f t="shared" si="82"/>
        <v>0</v>
      </c>
      <c r="CC141" s="23">
        <f t="shared" si="83"/>
        <v>0</v>
      </c>
      <c r="CD141" s="23">
        <f t="shared" si="84"/>
        <v>0</v>
      </c>
      <c r="CE141" s="23">
        <f t="shared" si="85"/>
        <v>0</v>
      </c>
      <c r="CF141" s="23">
        <f t="shared" si="86"/>
        <v>0</v>
      </c>
      <c r="CG141" s="23">
        <f t="shared" si="87"/>
        <v>0</v>
      </c>
      <c r="CH141" s="23">
        <f t="shared" si="88"/>
        <v>0</v>
      </c>
      <c r="CI141" s="23">
        <f t="shared" si="89"/>
        <v>0</v>
      </c>
      <c r="CJ141" s="23">
        <f t="shared" si="90"/>
        <v>0</v>
      </c>
      <c r="CK141" s="23">
        <f t="shared" si="91"/>
        <v>0</v>
      </c>
      <c r="CL141" s="23">
        <f t="shared" si="92"/>
        <v>0</v>
      </c>
      <c r="CM141" s="23">
        <f t="shared" si="93"/>
        <v>0</v>
      </c>
      <c r="CN141" s="23">
        <f t="shared" si="94"/>
        <v>1</v>
      </c>
      <c r="CO141" s="23">
        <f t="shared" si="95"/>
        <v>1</v>
      </c>
      <c r="CP141" s="23">
        <f t="shared" si="96"/>
        <v>1</v>
      </c>
      <c r="CQ141" s="23">
        <f t="shared" si="97"/>
        <v>1</v>
      </c>
      <c r="CR141" s="23">
        <f t="shared" si="98"/>
        <v>1</v>
      </c>
      <c r="CS141" s="23">
        <f t="shared" si="99"/>
        <v>1</v>
      </c>
      <c r="CT141" s="23">
        <f t="shared" si="100"/>
        <v>1</v>
      </c>
      <c r="CU141" s="23">
        <f t="shared" si="101"/>
        <v>1</v>
      </c>
      <c r="CV141" s="23">
        <f t="shared" si="102"/>
        <v>1</v>
      </c>
    </row>
    <row r="142" spans="1:100" ht="13.5">
      <c r="A142" s="15">
        <v>59</v>
      </c>
      <c r="B142" s="27" t="s">
        <v>483</v>
      </c>
      <c r="C142" t="s">
        <v>180</v>
      </c>
      <c r="E142" t="s">
        <v>182</v>
      </c>
      <c r="F142" t="s">
        <v>181</v>
      </c>
      <c r="G142" t="s">
        <v>182</v>
      </c>
      <c r="H142" t="s">
        <v>183</v>
      </c>
      <c r="I142" s="6" t="s">
        <v>136</v>
      </c>
      <c r="J142" s="6">
        <v>1</v>
      </c>
      <c r="L142" s="15">
        <v>1</v>
      </c>
      <c r="M142" s="7">
        <v>46009</v>
      </c>
      <c r="N142" s="7">
        <v>46028</v>
      </c>
      <c r="O142" s="7">
        <v>46027</v>
      </c>
      <c r="P142" s="7">
        <v>46027</v>
      </c>
      <c r="R142" s="6" t="s">
        <v>484</v>
      </c>
      <c r="S142" s="6" t="s">
        <v>182</v>
      </c>
      <c r="U142" s="6" t="s">
        <v>464</v>
      </c>
      <c r="V142" s="6" t="str">
        <f t="shared" si="69"/>
        <v>26/01</v>
      </c>
      <c r="W142">
        <v>1446</v>
      </c>
      <c r="AB142">
        <v>586</v>
      </c>
      <c r="AD142">
        <v>533</v>
      </c>
      <c r="AI142" s="23">
        <v>0</v>
      </c>
      <c r="AJ142" s="23">
        <v>0</v>
      </c>
      <c r="AK142" s="23">
        <v>0</v>
      </c>
      <c r="AL142" s="23">
        <v>0</v>
      </c>
      <c r="AM142" s="23">
        <v>0</v>
      </c>
      <c r="AN142" s="23">
        <v>0</v>
      </c>
      <c r="AO142" s="23">
        <v>0</v>
      </c>
      <c r="AP142" s="23">
        <v>0</v>
      </c>
      <c r="AQ142" s="23">
        <v>0</v>
      </c>
      <c r="AR142" s="23">
        <v>0</v>
      </c>
      <c r="AS142" s="23">
        <v>0</v>
      </c>
      <c r="AT142" s="23">
        <v>0</v>
      </c>
      <c r="AU142" s="23">
        <v>0</v>
      </c>
      <c r="AV142" s="23">
        <v>0</v>
      </c>
      <c r="AW142" s="23">
        <v>0</v>
      </c>
      <c r="AX142" s="23">
        <v>0</v>
      </c>
      <c r="AY142" s="23">
        <v>0</v>
      </c>
      <c r="AZ142" s="23">
        <v>0</v>
      </c>
      <c r="BA142" s="23">
        <v>0</v>
      </c>
      <c r="BB142" s="23">
        <v>0</v>
      </c>
      <c r="BC142" s="23">
        <v>0</v>
      </c>
      <c r="BD142" s="23">
        <v>0</v>
      </c>
      <c r="BE142" s="23">
        <v>0</v>
      </c>
      <c r="BF142" s="23">
        <v>0</v>
      </c>
      <c r="BG142" s="23">
        <v>1</v>
      </c>
      <c r="BH142" s="23">
        <v>1</v>
      </c>
      <c r="BI142" s="23">
        <v>1</v>
      </c>
      <c r="BJ142" s="23">
        <v>1</v>
      </c>
      <c r="BK142" s="23">
        <v>1</v>
      </c>
      <c r="BL142" s="23">
        <v>1</v>
      </c>
      <c r="BM142" s="23">
        <v>1</v>
      </c>
      <c r="BN142" s="23">
        <v>1</v>
      </c>
      <c r="BO142" s="23">
        <v>0</v>
      </c>
      <c r="BP142" s="23">
        <f t="shared" si="70"/>
        <v>0</v>
      </c>
      <c r="BQ142" s="23">
        <f t="shared" si="71"/>
        <v>0</v>
      </c>
      <c r="BR142" s="23">
        <f t="shared" si="72"/>
        <v>0</v>
      </c>
      <c r="BS142" s="23">
        <f t="shared" si="73"/>
        <v>0</v>
      </c>
      <c r="BT142" s="23">
        <f t="shared" si="74"/>
        <v>0</v>
      </c>
      <c r="BU142" s="23">
        <f t="shared" si="75"/>
        <v>0</v>
      </c>
      <c r="BV142" s="23">
        <f t="shared" si="76"/>
        <v>0</v>
      </c>
      <c r="BW142" s="23">
        <f t="shared" si="77"/>
        <v>0</v>
      </c>
      <c r="BX142" s="23">
        <f t="shared" si="78"/>
        <v>0</v>
      </c>
      <c r="BY142" s="23">
        <f t="shared" si="79"/>
        <v>0</v>
      </c>
      <c r="BZ142" s="23">
        <f t="shared" si="80"/>
        <v>0</v>
      </c>
      <c r="CA142" s="23">
        <f t="shared" si="81"/>
        <v>0</v>
      </c>
      <c r="CB142" s="23">
        <f t="shared" si="82"/>
        <v>0</v>
      </c>
      <c r="CC142" s="23">
        <f t="shared" si="83"/>
        <v>0</v>
      </c>
      <c r="CD142" s="23">
        <f t="shared" si="84"/>
        <v>0</v>
      </c>
      <c r="CE142" s="23">
        <f t="shared" si="85"/>
        <v>0</v>
      </c>
      <c r="CF142" s="23">
        <f t="shared" si="86"/>
        <v>0</v>
      </c>
      <c r="CG142" s="23">
        <f t="shared" si="87"/>
        <v>0</v>
      </c>
      <c r="CH142" s="23">
        <f t="shared" si="88"/>
        <v>0</v>
      </c>
      <c r="CI142" s="23">
        <f t="shared" si="89"/>
        <v>0</v>
      </c>
      <c r="CJ142" s="23">
        <f t="shared" si="90"/>
        <v>0</v>
      </c>
      <c r="CK142" s="23">
        <f t="shared" si="91"/>
        <v>0</v>
      </c>
      <c r="CL142" s="23">
        <f t="shared" si="92"/>
        <v>0</v>
      </c>
      <c r="CM142" s="23">
        <f t="shared" si="93"/>
        <v>0</v>
      </c>
      <c r="CN142" s="23">
        <f t="shared" si="94"/>
        <v>1</v>
      </c>
      <c r="CO142" s="23">
        <f t="shared" si="95"/>
        <v>1</v>
      </c>
      <c r="CP142" s="23">
        <f t="shared" si="96"/>
        <v>1</v>
      </c>
      <c r="CQ142" s="23">
        <f t="shared" si="97"/>
        <v>1</v>
      </c>
      <c r="CR142" s="23">
        <f t="shared" si="98"/>
        <v>1</v>
      </c>
      <c r="CS142" s="23">
        <f t="shared" si="99"/>
        <v>1</v>
      </c>
      <c r="CT142" s="23">
        <f t="shared" si="100"/>
        <v>1</v>
      </c>
      <c r="CU142" s="23">
        <f t="shared" si="101"/>
        <v>1</v>
      </c>
      <c r="CV142" s="23">
        <f t="shared" si="102"/>
        <v>0</v>
      </c>
    </row>
    <row r="143" spans="1:100" ht="13.5">
      <c r="A143" s="15">
        <v>61</v>
      </c>
      <c r="B143" s="27" t="s">
        <v>485</v>
      </c>
      <c r="C143" t="s">
        <v>180</v>
      </c>
      <c r="E143" t="s">
        <v>182</v>
      </c>
      <c r="F143" t="s">
        <v>181</v>
      </c>
      <c r="G143" t="s">
        <v>182</v>
      </c>
      <c r="H143" t="s">
        <v>183</v>
      </c>
      <c r="I143" s="6" t="s">
        <v>136</v>
      </c>
      <c r="J143" s="6">
        <v>1</v>
      </c>
      <c r="L143" s="15">
        <v>1</v>
      </c>
      <c r="M143" s="7">
        <v>46009</v>
      </c>
      <c r="N143" s="7">
        <v>46028</v>
      </c>
      <c r="O143" s="7">
        <v>46027</v>
      </c>
      <c r="P143" s="7">
        <v>46027</v>
      </c>
      <c r="R143" s="6" t="s">
        <v>486</v>
      </c>
      <c r="S143" s="6" t="s">
        <v>182</v>
      </c>
      <c r="U143" s="6" t="s">
        <v>464</v>
      </c>
      <c r="V143" s="6" t="str">
        <f t="shared" si="69"/>
        <v>26/01</v>
      </c>
      <c r="W143">
        <v>1447</v>
      </c>
      <c r="AB143">
        <v>587</v>
      </c>
      <c r="AD143">
        <v>534</v>
      </c>
      <c r="AI143" s="23">
        <v>0</v>
      </c>
      <c r="AJ143" s="23">
        <v>0</v>
      </c>
      <c r="AK143" s="23">
        <v>0</v>
      </c>
      <c r="AL143" s="23">
        <v>0</v>
      </c>
      <c r="AM143" s="23">
        <v>0</v>
      </c>
      <c r="AN143" s="23">
        <v>0</v>
      </c>
      <c r="AO143" s="23">
        <v>0</v>
      </c>
      <c r="AP143" s="23">
        <v>0</v>
      </c>
      <c r="AQ143" s="23">
        <v>0</v>
      </c>
      <c r="AR143" s="23">
        <v>0</v>
      </c>
      <c r="AS143" s="23">
        <v>0</v>
      </c>
      <c r="AT143" s="23">
        <v>0</v>
      </c>
      <c r="AU143" s="23">
        <v>0</v>
      </c>
      <c r="AV143" s="23">
        <v>0</v>
      </c>
      <c r="AW143" s="23">
        <v>0</v>
      </c>
      <c r="AX143" s="23">
        <v>0</v>
      </c>
      <c r="AY143" s="23">
        <v>0</v>
      </c>
      <c r="AZ143" s="23">
        <v>0</v>
      </c>
      <c r="BA143" s="23">
        <v>0</v>
      </c>
      <c r="BB143" s="23">
        <v>0</v>
      </c>
      <c r="BC143" s="23">
        <v>0</v>
      </c>
      <c r="BD143" s="23">
        <v>0</v>
      </c>
      <c r="BE143" s="23">
        <v>0</v>
      </c>
      <c r="BF143" s="23">
        <v>0</v>
      </c>
      <c r="BG143" s="23">
        <v>1</v>
      </c>
      <c r="BH143" s="23">
        <v>1</v>
      </c>
      <c r="BI143" s="23">
        <v>1</v>
      </c>
      <c r="BJ143" s="23">
        <v>1</v>
      </c>
      <c r="BK143" s="23">
        <v>1</v>
      </c>
      <c r="BL143" s="23">
        <v>1</v>
      </c>
      <c r="BM143" s="23">
        <v>1</v>
      </c>
      <c r="BN143" s="23">
        <v>1</v>
      </c>
      <c r="BO143" s="23">
        <v>0</v>
      </c>
      <c r="BP143" s="23">
        <f t="shared" si="70"/>
        <v>0</v>
      </c>
      <c r="BQ143" s="23">
        <f t="shared" si="71"/>
        <v>0</v>
      </c>
      <c r="BR143" s="23">
        <f t="shared" si="72"/>
        <v>0</v>
      </c>
      <c r="BS143" s="23">
        <f t="shared" si="73"/>
        <v>0</v>
      </c>
      <c r="BT143" s="23">
        <f t="shared" si="74"/>
        <v>0</v>
      </c>
      <c r="BU143" s="23">
        <f t="shared" si="75"/>
        <v>0</v>
      </c>
      <c r="BV143" s="23">
        <f t="shared" si="76"/>
        <v>0</v>
      </c>
      <c r="BW143" s="23">
        <f t="shared" si="77"/>
        <v>0</v>
      </c>
      <c r="BX143" s="23">
        <f t="shared" si="78"/>
        <v>0</v>
      </c>
      <c r="BY143" s="23">
        <f t="shared" si="79"/>
        <v>0</v>
      </c>
      <c r="BZ143" s="23">
        <f t="shared" si="80"/>
        <v>0</v>
      </c>
      <c r="CA143" s="23">
        <f t="shared" si="81"/>
        <v>0</v>
      </c>
      <c r="CB143" s="23">
        <f t="shared" si="82"/>
        <v>0</v>
      </c>
      <c r="CC143" s="23">
        <f t="shared" si="83"/>
        <v>0</v>
      </c>
      <c r="CD143" s="23">
        <f t="shared" si="84"/>
        <v>0</v>
      </c>
      <c r="CE143" s="23">
        <f t="shared" si="85"/>
        <v>0</v>
      </c>
      <c r="CF143" s="23">
        <f t="shared" si="86"/>
        <v>0</v>
      </c>
      <c r="CG143" s="23">
        <f t="shared" si="87"/>
        <v>0</v>
      </c>
      <c r="CH143" s="23">
        <f t="shared" si="88"/>
        <v>0</v>
      </c>
      <c r="CI143" s="23">
        <f t="shared" si="89"/>
        <v>0</v>
      </c>
      <c r="CJ143" s="23">
        <f t="shared" si="90"/>
        <v>0</v>
      </c>
      <c r="CK143" s="23">
        <f t="shared" si="91"/>
        <v>0</v>
      </c>
      <c r="CL143" s="23">
        <f t="shared" si="92"/>
        <v>0</v>
      </c>
      <c r="CM143" s="23">
        <f t="shared" si="93"/>
        <v>0</v>
      </c>
      <c r="CN143" s="23">
        <f t="shared" si="94"/>
        <v>1</v>
      </c>
      <c r="CO143" s="23">
        <f t="shared" si="95"/>
        <v>1</v>
      </c>
      <c r="CP143" s="23">
        <f t="shared" si="96"/>
        <v>1</v>
      </c>
      <c r="CQ143" s="23">
        <f t="shared" si="97"/>
        <v>1</v>
      </c>
      <c r="CR143" s="23">
        <f t="shared" si="98"/>
        <v>1</v>
      </c>
      <c r="CS143" s="23">
        <f t="shared" si="99"/>
        <v>1</v>
      </c>
      <c r="CT143" s="23">
        <f t="shared" si="100"/>
        <v>1</v>
      </c>
      <c r="CU143" s="23">
        <f t="shared" si="101"/>
        <v>1</v>
      </c>
      <c r="CV143" s="23">
        <f t="shared" si="102"/>
        <v>0</v>
      </c>
    </row>
    <row r="144" spans="1:100" ht="13.5">
      <c r="A144" s="15">
        <v>60</v>
      </c>
      <c r="B144" s="27" t="s">
        <v>487</v>
      </c>
      <c r="C144" t="s">
        <v>180</v>
      </c>
      <c r="E144" t="s">
        <v>182</v>
      </c>
      <c r="F144" t="s">
        <v>181</v>
      </c>
      <c r="G144" t="s">
        <v>182</v>
      </c>
      <c r="H144" t="s">
        <v>183</v>
      </c>
      <c r="I144" s="6" t="s">
        <v>136</v>
      </c>
      <c r="J144" s="6">
        <v>1</v>
      </c>
      <c r="L144" s="15">
        <v>1</v>
      </c>
      <c r="M144" s="7">
        <v>46009</v>
      </c>
      <c r="N144" s="7">
        <v>46028</v>
      </c>
      <c r="O144" s="7">
        <v>46027</v>
      </c>
      <c r="P144" s="7">
        <v>46027</v>
      </c>
      <c r="R144" s="6" t="s">
        <v>488</v>
      </c>
      <c r="S144" s="6" t="s">
        <v>182</v>
      </c>
      <c r="U144" s="6" t="s">
        <v>464</v>
      </c>
      <c r="V144" s="6" t="str">
        <f t="shared" si="69"/>
        <v>26/01</v>
      </c>
      <c r="W144">
        <v>1448</v>
      </c>
      <c r="AB144">
        <v>588</v>
      </c>
      <c r="AD144">
        <v>535</v>
      </c>
      <c r="AI144" s="23">
        <v>0</v>
      </c>
      <c r="AJ144" s="23">
        <v>0</v>
      </c>
      <c r="AK144" s="23">
        <v>0</v>
      </c>
      <c r="AL144" s="23">
        <v>0</v>
      </c>
      <c r="AM144" s="23">
        <v>0</v>
      </c>
      <c r="AN144" s="23">
        <v>0</v>
      </c>
      <c r="AO144" s="23">
        <v>0</v>
      </c>
      <c r="AP144" s="23">
        <v>0</v>
      </c>
      <c r="AQ144" s="23">
        <v>0</v>
      </c>
      <c r="AR144" s="23">
        <v>0</v>
      </c>
      <c r="AS144" s="23">
        <v>0</v>
      </c>
      <c r="AT144" s="23">
        <v>0</v>
      </c>
      <c r="AU144" s="23">
        <v>0</v>
      </c>
      <c r="AV144" s="23">
        <v>0</v>
      </c>
      <c r="AW144" s="23">
        <v>0</v>
      </c>
      <c r="AX144" s="23">
        <v>0</v>
      </c>
      <c r="AY144" s="23">
        <v>0</v>
      </c>
      <c r="AZ144" s="23">
        <v>0</v>
      </c>
      <c r="BA144" s="23">
        <v>0</v>
      </c>
      <c r="BB144" s="23">
        <v>0</v>
      </c>
      <c r="BC144" s="23">
        <v>0</v>
      </c>
      <c r="BD144" s="23">
        <v>0</v>
      </c>
      <c r="BE144" s="23">
        <v>0</v>
      </c>
      <c r="BF144" s="23">
        <v>0</v>
      </c>
      <c r="BG144" s="23">
        <v>1</v>
      </c>
      <c r="BH144" s="23">
        <v>1</v>
      </c>
      <c r="BI144" s="23">
        <v>1</v>
      </c>
      <c r="BJ144" s="23">
        <v>1</v>
      </c>
      <c r="BK144" s="23">
        <v>1</v>
      </c>
      <c r="BL144" s="23">
        <v>1</v>
      </c>
      <c r="BM144" s="23">
        <v>1</v>
      </c>
      <c r="BN144" s="23">
        <v>1</v>
      </c>
      <c r="BO144" s="23">
        <v>0</v>
      </c>
      <c r="BP144" s="23">
        <f t="shared" si="70"/>
        <v>0</v>
      </c>
      <c r="BQ144" s="23">
        <f t="shared" si="71"/>
        <v>0</v>
      </c>
      <c r="BR144" s="23">
        <f t="shared" si="72"/>
        <v>0</v>
      </c>
      <c r="BS144" s="23">
        <f t="shared" si="73"/>
        <v>0</v>
      </c>
      <c r="BT144" s="23">
        <f t="shared" si="74"/>
        <v>0</v>
      </c>
      <c r="BU144" s="23">
        <f t="shared" si="75"/>
        <v>0</v>
      </c>
      <c r="BV144" s="23">
        <f t="shared" si="76"/>
        <v>0</v>
      </c>
      <c r="BW144" s="23">
        <f t="shared" si="77"/>
        <v>0</v>
      </c>
      <c r="BX144" s="23">
        <f t="shared" si="78"/>
        <v>0</v>
      </c>
      <c r="BY144" s="23">
        <f t="shared" si="79"/>
        <v>0</v>
      </c>
      <c r="BZ144" s="23">
        <f t="shared" si="80"/>
        <v>0</v>
      </c>
      <c r="CA144" s="23">
        <f t="shared" si="81"/>
        <v>0</v>
      </c>
      <c r="CB144" s="23">
        <f t="shared" si="82"/>
        <v>0</v>
      </c>
      <c r="CC144" s="23">
        <f t="shared" si="83"/>
        <v>0</v>
      </c>
      <c r="CD144" s="23">
        <f t="shared" si="84"/>
        <v>0</v>
      </c>
      <c r="CE144" s="23">
        <f t="shared" si="85"/>
        <v>0</v>
      </c>
      <c r="CF144" s="23">
        <f t="shared" si="86"/>
        <v>0</v>
      </c>
      <c r="CG144" s="23">
        <f t="shared" si="87"/>
        <v>0</v>
      </c>
      <c r="CH144" s="23">
        <f t="shared" si="88"/>
        <v>0</v>
      </c>
      <c r="CI144" s="23">
        <f t="shared" si="89"/>
        <v>0</v>
      </c>
      <c r="CJ144" s="23">
        <f t="shared" si="90"/>
        <v>0</v>
      </c>
      <c r="CK144" s="23">
        <f t="shared" si="91"/>
        <v>0</v>
      </c>
      <c r="CL144" s="23">
        <f t="shared" si="92"/>
        <v>0</v>
      </c>
      <c r="CM144" s="23">
        <f t="shared" si="93"/>
        <v>0</v>
      </c>
      <c r="CN144" s="23">
        <f t="shared" si="94"/>
        <v>1</v>
      </c>
      <c r="CO144" s="23">
        <f t="shared" si="95"/>
        <v>1</v>
      </c>
      <c r="CP144" s="23">
        <f t="shared" si="96"/>
        <v>1</v>
      </c>
      <c r="CQ144" s="23">
        <f t="shared" si="97"/>
        <v>1</v>
      </c>
      <c r="CR144" s="23">
        <f t="shared" si="98"/>
        <v>1</v>
      </c>
      <c r="CS144" s="23">
        <f t="shared" si="99"/>
        <v>1</v>
      </c>
      <c r="CT144" s="23">
        <f t="shared" si="100"/>
        <v>1</v>
      </c>
      <c r="CU144" s="23">
        <f t="shared" si="101"/>
        <v>1</v>
      </c>
      <c r="CV144" s="23">
        <f t="shared" si="102"/>
        <v>0</v>
      </c>
    </row>
    <row r="145" spans="1:100" ht="13.5">
      <c r="A145" s="15">
        <v>58</v>
      </c>
      <c r="B145" s="27" t="s">
        <v>489</v>
      </c>
      <c r="C145" t="s">
        <v>180</v>
      </c>
      <c r="E145" t="s">
        <v>182</v>
      </c>
      <c r="F145" t="s">
        <v>181</v>
      </c>
      <c r="G145" t="s">
        <v>182</v>
      </c>
      <c r="H145" t="s">
        <v>183</v>
      </c>
      <c r="I145" s="6" t="s">
        <v>136</v>
      </c>
      <c r="J145" s="6">
        <v>1</v>
      </c>
      <c r="L145" s="15">
        <v>1</v>
      </c>
      <c r="M145" s="7">
        <v>46009</v>
      </c>
      <c r="N145" s="7">
        <v>46028</v>
      </c>
      <c r="O145" s="7">
        <v>46027</v>
      </c>
      <c r="P145" s="7">
        <v>46027</v>
      </c>
      <c r="R145" s="6" t="s">
        <v>490</v>
      </c>
      <c r="S145" s="6" t="s">
        <v>182</v>
      </c>
      <c r="U145" s="6" t="s">
        <v>464</v>
      </c>
      <c r="V145" s="6" t="str">
        <f t="shared" si="69"/>
        <v>26/01</v>
      </c>
      <c r="W145">
        <v>1449</v>
      </c>
      <c r="AB145">
        <v>589</v>
      </c>
      <c r="AD145">
        <v>536</v>
      </c>
      <c r="AI145" s="23">
        <v>0</v>
      </c>
      <c r="AJ145" s="23">
        <v>0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0</v>
      </c>
      <c r="AQ145" s="23">
        <v>0</v>
      </c>
      <c r="AR145" s="23">
        <v>0</v>
      </c>
      <c r="AS145" s="23">
        <v>0</v>
      </c>
      <c r="AT145" s="23">
        <v>0</v>
      </c>
      <c r="AU145" s="23">
        <v>0</v>
      </c>
      <c r="AV145" s="23">
        <v>0</v>
      </c>
      <c r="AW145" s="23">
        <v>0</v>
      </c>
      <c r="AX145" s="23">
        <v>0</v>
      </c>
      <c r="AY145" s="23">
        <v>0</v>
      </c>
      <c r="AZ145" s="23">
        <v>0</v>
      </c>
      <c r="BA145" s="23">
        <v>0</v>
      </c>
      <c r="BB145" s="23">
        <v>0</v>
      </c>
      <c r="BC145" s="23">
        <v>0</v>
      </c>
      <c r="BD145" s="23">
        <v>0</v>
      </c>
      <c r="BE145" s="23">
        <v>0</v>
      </c>
      <c r="BF145" s="23">
        <v>0</v>
      </c>
      <c r="BG145" s="23">
        <v>1</v>
      </c>
      <c r="BH145" s="23">
        <v>1</v>
      </c>
      <c r="BI145" s="23">
        <v>1</v>
      </c>
      <c r="BJ145" s="23">
        <v>1</v>
      </c>
      <c r="BK145" s="23">
        <v>1</v>
      </c>
      <c r="BL145" s="23">
        <v>1</v>
      </c>
      <c r="BM145" s="23">
        <v>1</v>
      </c>
      <c r="BN145" s="23">
        <v>1</v>
      </c>
      <c r="BO145" s="23">
        <v>0</v>
      </c>
      <c r="BP145" s="23">
        <f t="shared" si="70"/>
        <v>0</v>
      </c>
      <c r="BQ145" s="23">
        <f t="shared" si="71"/>
        <v>0</v>
      </c>
      <c r="BR145" s="23">
        <f t="shared" si="72"/>
        <v>0</v>
      </c>
      <c r="BS145" s="23">
        <f t="shared" si="73"/>
        <v>0</v>
      </c>
      <c r="BT145" s="23">
        <f t="shared" si="74"/>
        <v>0</v>
      </c>
      <c r="BU145" s="23">
        <f t="shared" si="75"/>
        <v>0</v>
      </c>
      <c r="BV145" s="23">
        <f t="shared" si="76"/>
        <v>0</v>
      </c>
      <c r="BW145" s="23">
        <f t="shared" si="77"/>
        <v>0</v>
      </c>
      <c r="BX145" s="23">
        <f t="shared" si="78"/>
        <v>0</v>
      </c>
      <c r="BY145" s="23">
        <f t="shared" si="79"/>
        <v>0</v>
      </c>
      <c r="BZ145" s="23">
        <f t="shared" si="80"/>
        <v>0</v>
      </c>
      <c r="CA145" s="23">
        <f t="shared" si="81"/>
        <v>0</v>
      </c>
      <c r="CB145" s="23">
        <f t="shared" si="82"/>
        <v>0</v>
      </c>
      <c r="CC145" s="23">
        <f t="shared" si="83"/>
        <v>0</v>
      </c>
      <c r="CD145" s="23">
        <f t="shared" si="84"/>
        <v>0</v>
      </c>
      <c r="CE145" s="23">
        <f t="shared" si="85"/>
        <v>0</v>
      </c>
      <c r="CF145" s="23">
        <f t="shared" si="86"/>
        <v>0</v>
      </c>
      <c r="CG145" s="23">
        <f t="shared" si="87"/>
        <v>0</v>
      </c>
      <c r="CH145" s="23">
        <f t="shared" si="88"/>
        <v>0</v>
      </c>
      <c r="CI145" s="23">
        <f t="shared" si="89"/>
        <v>0</v>
      </c>
      <c r="CJ145" s="23">
        <f t="shared" si="90"/>
        <v>0</v>
      </c>
      <c r="CK145" s="23">
        <f t="shared" si="91"/>
        <v>0</v>
      </c>
      <c r="CL145" s="23">
        <f t="shared" si="92"/>
        <v>0</v>
      </c>
      <c r="CM145" s="23">
        <f t="shared" si="93"/>
        <v>0</v>
      </c>
      <c r="CN145" s="23">
        <f t="shared" si="94"/>
        <v>1</v>
      </c>
      <c r="CO145" s="23">
        <f t="shared" si="95"/>
        <v>1</v>
      </c>
      <c r="CP145" s="23">
        <f t="shared" si="96"/>
        <v>1</v>
      </c>
      <c r="CQ145" s="23">
        <f t="shared" si="97"/>
        <v>1</v>
      </c>
      <c r="CR145" s="23">
        <f t="shared" si="98"/>
        <v>1</v>
      </c>
      <c r="CS145" s="23">
        <f t="shared" si="99"/>
        <v>1</v>
      </c>
      <c r="CT145" s="23">
        <f t="shared" si="100"/>
        <v>1</v>
      </c>
      <c r="CU145" s="23">
        <f t="shared" si="101"/>
        <v>1</v>
      </c>
      <c r="CV145" s="23">
        <f t="shared" si="102"/>
        <v>0</v>
      </c>
    </row>
    <row r="146" spans="1:100" ht="13.5">
      <c r="A146" s="15">
        <v>65</v>
      </c>
      <c r="B146" s="27" t="s">
        <v>491</v>
      </c>
      <c r="C146" t="s">
        <v>180</v>
      </c>
      <c r="E146" t="s">
        <v>182</v>
      </c>
      <c r="F146" t="s">
        <v>181</v>
      </c>
      <c r="G146" t="s">
        <v>182</v>
      </c>
      <c r="H146" t="s">
        <v>183</v>
      </c>
      <c r="I146" s="6" t="s">
        <v>136</v>
      </c>
      <c r="J146" s="6">
        <v>1</v>
      </c>
      <c r="L146" s="15">
        <v>1</v>
      </c>
      <c r="M146" s="7">
        <v>46010</v>
      </c>
      <c r="N146" s="7">
        <v>46029</v>
      </c>
      <c r="O146" s="7">
        <v>46028</v>
      </c>
      <c r="P146" s="7">
        <v>46028</v>
      </c>
      <c r="R146" s="6" t="s">
        <v>492</v>
      </c>
      <c r="S146" s="6" t="s">
        <v>182</v>
      </c>
      <c r="U146" s="6" t="s">
        <v>464</v>
      </c>
      <c r="V146" s="6" t="str">
        <f t="shared" si="69"/>
        <v>26/01</v>
      </c>
      <c r="W146">
        <v>1450</v>
      </c>
      <c r="AB146">
        <v>590</v>
      </c>
      <c r="AD146">
        <v>537</v>
      </c>
      <c r="AI146" s="23">
        <v>0</v>
      </c>
      <c r="AJ146" s="23">
        <v>0</v>
      </c>
      <c r="AK146" s="23">
        <v>0</v>
      </c>
      <c r="AL146" s="23">
        <v>0</v>
      </c>
      <c r="AM146" s="23">
        <v>0</v>
      </c>
      <c r="AN146" s="23">
        <v>0</v>
      </c>
      <c r="AO146" s="23">
        <v>0</v>
      </c>
      <c r="AP146" s="23">
        <v>0</v>
      </c>
      <c r="AQ146" s="23">
        <v>0</v>
      </c>
      <c r="AR146" s="23">
        <v>0</v>
      </c>
      <c r="AS146" s="23">
        <v>0</v>
      </c>
      <c r="AT146" s="23">
        <v>0</v>
      </c>
      <c r="AU146" s="23">
        <v>0</v>
      </c>
      <c r="AV146" s="23">
        <v>0</v>
      </c>
      <c r="AW146" s="23">
        <v>0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3">
        <v>0</v>
      </c>
      <c r="BD146" s="23">
        <v>0</v>
      </c>
      <c r="BE146" s="23">
        <v>0</v>
      </c>
      <c r="BF146" s="23">
        <v>0</v>
      </c>
      <c r="BG146" s="23">
        <v>1</v>
      </c>
      <c r="BH146" s="23">
        <v>1</v>
      </c>
      <c r="BI146" s="23">
        <v>1</v>
      </c>
      <c r="BJ146" s="23">
        <v>1</v>
      </c>
      <c r="BK146" s="23">
        <v>1</v>
      </c>
      <c r="BL146" s="23">
        <v>1</v>
      </c>
      <c r="BM146" s="23">
        <v>1</v>
      </c>
      <c r="BN146" s="23">
        <v>1</v>
      </c>
      <c r="BO146" s="23">
        <v>0</v>
      </c>
      <c r="BP146" s="23">
        <f t="shared" si="70"/>
        <v>0</v>
      </c>
      <c r="BQ146" s="23">
        <f t="shared" si="71"/>
        <v>0</v>
      </c>
      <c r="BR146" s="23">
        <f t="shared" si="72"/>
        <v>0</v>
      </c>
      <c r="BS146" s="23">
        <f t="shared" si="73"/>
        <v>0</v>
      </c>
      <c r="BT146" s="23">
        <f t="shared" si="74"/>
        <v>0</v>
      </c>
      <c r="BU146" s="23">
        <f t="shared" si="75"/>
        <v>0</v>
      </c>
      <c r="BV146" s="23">
        <f t="shared" si="76"/>
        <v>0</v>
      </c>
      <c r="BW146" s="23">
        <f t="shared" si="77"/>
        <v>0</v>
      </c>
      <c r="BX146" s="23">
        <f t="shared" si="78"/>
        <v>0</v>
      </c>
      <c r="BY146" s="23">
        <f t="shared" si="79"/>
        <v>0</v>
      </c>
      <c r="BZ146" s="23">
        <f t="shared" si="80"/>
        <v>0</v>
      </c>
      <c r="CA146" s="23">
        <f t="shared" si="81"/>
        <v>0</v>
      </c>
      <c r="CB146" s="23">
        <f t="shared" si="82"/>
        <v>0</v>
      </c>
      <c r="CC146" s="23">
        <f t="shared" si="83"/>
        <v>0</v>
      </c>
      <c r="CD146" s="23">
        <f t="shared" si="84"/>
        <v>0</v>
      </c>
      <c r="CE146" s="23">
        <f t="shared" si="85"/>
        <v>0</v>
      </c>
      <c r="CF146" s="23">
        <f t="shared" si="86"/>
        <v>0</v>
      </c>
      <c r="CG146" s="23">
        <f t="shared" si="87"/>
        <v>0</v>
      </c>
      <c r="CH146" s="23">
        <f t="shared" si="88"/>
        <v>0</v>
      </c>
      <c r="CI146" s="23">
        <f t="shared" si="89"/>
        <v>0</v>
      </c>
      <c r="CJ146" s="23">
        <f t="shared" si="90"/>
        <v>0</v>
      </c>
      <c r="CK146" s="23">
        <f t="shared" si="91"/>
        <v>0</v>
      </c>
      <c r="CL146" s="23">
        <f t="shared" si="92"/>
        <v>0</v>
      </c>
      <c r="CM146" s="23">
        <f t="shared" si="93"/>
        <v>0</v>
      </c>
      <c r="CN146" s="23">
        <f t="shared" si="94"/>
        <v>1</v>
      </c>
      <c r="CO146" s="23">
        <f t="shared" si="95"/>
        <v>1</v>
      </c>
      <c r="CP146" s="23">
        <f t="shared" si="96"/>
        <v>1</v>
      </c>
      <c r="CQ146" s="23">
        <f t="shared" si="97"/>
        <v>1</v>
      </c>
      <c r="CR146" s="23">
        <f t="shared" si="98"/>
        <v>1</v>
      </c>
      <c r="CS146" s="23">
        <f t="shared" si="99"/>
        <v>1</v>
      </c>
      <c r="CT146" s="23">
        <f t="shared" si="100"/>
        <v>1</v>
      </c>
      <c r="CU146" s="23">
        <f t="shared" si="101"/>
        <v>1</v>
      </c>
      <c r="CV146" s="23">
        <f t="shared" si="102"/>
        <v>0</v>
      </c>
    </row>
    <row r="147" spans="1:100" ht="13.5">
      <c r="A147" s="15">
        <v>66</v>
      </c>
      <c r="B147" s="27" t="s">
        <v>493</v>
      </c>
      <c r="C147" t="s">
        <v>180</v>
      </c>
      <c r="E147" t="s">
        <v>182</v>
      </c>
      <c r="F147" t="s">
        <v>181</v>
      </c>
      <c r="G147" t="s">
        <v>182</v>
      </c>
      <c r="H147" t="s">
        <v>183</v>
      </c>
      <c r="I147" s="6" t="s">
        <v>136</v>
      </c>
      <c r="J147" s="6">
        <v>1</v>
      </c>
      <c r="L147" s="15">
        <v>1</v>
      </c>
      <c r="M147" s="7">
        <v>46010</v>
      </c>
      <c r="N147" s="7">
        <v>46029</v>
      </c>
      <c r="O147" s="7">
        <v>46028</v>
      </c>
      <c r="P147" s="7">
        <v>46028</v>
      </c>
      <c r="R147" s="6" t="s">
        <v>494</v>
      </c>
      <c r="S147" s="6" t="s">
        <v>182</v>
      </c>
      <c r="U147" s="6" t="s">
        <v>464</v>
      </c>
      <c r="V147" s="6" t="str">
        <f t="shared" si="69"/>
        <v>26/01</v>
      </c>
      <c r="W147">
        <v>1451</v>
      </c>
      <c r="AB147">
        <v>591</v>
      </c>
      <c r="AD147">
        <v>538</v>
      </c>
      <c r="AI147" s="23">
        <v>0</v>
      </c>
      <c r="AJ147" s="23">
        <v>0</v>
      </c>
      <c r="AK147" s="23">
        <v>0</v>
      </c>
      <c r="AL147" s="23">
        <v>0</v>
      </c>
      <c r="AM147" s="23">
        <v>0</v>
      </c>
      <c r="AN147" s="23">
        <v>0</v>
      </c>
      <c r="AO147" s="23">
        <v>0</v>
      </c>
      <c r="AP147" s="23">
        <v>0</v>
      </c>
      <c r="AQ147" s="23">
        <v>0</v>
      </c>
      <c r="AR147" s="23">
        <v>0</v>
      </c>
      <c r="AS147" s="23">
        <v>0</v>
      </c>
      <c r="AT147" s="23">
        <v>0</v>
      </c>
      <c r="AU147" s="23">
        <v>0</v>
      </c>
      <c r="AV147" s="23">
        <v>0</v>
      </c>
      <c r="AW147" s="23">
        <v>0</v>
      </c>
      <c r="AX147" s="23">
        <v>0</v>
      </c>
      <c r="AY147" s="23">
        <v>0</v>
      </c>
      <c r="AZ147" s="23">
        <v>0</v>
      </c>
      <c r="BA147" s="23">
        <v>0</v>
      </c>
      <c r="BB147" s="23">
        <v>0</v>
      </c>
      <c r="BC147" s="23">
        <v>0</v>
      </c>
      <c r="BD147" s="23">
        <v>0</v>
      </c>
      <c r="BE147" s="23">
        <v>0</v>
      </c>
      <c r="BF147" s="23">
        <v>0</v>
      </c>
      <c r="BG147" s="23">
        <v>1</v>
      </c>
      <c r="BH147" s="23">
        <v>1</v>
      </c>
      <c r="BI147" s="23">
        <v>1</v>
      </c>
      <c r="BJ147" s="23">
        <v>1</v>
      </c>
      <c r="BK147" s="23">
        <v>1</v>
      </c>
      <c r="BL147" s="23">
        <v>1</v>
      </c>
      <c r="BM147" s="23">
        <v>1</v>
      </c>
      <c r="BN147" s="23">
        <v>1</v>
      </c>
      <c r="BO147" s="23">
        <v>0</v>
      </c>
      <c r="BP147" s="23">
        <f t="shared" si="70"/>
        <v>0</v>
      </c>
      <c r="BQ147" s="23">
        <f t="shared" si="71"/>
        <v>0</v>
      </c>
      <c r="BR147" s="23">
        <f t="shared" si="72"/>
        <v>0</v>
      </c>
      <c r="BS147" s="23">
        <f t="shared" si="73"/>
        <v>0</v>
      </c>
      <c r="BT147" s="23">
        <f t="shared" si="74"/>
        <v>0</v>
      </c>
      <c r="BU147" s="23">
        <f t="shared" si="75"/>
        <v>0</v>
      </c>
      <c r="BV147" s="23">
        <f t="shared" si="76"/>
        <v>0</v>
      </c>
      <c r="BW147" s="23">
        <f t="shared" si="77"/>
        <v>0</v>
      </c>
      <c r="BX147" s="23">
        <f t="shared" si="78"/>
        <v>0</v>
      </c>
      <c r="BY147" s="23">
        <f t="shared" si="79"/>
        <v>0</v>
      </c>
      <c r="BZ147" s="23">
        <f t="shared" si="80"/>
        <v>0</v>
      </c>
      <c r="CA147" s="23">
        <f t="shared" si="81"/>
        <v>0</v>
      </c>
      <c r="CB147" s="23">
        <f t="shared" si="82"/>
        <v>0</v>
      </c>
      <c r="CC147" s="23">
        <f t="shared" si="83"/>
        <v>0</v>
      </c>
      <c r="CD147" s="23">
        <f t="shared" si="84"/>
        <v>0</v>
      </c>
      <c r="CE147" s="23">
        <f t="shared" si="85"/>
        <v>0</v>
      </c>
      <c r="CF147" s="23">
        <f t="shared" si="86"/>
        <v>0</v>
      </c>
      <c r="CG147" s="23">
        <f t="shared" si="87"/>
        <v>0</v>
      </c>
      <c r="CH147" s="23">
        <f t="shared" si="88"/>
        <v>0</v>
      </c>
      <c r="CI147" s="23">
        <f t="shared" si="89"/>
        <v>0</v>
      </c>
      <c r="CJ147" s="23">
        <f t="shared" si="90"/>
        <v>0</v>
      </c>
      <c r="CK147" s="23">
        <f t="shared" si="91"/>
        <v>0</v>
      </c>
      <c r="CL147" s="23">
        <f t="shared" si="92"/>
        <v>0</v>
      </c>
      <c r="CM147" s="23">
        <f t="shared" si="93"/>
        <v>0</v>
      </c>
      <c r="CN147" s="23">
        <f t="shared" si="94"/>
        <v>1</v>
      </c>
      <c r="CO147" s="23">
        <f t="shared" si="95"/>
        <v>1</v>
      </c>
      <c r="CP147" s="23">
        <f t="shared" si="96"/>
        <v>1</v>
      </c>
      <c r="CQ147" s="23">
        <f t="shared" si="97"/>
        <v>1</v>
      </c>
      <c r="CR147" s="23">
        <f t="shared" si="98"/>
        <v>1</v>
      </c>
      <c r="CS147" s="23">
        <f t="shared" si="99"/>
        <v>1</v>
      </c>
      <c r="CT147" s="23">
        <f t="shared" si="100"/>
        <v>1</v>
      </c>
      <c r="CU147" s="23">
        <f t="shared" si="101"/>
        <v>1</v>
      </c>
      <c r="CV147" s="23">
        <f t="shared" si="102"/>
        <v>0</v>
      </c>
    </row>
    <row r="148" spans="1:100" ht="13.5">
      <c r="A148" s="15">
        <v>67</v>
      </c>
      <c r="B148" s="27" t="s">
        <v>495</v>
      </c>
      <c r="C148" t="s">
        <v>180</v>
      </c>
      <c r="E148" t="s">
        <v>182</v>
      </c>
      <c r="F148" t="s">
        <v>181</v>
      </c>
      <c r="G148" t="s">
        <v>182</v>
      </c>
      <c r="H148" t="s">
        <v>183</v>
      </c>
      <c r="I148" s="6" t="s">
        <v>136</v>
      </c>
      <c r="J148" s="6">
        <v>1</v>
      </c>
      <c r="L148" s="15">
        <v>1</v>
      </c>
      <c r="M148" s="7">
        <v>46010</v>
      </c>
      <c r="N148" s="7">
        <v>46029</v>
      </c>
      <c r="O148" s="7">
        <v>46028</v>
      </c>
      <c r="P148" s="7">
        <v>46028</v>
      </c>
      <c r="R148" s="6" t="s">
        <v>496</v>
      </c>
      <c r="S148" s="6" t="s">
        <v>182</v>
      </c>
      <c r="U148" s="6" t="s">
        <v>464</v>
      </c>
      <c r="V148" s="6" t="str">
        <f t="shared" si="69"/>
        <v>26/01</v>
      </c>
      <c r="W148">
        <v>1452</v>
      </c>
      <c r="AB148">
        <v>592</v>
      </c>
      <c r="AD148">
        <v>539</v>
      </c>
      <c r="AI148" s="23">
        <v>0</v>
      </c>
      <c r="AJ148" s="23">
        <v>0</v>
      </c>
      <c r="AK148" s="23">
        <v>0</v>
      </c>
      <c r="AL148" s="23">
        <v>0</v>
      </c>
      <c r="AM148" s="23">
        <v>0</v>
      </c>
      <c r="AN148" s="23">
        <v>0</v>
      </c>
      <c r="AO148" s="23">
        <v>0</v>
      </c>
      <c r="AP148" s="23">
        <v>0</v>
      </c>
      <c r="AQ148" s="23">
        <v>0</v>
      </c>
      <c r="AR148" s="23">
        <v>0</v>
      </c>
      <c r="AS148" s="23">
        <v>0</v>
      </c>
      <c r="AT148" s="23">
        <v>0</v>
      </c>
      <c r="AU148" s="23">
        <v>0</v>
      </c>
      <c r="AV148" s="23">
        <v>0</v>
      </c>
      <c r="AW148" s="23">
        <v>0</v>
      </c>
      <c r="AX148" s="23">
        <v>0</v>
      </c>
      <c r="AY148" s="23">
        <v>0</v>
      </c>
      <c r="AZ148" s="23">
        <v>0</v>
      </c>
      <c r="BA148" s="23">
        <v>0</v>
      </c>
      <c r="BB148" s="23">
        <v>0</v>
      </c>
      <c r="BC148" s="23">
        <v>0</v>
      </c>
      <c r="BD148" s="23">
        <v>0</v>
      </c>
      <c r="BE148" s="23">
        <v>0</v>
      </c>
      <c r="BF148" s="23">
        <v>0</v>
      </c>
      <c r="BG148" s="23">
        <v>1</v>
      </c>
      <c r="BH148" s="23">
        <v>1</v>
      </c>
      <c r="BI148" s="23">
        <v>1</v>
      </c>
      <c r="BJ148" s="23">
        <v>1</v>
      </c>
      <c r="BK148" s="23">
        <v>1</v>
      </c>
      <c r="BL148" s="23">
        <v>1</v>
      </c>
      <c r="BM148" s="23">
        <v>1</v>
      </c>
      <c r="BN148" s="23">
        <v>1</v>
      </c>
      <c r="BO148" s="23">
        <v>0</v>
      </c>
      <c r="BP148" s="23">
        <f t="shared" si="70"/>
        <v>0</v>
      </c>
      <c r="BQ148" s="23">
        <f t="shared" si="71"/>
        <v>0</v>
      </c>
      <c r="BR148" s="23">
        <f t="shared" si="72"/>
        <v>0</v>
      </c>
      <c r="BS148" s="23">
        <f t="shared" si="73"/>
        <v>0</v>
      </c>
      <c r="BT148" s="23">
        <f t="shared" si="74"/>
        <v>0</v>
      </c>
      <c r="BU148" s="23">
        <f t="shared" si="75"/>
        <v>0</v>
      </c>
      <c r="BV148" s="23">
        <f t="shared" si="76"/>
        <v>0</v>
      </c>
      <c r="BW148" s="23">
        <f t="shared" si="77"/>
        <v>0</v>
      </c>
      <c r="BX148" s="23">
        <f t="shared" si="78"/>
        <v>0</v>
      </c>
      <c r="BY148" s="23">
        <f t="shared" si="79"/>
        <v>0</v>
      </c>
      <c r="BZ148" s="23">
        <f t="shared" si="80"/>
        <v>0</v>
      </c>
      <c r="CA148" s="23">
        <f t="shared" si="81"/>
        <v>0</v>
      </c>
      <c r="CB148" s="23">
        <f t="shared" si="82"/>
        <v>0</v>
      </c>
      <c r="CC148" s="23">
        <f t="shared" si="83"/>
        <v>0</v>
      </c>
      <c r="CD148" s="23">
        <f t="shared" si="84"/>
        <v>0</v>
      </c>
      <c r="CE148" s="23">
        <f t="shared" si="85"/>
        <v>0</v>
      </c>
      <c r="CF148" s="23">
        <f t="shared" si="86"/>
        <v>0</v>
      </c>
      <c r="CG148" s="23">
        <f t="shared" si="87"/>
        <v>0</v>
      </c>
      <c r="CH148" s="23">
        <f t="shared" si="88"/>
        <v>0</v>
      </c>
      <c r="CI148" s="23">
        <f t="shared" si="89"/>
        <v>0</v>
      </c>
      <c r="CJ148" s="23">
        <f t="shared" si="90"/>
        <v>0</v>
      </c>
      <c r="CK148" s="23">
        <f t="shared" si="91"/>
        <v>0</v>
      </c>
      <c r="CL148" s="23">
        <f t="shared" si="92"/>
        <v>0</v>
      </c>
      <c r="CM148" s="23">
        <f t="shared" si="93"/>
        <v>0</v>
      </c>
      <c r="CN148" s="23">
        <f t="shared" si="94"/>
        <v>1</v>
      </c>
      <c r="CO148" s="23">
        <f t="shared" si="95"/>
        <v>1</v>
      </c>
      <c r="CP148" s="23">
        <f t="shared" si="96"/>
        <v>1</v>
      </c>
      <c r="CQ148" s="23">
        <f t="shared" si="97"/>
        <v>1</v>
      </c>
      <c r="CR148" s="23">
        <f t="shared" si="98"/>
        <v>1</v>
      </c>
      <c r="CS148" s="23">
        <f t="shared" si="99"/>
        <v>1</v>
      </c>
      <c r="CT148" s="23">
        <f t="shared" si="100"/>
        <v>1</v>
      </c>
      <c r="CU148" s="23">
        <f t="shared" si="101"/>
        <v>1</v>
      </c>
      <c r="CV148" s="23">
        <f t="shared" si="102"/>
        <v>0</v>
      </c>
    </row>
    <row r="149" spans="1:100" ht="13.5">
      <c r="A149" s="15">
        <v>64</v>
      </c>
      <c r="B149" s="27" t="s">
        <v>497</v>
      </c>
      <c r="C149" t="s">
        <v>180</v>
      </c>
      <c r="E149" t="s">
        <v>182</v>
      </c>
      <c r="F149" t="s">
        <v>181</v>
      </c>
      <c r="G149" t="s">
        <v>182</v>
      </c>
      <c r="H149" t="s">
        <v>183</v>
      </c>
      <c r="I149" s="6" t="s">
        <v>136</v>
      </c>
      <c r="J149" s="6">
        <v>1</v>
      </c>
      <c r="L149" s="15">
        <v>1</v>
      </c>
      <c r="M149" s="7">
        <v>46010</v>
      </c>
      <c r="N149" s="7">
        <v>46029</v>
      </c>
      <c r="O149" s="7">
        <v>46028</v>
      </c>
      <c r="P149" s="7">
        <v>46028</v>
      </c>
      <c r="R149" s="6" t="s">
        <v>498</v>
      </c>
      <c r="S149" s="6" t="s">
        <v>182</v>
      </c>
      <c r="U149" s="6" t="s">
        <v>464</v>
      </c>
      <c r="V149" s="6" t="str">
        <f t="shared" si="69"/>
        <v>26/01</v>
      </c>
      <c r="W149">
        <v>1453</v>
      </c>
      <c r="AB149">
        <v>593</v>
      </c>
      <c r="AD149">
        <v>540</v>
      </c>
      <c r="AI149" s="23">
        <v>0</v>
      </c>
      <c r="AJ149" s="23">
        <v>0</v>
      </c>
      <c r="AK149" s="23">
        <v>0</v>
      </c>
      <c r="AL149" s="23">
        <v>0</v>
      </c>
      <c r="AM149" s="23">
        <v>0</v>
      </c>
      <c r="AN149" s="23">
        <v>0</v>
      </c>
      <c r="AO149" s="23">
        <v>0</v>
      </c>
      <c r="AP149" s="23">
        <v>0</v>
      </c>
      <c r="AQ149" s="23">
        <v>0</v>
      </c>
      <c r="AR149" s="23">
        <v>0</v>
      </c>
      <c r="AS149" s="23">
        <v>0</v>
      </c>
      <c r="AT149" s="23">
        <v>0</v>
      </c>
      <c r="AU149" s="23">
        <v>0</v>
      </c>
      <c r="AV149" s="23">
        <v>0</v>
      </c>
      <c r="AW149" s="23">
        <v>0</v>
      </c>
      <c r="AX149" s="23">
        <v>0</v>
      </c>
      <c r="AY149" s="23">
        <v>0</v>
      </c>
      <c r="AZ149" s="23">
        <v>0</v>
      </c>
      <c r="BA149" s="23">
        <v>0</v>
      </c>
      <c r="BB149" s="23">
        <v>0</v>
      </c>
      <c r="BC149" s="23">
        <v>0</v>
      </c>
      <c r="BD149" s="23">
        <v>0</v>
      </c>
      <c r="BE149" s="23">
        <v>0</v>
      </c>
      <c r="BF149" s="23">
        <v>0</v>
      </c>
      <c r="BG149" s="23">
        <v>1</v>
      </c>
      <c r="BH149" s="23">
        <v>1</v>
      </c>
      <c r="BI149" s="23">
        <v>1</v>
      </c>
      <c r="BJ149" s="23">
        <v>1</v>
      </c>
      <c r="BK149" s="23">
        <v>1</v>
      </c>
      <c r="BL149" s="23">
        <v>1</v>
      </c>
      <c r="BM149" s="23">
        <v>1</v>
      </c>
      <c r="BN149" s="23">
        <v>1</v>
      </c>
      <c r="BO149" s="23">
        <v>0</v>
      </c>
      <c r="BP149" s="23">
        <f t="shared" si="70"/>
        <v>0</v>
      </c>
      <c r="BQ149" s="23">
        <f t="shared" si="71"/>
        <v>0</v>
      </c>
      <c r="BR149" s="23">
        <f t="shared" si="72"/>
        <v>0</v>
      </c>
      <c r="BS149" s="23">
        <f t="shared" si="73"/>
        <v>0</v>
      </c>
      <c r="BT149" s="23">
        <f t="shared" si="74"/>
        <v>0</v>
      </c>
      <c r="BU149" s="23">
        <f t="shared" si="75"/>
        <v>0</v>
      </c>
      <c r="BV149" s="23">
        <f t="shared" si="76"/>
        <v>0</v>
      </c>
      <c r="BW149" s="23">
        <f t="shared" si="77"/>
        <v>0</v>
      </c>
      <c r="BX149" s="23">
        <f t="shared" si="78"/>
        <v>0</v>
      </c>
      <c r="BY149" s="23">
        <f t="shared" si="79"/>
        <v>0</v>
      </c>
      <c r="BZ149" s="23">
        <f t="shared" si="80"/>
        <v>0</v>
      </c>
      <c r="CA149" s="23">
        <f t="shared" si="81"/>
        <v>0</v>
      </c>
      <c r="CB149" s="23">
        <f t="shared" si="82"/>
        <v>0</v>
      </c>
      <c r="CC149" s="23">
        <f t="shared" si="83"/>
        <v>0</v>
      </c>
      <c r="CD149" s="23">
        <f t="shared" si="84"/>
        <v>0</v>
      </c>
      <c r="CE149" s="23">
        <f t="shared" si="85"/>
        <v>0</v>
      </c>
      <c r="CF149" s="23">
        <f t="shared" si="86"/>
        <v>0</v>
      </c>
      <c r="CG149" s="23">
        <f t="shared" si="87"/>
        <v>0</v>
      </c>
      <c r="CH149" s="23">
        <f t="shared" si="88"/>
        <v>0</v>
      </c>
      <c r="CI149" s="23">
        <f t="shared" si="89"/>
        <v>0</v>
      </c>
      <c r="CJ149" s="23">
        <f t="shared" si="90"/>
        <v>0</v>
      </c>
      <c r="CK149" s="23">
        <f t="shared" si="91"/>
        <v>0</v>
      </c>
      <c r="CL149" s="23">
        <f t="shared" si="92"/>
        <v>0</v>
      </c>
      <c r="CM149" s="23">
        <f t="shared" si="93"/>
        <v>0</v>
      </c>
      <c r="CN149" s="23">
        <f t="shared" si="94"/>
        <v>1</v>
      </c>
      <c r="CO149" s="23">
        <f t="shared" si="95"/>
        <v>1</v>
      </c>
      <c r="CP149" s="23">
        <f t="shared" si="96"/>
        <v>1</v>
      </c>
      <c r="CQ149" s="23">
        <f t="shared" si="97"/>
        <v>1</v>
      </c>
      <c r="CR149" s="23">
        <f t="shared" si="98"/>
        <v>1</v>
      </c>
      <c r="CS149" s="23">
        <f t="shared" si="99"/>
        <v>1</v>
      </c>
      <c r="CT149" s="23">
        <f t="shared" si="100"/>
        <v>1</v>
      </c>
      <c r="CU149" s="23">
        <f t="shared" si="101"/>
        <v>1</v>
      </c>
      <c r="CV149" s="23">
        <f t="shared" si="102"/>
        <v>0</v>
      </c>
    </row>
    <row r="150" spans="1:100" ht="13.5">
      <c r="A150" s="15">
        <v>85</v>
      </c>
      <c r="B150" s="27" t="s">
        <v>499</v>
      </c>
      <c r="C150" t="s">
        <v>144</v>
      </c>
      <c r="D150" t="s">
        <v>500</v>
      </c>
      <c r="F150" t="s">
        <v>146</v>
      </c>
      <c r="G150" t="s">
        <v>168</v>
      </c>
      <c r="H150" t="s">
        <v>169</v>
      </c>
      <c r="I150" s="6" t="s">
        <v>147</v>
      </c>
      <c r="J150" s="6">
        <v>1</v>
      </c>
      <c r="L150" s="15">
        <v>1</v>
      </c>
      <c r="M150" s="7">
        <v>46010</v>
      </c>
      <c r="N150" s="7">
        <v>46029</v>
      </c>
      <c r="O150" s="7">
        <v>46028</v>
      </c>
      <c r="P150" s="7">
        <v>46031</v>
      </c>
      <c r="R150" s="6" t="s">
        <v>501</v>
      </c>
      <c r="S150" s="6" t="s">
        <v>465</v>
      </c>
      <c r="U150" s="6" t="s">
        <v>464</v>
      </c>
      <c r="V150" s="6" t="str">
        <f t="shared" si="69"/>
        <v>26/01</v>
      </c>
      <c r="W150">
        <v>1454</v>
      </c>
      <c r="AA150">
        <v>864</v>
      </c>
      <c r="AC150">
        <v>917</v>
      </c>
      <c r="AI150" s="23">
        <v>0</v>
      </c>
      <c r="AJ150" s="23">
        <v>0</v>
      </c>
      <c r="AK150" s="23">
        <v>0</v>
      </c>
      <c r="AL150" s="23">
        <v>0</v>
      </c>
      <c r="AM150" s="23">
        <v>0</v>
      </c>
      <c r="AN150" s="23">
        <v>0</v>
      </c>
      <c r="AO150" s="23">
        <v>0</v>
      </c>
      <c r="AP150" s="23">
        <v>0</v>
      </c>
      <c r="AQ150" s="23">
        <v>0</v>
      </c>
      <c r="AR150" s="23">
        <v>0</v>
      </c>
      <c r="AS150" s="23">
        <v>0</v>
      </c>
      <c r="AT150" s="23">
        <v>0</v>
      </c>
      <c r="AU150" s="23">
        <v>0</v>
      </c>
      <c r="AV150" s="23">
        <v>0</v>
      </c>
      <c r="AW150" s="23">
        <v>0</v>
      </c>
      <c r="AX150" s="23">
        <v>0</v>
      </c>
      <c r="AY150" s="23">
        <v>0</v>
      </c>
      <c r="AZ150" s="23">
        <v>0</v>
      </c>
      <c r="BA150" s="23">
        <v>0</v>
      </c>
      <c r="BB150" s="23">
        <v>0</v>
      </c>
      <c r="BC150" s="23">
        <v>0</v>
      </c>
      <c r="BD150" s="23">
        <v>0</v>
      </c>
      <c r="BE150" s="23">
        <v>0</v>
      </c>
      <c r="BF150" s="23">
        <v>0</v>
      </c>
      <c r="BG150" s="23">
        <v>1</v>
      </c>
      <c r="BH150" s="23">
        <v>1</v>
      </c>
      <c r="BI150" s="23">
        <v>1</v>
      </c>
      <c r="BJ150" s="23">
        <v>1</v>
      </c>
      <c r="BK150" s="23">
        <v>1</v>
      </c>
      <c r="BL150" s="23">
        <v>1</v>
      </c>
      <c r="BM150" s="23">
        <v>1</v>
      </c>
      <c r="BN150" s="23">
        <v>1</v>
      </c>
      <c r="BO150" s="23">
        <v>1</v>
      </c>
      <c r="BP150" s="23">
        <f t="shared" si="70"/>
        <v>0</v>
      </c>
      <c r="BQ150" s="23">
        <f t="shared" si="71"/>
        <v>0</v>
      </c>
      <c r="BR150" s="23">
        <f t="shared" si="72"/>
        <v>0</v>
      </c>
      <c r="BS150" s="23">
        <f t="shared" si="73"/>
        <v>0</v>
      </c>
      <c r="BT150" s="23">
        <f t="shared" si="74"/>
        <v>0</v>
      </c>
      <c r="BU150" s="23">
        <f t="shared" si="75"/>
        <v>0</v>
      </c>
      <c r="BV150" s="23">
        <f t="shared" si="76"/>
        <v>0</v>
      </c>
      <c r="BW150" s="23">
        <f t="shared" si="77"/>
        <v>0</v>
      </c>
      <c r="BX150" s="23">
        <f t="shared" si="78"/>
        <v>0</v>
      </c>
      <c r="BY150" s="23">
        <f t="shared" si="79"/>
        <v>0</v>
      </c>
      <c r="BZ150" s="23">
        <f t="shared" si="80"/>
        <v>0</v>
      </c>
      <c r="CA150" s="23">
        <f t="shared" si="81"/>
        <v>0</v>
      </c>
      <c r="CB150" s="23">
        <f t="shared" si="82"/>
        <v>0</v>
      </c>
      <c r="CC150" s="23">
        <f t="shared" si="83"/>
        <v>0</v>
      </c>
      <c r="CD150" s="23">
        <f t="shared" si="84"/>
        <v>0</v>
      </c>
      <c r="CE150" s="23">
        <f t="shared" si="85"/>
        <v>0</v>
      </c>
      <c r="CF150" s="23">
        <f t="shared" si="86"/>
        <v>0</v>
      </c>
      <c r="CG150" s="23">
        <f t="shared" si="87"/>
        <v>0</v>
      </c>
      <c r="CH150" s="23">
        <f t="shared" si="88"/>
        <v>0</v>
      </c>
      <c r="CI150" s="23">
        <f t="shared" si="89"/>
        <v>0</v>
      </c>
      <c r="CJ150" s="23">
        <f t="shared" si="90"/>
        <v>0</v>
      </c>
      <c r="CK150" s="23">
        <f t="shared" si="91"/>
        <v>0</v>
      </c>
      <c r="CL150" s="23">
        <f t="shared" si="92"/>
        <v>0</v>
      </c>
      <c r="CM150" s="23">
        <f t="shared" si="93"/>
        <v>0</v>
      </c>
      <c r="CN150" s="23">
        <f t="shared" si="94"/>
        <v>1</v>
      </c>
      <c r="CO150" s="23">
        <f t="shared" si="95"/>
        <v>1</v>
      </c>
      <c r="CP150" s="23">
        <f t="shared" si="96"/>
        <v>1</v>
      </c>
      <c r="CQ150" s="23">
        <f t="shared" si="97"/>
        <v>1</v>
      </c>
      <c r="CR150" s="23">
        <f t="shared" si="98"/>
        <v>1</v>
      </c>
      <c r="CS150" s="23">
        <f t="shared" si="99"/>
        <v>1</v>
      </c>
      <c r="CT150" s="23">
        <f t="shared" si="100"/>
        <v>1</v>
      </c>
      <c r="CU150" s="23">
        <f t="shared" si="101"/>
        <v>1</v>
      </c>
      <c r="CV150" s="23">
        <f t="shared" si="102"/>
        <v>1</v>
      </c>
    </row>
    <row r="151" spans="1:100" ht="13.5">
      <c r="A151" s="15">
        <v>86</v>
      </c>
      <c r="B151" s="27" t="s">
        <v>502</v>
      </c>
      <c r="C151" t="s">
        <v>144</v>
      </c>
      <c r="D151" t="s">
        <v>503</v>
      </c>
      <c r="F151" t="s">
        <v>146</v>
      </c>
      <c r="G151" t="s">
        <v>168</v>
      </c>
      <c r="H151" t="s">
        <v>169</v>
      </c>
      <c r="I151" s="6" t="s">
        <v>147</v>
      </c>
      <c r="J151" s="6">
        <v>1</v>
      </c>
      <c r="L151" s="15">
        <v>1</v>
      </c>
      <c r="M151" s="7">
        <v>46010</v>
      </c>
      <c r="N151" s="7">
        <v>46029</v>
      </c>
      <c r="O151" s="7">
        <v>46028</v>
      </c>
      <c r="P151" s="7">
        <v>46031</v>
      </c>
      <c r="R151" s="6" t="s">
        <v>504</v>
      </c>
      <c r="S151" s="6" t="s">
        <v>465</v>
      </c>
      <c r="U151" s="6" t="s">
        <v>464</v>
      </c>
      <c r="V151" s="6" t="str">
        <f t="shared" si="69"/>
        <v>26/01</v>
      </c>
      <c r="W151">
        <v>1455</v>
      </c>
      <c r="AA151">
        <v>865</v>
      </c>
      <c r="AC151">
        <v>918</v>
      </c>
      <c r="AI151" s="23">
        <v>0</v>
      </c>
      <c r="AJ151" s="23">
        <v>0</v>
      </c>
      <c r="AK151" s="23">
        <v>0</v>
      </c>
      <c r="AL151" s="23">
        <v>0</v>
      </c>
      <c r="AM151" s="23">
        <v>0</v>
      </c>
      <c r="AN151" s="23">
        <v>0</v>
      </c>
      <c r="AO151" s="23">
        <v>0</v>
      </c>
      <c r="AP151" s="23">
        <v>0</v>
      </c>
      <c r="AQ151" s="23">
        <v>0</v>
      </c>
      <c r="AR151" s="23">
        <v>0</v>
      </c>
      <c r="AS151" s="23">
        <v>0</v>
      </c>
      <c r="AT151" s="23">
        <v>0</v>
      </c>
      <c r="AU151" s="23">
        <v>0</v>
      </c>
      <c r="AV151" s="23">
        <v>0</v>
      </c>
      <c r="AW151" s="23">
        <v>0</v>
      </c>
      <c r="AX151" s="23">
        <v>0</v>
      </c>
      <c r="AY151" s="23">
        <v>0</v>
      </c>
      <c r="AZ151" s="23">
        <v>0</v>
      </c>
      <c r="BA151" s="23">
        <v>0</v>
      </c>
      <c r="BB151" s="23">
        <v>0</v>
      </c>
      <c r="BC151" s="23">
        <v>0</v>
      </c>
      <c r="BD151" s="23">
        <v>0</v>
      </c>
      <c r="BE151" s="23">
        <v>0</v>
      </c>
      <c r="BF151" s="23">
        <v>0</v>
      </c>
      <c r="BG151" s="23">
        <v>1</v>
      </c>
      <c r="BH151" s="23">
        <v>1</v>
      </c>
      <c r="BI151" s="23">
        <v>1</v>
      </c>
      <c r="BJ151" s="23">
        <v>1</v>
      </c>
      <c r="BK151" s="23">
        <v>1</v>
      </c>
      <c r="BL151" s="23">
        <v>1</v>
      </c>
      <c r="BM151" s="23">
        <v>1</v>
      </c>
      <c r="BN151" s="23">
        <v>1</v>
      </c>
      <c r="BO151" s="23">
        <v>1</v>
      </c>
      <c r="BP151" s="23">
        <f t="shared" si="70"/>
        <v>0</v>
      </c>
      <c r="BQ151" s="23">
        <f t="shared" si="71"/>
        <v>0</v>
      </c>
      <c r="BR151" s="23">
        <f t="shared" si="72"/>
        <v>0</v>
      </c>
      <c r="BS151" s="23">
        <f t="shared" si="73"/>
        <v>0</v>
      </c>
      <c r="BT151" s="23">
        <f t="shared" si="74"/>
        <v>0</v>
      </c>
      <c r="BU151" s="23">
        <f t="shared" si="75"/>
        <v>0</v>
      </c>
      <c r="BV151" s="23">
        <f t="shared" si="76"/>
        <v>0</v>
      </c>
      <c r="BW151" s="23">
        <f t="shared" si="77"/>
        <v>0</v>
      </c>
      <c r="BX151" s="23">
        <f t="shared" si="78"/>
        <v>0</v>
      </c>
      <c r="BY151" s="23">
        <f t="shared" si="79"/>
        <v>0</v>
      </c>
      <c r="BZ151" s="23">
        <f t="shared" si="80"/>
        <v>0</v>
      </c>
      <c r="CA151" s="23">
        <f t="shared" si="81"/>
        <v>0</v>
      </c>
      <c r="CB151" s="23">
        <f t="shared" si="82"/>
        <v>0</v>
      </c>
      <c r="CC151" s="23">
        <f t="shared" si="83"/>
        <v>0</v>
      </c>
      <c r="CD151" s="23">
        <f t="shared" si="84"/>
        <v>0</v>
      </c>
      <c r="CE151" s="23">
        <f t="shared" si="85"/>
        <v>0</v>
      </c>
      <c r="CF151" s="23">
        <f t="shared" si="86"/>
        <v>0</v>
      </c>
      <c r="CG151" s="23">
        <f t="shared" si="87"/>
        <v>0</v>
      </c>
      <c r="CH151" s="23">
        <f t="shared" si="88"/>
        <v>0</v>
      </c>
      <c r="CI151" s="23">
        <f t="shared" si="89"/>
        <v>0</v>
      </c>
      <c r="CJ151" s="23">
        <f t="shared" si="90"/>
        <v>0</v>
      </c>
      <c r="CK151" s="23">
        <f t="shared" si="91"/>
        <v>0</v>
      </c>
      <c r="CL151" s="23">
        <f t="shared" si="92"/>
        <v>0</v>
      </c>
      <c r="CM151" s="23">
        <f t="shared" si="93"/>
        <v>0</v>
      </c>
      <c r="CN151" s="23">
        <f t="shared" si="94"/>
        <v>1</v>
      </c>
      <c r="CO151" s="23">
        <f t="shared" si="95"/>
        <v>1</v>
      </c>
      <c r="CP151" s="23">
        <f t="shared" si="96"/>
        <v>1</v>
      </c>
      <c r="CQ151" s="23">
        <f t="shared" si="97"/>
        <v>1</v>
      </c>
      <c r="CR151" s="23">
        <f t="shared" si="98"/>
        <v>1</v>
      </c>
      <c r="CS151" s="23">
        <f t="shared" si="99"/>
        <v>1</v>
      </c>
      <c r="CT151" s="23">
        <f t="shared" si="100"/>
        <v>1</v>
      </c>
      <c r="CU151" s="23">
        <f t="shared" si="101"/>
        <v>1</v>
      </c>
      <c r="CV151" s="23">
        <f t="shared" si="102"/>
        <v>1</v>
      </c>
    </row>
    <row r="152" spans="1:100" ht="13.5">
      <c r="A152" s="15">
        <v>73</v>
      </c>
      <c r="B152" s="27" t="s">
        <v>505</v>
      </c>
      <c r="C152" t="s">
        <v>180</v>
      </c>
      <c r="E152" t="s">
        <v>182</v>
      </c>
      <c r="F152" t="s">
        <v>181</v>
      </c>
      <c r="G152" t="s">
        <v>182</v>
      </c>
      <c r="H152" t="s">
        <v>183</v>
      </c>
      <c r="I152" s="6" t="s">
        <v>136</v>
      </c>
      <c r="J152" s="6">
        <v>1</v>
      </c>
      <c r="L152" s="15">
        <v>1</v>
      </c>
      <c r="M152" s="7">
        <v>46013</v>
      </c>
      <c r="N152" s="7">
        <v>46030</v>
      </c>
      <c r="O152" s="7">
        <v>46029</v>
      </c>
      <c r="P152" s="7">
        <v>46029</v>
      </c>
      <c r="R152" s="6" t="s">
        <v>506</v>
      </c>
      <c r="S152" s="6" t="s">
        <v>182</v>
      </c>
      <c r="U152" s="6" t="s">
        <v>464</v>
      </c>
      <c r="V152" s="6" t="str">
        <f t="shared" si="69"/>
        <v>26/01</v>
      </c>
      <c r="W152">
        <v>1456</v>
      </c>
      <c r="AB152">
        <v>594</v>
      </c>
      <c r="AD152">
        <v>541</v>
      </c>
      <c r="AI152" s="23">
        <v>0</v>
      </c>
      <c r="AJ152" s="23">
        <v>0</v>
      </c>
      <c r="AK152" s="23">
        <v>0</v>
      </c>
      <c r="AL152" s="23">
        <v>0</v>
      </c>
      <c r="AM152" s="23">
        <v>0</v>
      </c>
      <c r="AN152" s="23">
        <v>0</v>
      </c>
      <c r="AO152" s="23">
        <v>0</v>
      </c>
      <c r="AP152" s="23">
        <v>0</v>
      </c>
      <c r="AQ152" s="23">
        <v>0</v>
      </c>
      <c r="AR152" s="23">
        <v>0</v>
      </c>
      <c r="AS152" s="23">
        <v>0</v>
      </c>
      <c r="AT152" s="23">
        <v>0</v>
      </c>
      <c r="AU152" s="23">
        <v>0</v>
      </c>
      <c r="AV152" s="23">
        <v>0</v>
      </c>
      <c r="AW152" s="23">
        <v>0</v>
      </c>
      <c r="AX152" s="23">
        <v>0</v>
      </c>
      <c r="AY152" s="23">
        <v>0</v>
      </c>
      <c r="AZ152" s="23">
        <v>0</v>
      </c>
      <c r="BA152" s="23">
        <v>0</v>
      </c>
      <c r="BB152" s="23">
        <v>0</v>
      </c>
      <c r="BC152" s="23">
        <v>0</v>
      </c>
      <c r="BD152" s="23">
        <v>0</v>
      </c>
      <c r="BE152" s="23">
        <v>0</v>
      </c>
      <c r="BF152" s="23">
        <v>0</v>
      </c>
      <c r="BG152" s="23">
        <v>1</v>
      </c>
      <c r="BH152" s="23">
        <v>1</v>
      </c>
      <c r="BI152" s="23">
        <v>1</v>
      </c>
      <c r="BJ152" s="23">
        <v>1</v>
      </c>
      <c r="BK152" s="23">
        <v>1</v>
      </c>
      <c r="BL152" s="23">
        <v>1</v>
      </c>
      <c r="BM152" s="23">
        <v>1</v>
      </c>
      <c r="BN152" s="23">
        <v>1</v>
      </c>
      <c r="BO152" s="23">
        <v>0</v>
      </c>
      <c r="BP152" s="23">
        <f t="shared" si="70"/>
        <v>0</v>
      </c>
      <c r="BQ152" s="23">
        <f t="shared" si="71"/>
        <v>0</v>
      </c>
      <c r="BR152" s="23">
        <f t="shared" si="72"/>
        <v>0</v>
      </c>
      <c r="BS152" s="23">
        <f t="shared" si="73"/>
        <v>0</v>
      </c>
      <c r="BT152" s="23">
        <f t="shared" si="74"/>
        <v>0</v>
      </c>
      <c r="BU152" s="23">
        <f t="shared" si="75"/>
        <v>0</v>
      </c>
      <c r="BV152" s="23">
        <f t="shared" si="76"/>
        <v>0</v>
      </c>
      <c r="BW152" s="23">
        <f t="shared" si="77"/>
        <v>0</v>
      </c>
      <c r="BX152" s="23">
        <f t="shared" si="78"/>
        <v>0</v>
      </c>
      <c r="BY152" s="23">
        <f t="shared" si="79"/>
        <v>0</v>
      </c>
      <c r="BZ152" s="23">
        <f t="shared" si="80"/>
        <v>0</v>
      </c>
      <c r="CA152" s="23">
        <f t="shared" si="81"/>
        <v>0</v>
      </c>
      <c r="CB152" s="23">
        <f t="shared" si="82"/>
        <v>0</v>
      </c>
      <c r="CC152" s="23">
        <f t="shared" si="83"/>
        <v>0</v>
      </c>
      <c r="CD152" s="23">
        <f t="shared" si="84"/>
        <v>0</v>
      </c>
      <c r="CE152" s="23">
        <f t="shared" si="85"/>
        <v>0</v>
      </c>
      <c r="CF152" s="23">
        <f t="shared" si="86"/>
        <v>0</v>
      </c>
      <c r="CG152" s="23">
        <f t="shared" si="87"/>
        <v>0</v>
      </c>
      <c r="CH152" s="23">
        <f t="shared" si="88"/>
        <v>0</v>
      </c>
      <c r="CI152" s="23">
        <f t="shared" si="89"/>
        <v>0</v>
      </c>
      <c r="CJ152" s="23">
        <f t="shared" si="90"/>
        <v>0</v>
      </c>
      <c r="CK152" s="23">
        <f t="shared" si="91"/>
        <v>0</v>
      </c>
      <c r="CL152" s="23">
        <f t="shared" si="92"/>
        <v>0</v>
      </c>
      <c r="CM152" s="23">
        <f t="shared" si="93"/>
        <v>0</v>
      </c>
      <c r="CN152" s="23">
        <f t="shared" si="94"/>
        <v>1</v>
      </c>
      <c r="CO152" s="23">
        <f t="shared" si="95"/>
        <v>1</v>
      </c>
      <c r="CP152" s="23">
        <f t="shared" si="96"/>
        <v>1</v>
      </c>
      <c r="CQ152" s="23">
        <f t="shared" si="97"/>
        <v>1</v>
      </c>
      <c r="CR152" s="23">
        <f t="shared" si="98"/>
        <v>1</v>
      </c>
      <c r="CS152" s="23">
        <f t="shared" si="99"/>
        <v>1</v>
      </c>
      <c r="CT152" s="23">
        <f t="shared" si="100"/>
        <v>1</v>
      </c>
      <c r="CU152" s="23">
        <f t="shared" si="101"/>
        <v>1</v>
      </c>
      <c r="CV152" s="23">
        <f t="shared" si="102"/>
        <v>0</v>
      </c>
    </row>
    <row r="153" spans="1:100" ht="13.5">
      <c r="A153" s="15">
        <v>71</v>
      </c>
      <c r="B153" s="27" t="s">
        <v>507</v>
      </c>
      <c r="C153" t="s">
        <v>180</v>
      </c>
      <c r="E153" t="s">
        <v>182</v>
      </c>
      <c r="F153" t="s">
        <v>181</v>
      </c>
      <c r="G153" t="s">
        <v>182</v>
      </c>
      <c r="H153" t="s">
        <v>183</v>
      </c>
      <c r="I153" s="6" t="s">
        <v>136</v>
      </c>
      <c r="J153" s="6">
        <v>1</v>
      </c>
      <c r="L153" s="15">
        <v>1</v>
      </c>
      <c r="M153" s="7">
        <v>46013</v>
      </c>
      <c r="N153" s="7">
        <v>46030</v>
      </c>
      <c r="O153" s="7">
        <v>46029</v>
      </c>
      <c r="P153" s="7">
        <v>46029</v>
      </c>
      <c r="R153" s="6" t="s">
        <v>508</v>
      </c>
      <c r="S153" s="6" t="s">
        <v>182</v>
      </c>
      <c r="U153" s="6" t="s">
        <v>464</v>
      </c>
      <c r="V153" s="6" t="str">
        <f t="shared" si="69"/>
        <v>26/01</v>
      </c>
      <c r="W153">
        <v>1457</v>
      </c>
      <c r="AB153">
        <v>595</v>
      </c>
      <c r="AD153">
        <v>542</v>
      </c>
      <c r="AI153" s="23">
        <v>0</v>
      </c>
      <c r="AJ153" s="23">
        <v>0</v>
      </c>
      <c r="AK153" s="23">
        <v>0</v>
      </c>
      <c r="AL153" s="23">
        <v>0</v>
      </c>
      <c r="AM153" s="23">
        <v>0</v>
      </c>
      <c r="AN153" s="23">
        <v>0</v>
      </c>
      <c r="AO153" s="23">
        <v>0</v>
      </c>
      <c r="AP153" s="23">
        <v>0</v>
      </c>
      <c r="AQ153" s="23">
        <v>0</v>
      </c>
      <c r="AR153" s="23">
        <v>0</v>
      </c>
      <c r="AS153" s="23">
        <v>0</v>
      </c>
      <c r="AT153" s="23">
        <v>0</v>
      </c>
      <c r="AU153" s="23">
        <v>0</v>
      </c>
      <c r="AV153" s="23">
        <v>0</v>
      </c>
      <c r="AW153" s="23">
        <v>0</v>
      </c>
      <c r="AX153" s="23">
        <v>0</v>
      </c>
      <c r="AY153" s="23">
        <v>0</v>
      </c>
      <c r="AZ153" s="23">
        <v>0</v>
      </c>
      <c r="BA153" s="23">
        <v>0</v>
      </c>
      <c r="BB153" s="23">
        <v>0</v>
      </c>
      <c r="BC153" s="23">
        <v>0</v>
      </c>
      <c r="BD153" s="23">
        <v>0</v>
      </c>
      <c r="BE153" s="23">
        <v>0</v>
      </c>
      <c r="BF153" s="23">
        <v>0</v>
      </c>
      <c r="BG153" s="23">
        <v>1</v>
      </c>
      <c r="BH153" s="23">
        <v>1</v>
      </c>
      <c r="BI153" s="23">
        <v>1</v>
      </c>
      <c r="BJ153" s="23">
        <v>1</v>
      </c>
      <c r="BK153" s="23">
        <v>1</v>
      </c>
      <c r="BL153" s="23">
        <v>1</v>
      </c>
      <c r="BM153" s="23">
        <v>1</v>
      </c>
      <c r="BN153" s="23">
        <v>1</v>
      </c>
      <c r="BO153" s="23">
        <v>0</v>
      </c>
      <c r="BP153" s="23">
        <f t="shared" si="70"/>
        <v>0</v>
      </c>
      <c r="BQ153" s="23">
        <f t="shared" si="71"/>
        <v>0</v>
      </c>
      <c r="BR153" s="23">
        <f t="shared" si="72"/>
        <v>0</v>
      </c>
      <c r="BS153" s="23">
        <f t="shared" si="73"/>
        <v>0</v>
      </c>
      <c r="BT153" s="23">
        <f t="shared" si="74"/>
        <v>0</v>
      </c>
      <c r="BU153" s="23">
        <f t="shared" si="75"/>
        <v>0</v>
      </c>
      <c r="BV153" s="23">
        <f t="shared" si="76"/>
        <v>0</v>
      </c>
      <c r="BW153" s="23">
        <f t="shared" si="77"/>
        <v>0</v>
      </c>
      <c r="BX153" s="23">
        <f t="shared" si="78"/>
        <v>0</v>
      </c>
      <c r="BY153" s="23">
        <f t="shared" si="79"/>
        <v>0</v>
      </c>
      <c r="BZ153" s="23">
        <f t="shared" si="80"/>
        <v>0</v>
      </c>
      <c r="CA153" s="23">
        <f t="shared" si="81"/>
        <v>0</v>
      </c>
      <c r="CB153" s="23">
        <f t="shared" si="82"/>
        <v>0</v>
      </c>
      <c r="CC153" s="23">
        <f t="shared" si="83"/>
        <v>0</v>
      </c>
      <c r="CD153" s="23">
        <f t="shared" si="84"/>
        <v>0</v>
      </c>
      <c r="CE153" s="23">
        <f t="shared" si="85"/>
        <v>0</v>
      </c>
      <c r="CF153" s="23">
        <f t="shared" si="86"/>
        <v>0</v>
      </c>
      <c r="CG153" s="23">
        <f t="shared" si="87"/>
        <v>0</v>
      </c>
      <c r="CH153" s="23">
        <f t="shared" si="88"/>
        <v>0</v>
      </c>
      <c r="CI153" s="23">
        <f t="shared" si="89"/>
        <v>0</v>
      </c>
      <c r="CJ153" s="23">
        <f t="shared" si="90"/>
        <v>0</v>
      </c>
      <c r="CK153" s="23">
        <f t="shared" si="91"/>
        <v>0</v>
      </c>
      <c r="CL153" s="23">
        <f t="shared" si="92"/>
        <v>0</v>
      </c>
      <c r="CM153" s="23">
        <f t="shared" si="93"/>
        <v>0</v>
      </c>
      <c r="CN153" s="23">
        <f t="shared" si="94"/>
        <v>1</v>
      </c>
      <c r="CO153" s="23">
        <f t="shared" si="95"/>
        <v>1</v>
      </c>
      <c r="CP153" s="23">
        <f t="shared" si="96"/>
        <v>1</v>
      </c>
      <c r="CQ153" s="23">
        <f t="shared" si="97"/>
        <v>1</v>
      </c>
      <c r="CR153" s="23">
        <f t="shared" si="98"/>
        <v>1</v>
      </c>
      <c r="CS153" s="23">
        <f t="shared" si="99"/>
        <v>1</v>
      </c>
      <c r="CT153" s="23">
        <f t="shared" si="100"/>
        <v>1</v>
      </c>
      <c r="CU153" s="23">
        <f t="shared" si="101"/>
        <v>1</v>
      </c>
      <c r="CV153" s="23">
        <f t="shared" si="102"/>
        <v>0</v>
      </c>
    </row>
    <row r="154" spans="1:100" ht="13.5">
      <c r="A154" s="15">
        <v>72</v>
      </c>
      <c r="B154" s="27" t="s">
        <v>509</v>
      </c>
      <c r="C154" t="s">
        <v>180</v>
      </c>
      <c r="E154" t="s">
        <v>182</v>
      </c>
      <c r="F154" t="s">
        <v>181</v>
      </c>
      <c r="G154" t="s">
        <v>182</v>
      </c>
      <c r="H154" t="s">
        <v>183</v>
      </c>
      <c r="I154" s="6" t="s">
        <v>136</v>
      </c>
      <c r="J154" s="6">
        <v>1</v>
      </c>
      <c r="L154" s="15">
        <v>1</v>
      </c>
      <c r="M154" s="7">
        <v>46013</v>
      </c>
      <c r="N154" s="7">
        <v>46030</v>
      </c>
      <c r="O154" s="7">
        <v>46029</v>
      </c>
      <c r="P154" s="7">
        <v>46029</v>
      </c>
      <c r="R154" s="6" t="s">
        <v>510</v>
      </c>
      <c r="S154" s="6" t="s">
        <v>182</v>
      </c>
      <c r="U154" s="6" t="s">
        <v>464</v>
      </c>
      <c r="V154" s="6" t="str">
        <f t="shared" si="69"/>
        <v>26/01</v>
      </c>
      <c r="W154">
        <v>1458</v>
      </c>
      <c r="AB154">
        <v>596</v>
      </c>
      <c r="AD154">
        <v>543</v>
      </c>
      <c r="AI154" s="23">
        <v>0</v>
      </c>
      <c r="AJ154" s="23">
        <v>0</v>
      </c>
      <c r="AK154" s="23">
        <v>0</v>
      </c>
      <c r="AL154" s="23">
        <v>0</v>
      </c>
      <c r="AM154" s="23">
        <v>0</v>
      </c>
      <c r="AN154" s="23">
        <v>0</v>
      </c>
      <c r="AO154" s="23">
        <v>0</v>
      </c>
      <c r="AP154" s="23">
        <v>0</v>
      </c>
      <c r="AQ154" s="23">
        <v>0</v>
      </c>
      <c r="AR154" s="23">
        <v>0</v>
      </c>
      <c r="AS154" s="23">
        <v>0</v>
      </c>
      <c r="AT154" s="23">
        <v>0</v>
      </c>
      <c r="AU154" s="23">
        <v>0</v>
      </c>
      <c r="AV154" s="23">
        <v>0</v>
      </c>
      <c r="AW154" s="23">
        <v>0</v>
      </c>
      <c r="AX154" s="23">
        <v>0</v>
      </c>
      <c r="AY154" s="23">
        <v>0</v>
      </c>
      <c r="AZ154" s="23">
        <v>0</v>
      </c>
      <c r="BA154" s="23">
        <v>0</v>
      </c>
      <c r="BB154" s="23">
        <v>0</v>
      </c>
      <c r="BC154" s="23">
        <v>0</v>
      </c>
      <c r="BD154" s="23">
        <v>0</v>
      </c>
      <c r="BE154" s="23">
        <v>0</v>
      </c>
      <c r="BF154" s="23">
        <v>0</v>
      </c>
      <c r="BG154" s="23">
        <v>1</v>
      </c>
      <c r="BH154" s="23">
        <v>1</v>
      </c>
      <c r="BI154" s="23">
        <v>1</v>
      </c>
      <c r="BJ154" s="23">
        <v>1</v>
      </c>
      <c r="BK154" s="23">
        <v>1</v>
      </c>
      <c r="BL154" s="23">
        <v>1</v>
      </c>
      <c r="BM154" s="23">
        <v>1</v>
      </c>
      <c r="BN154" s="23">
        <v>1</v>
      </c>
      <c r="BO154" s="23">
        <v>0</v>
      </c>
      <c r="BP154" s="23">
        <f t="shared" si="70"/>
        <v>0</v>
      </c>
      <c r="BQ154" s="23">
        <f t="shared" si="71"/>
        <v>0</v>
      </c>
      <c r="BR154" s="23">
        <f t="shared" si="72"/>
        <v>0</v>
      </c>
      <c r="BS154" s="23">
        <f t="shared" si="73"/>
        <v>0</v>
      </c>
      <c r="BT154" s="23">
        <f t="shared" si="74"/>
        <v>0</v>
      </c>
      <c r="BU154" s="23">
        <f t="shared" si="75"/>
        <v>0</v>
      </c>
      <c r="BV154" s="23">
        <f t="shared" si="76"/>
        <v>0</v>
      </c>
      <c r="BW154" s="23">
        <f t="shared" si="77"/>
        <v>0</v>
      </c>
      <c r="BX154" s="23">
        <f t="shared" si="78"/>
        <v>0</v>
      </c>
      <c r="BY154" s="23">
        <f t="shared" si="79"/>
        <v>0</v>
      </c>
      <c r="BZ154" s="23">
        <f t="shared" si="80"/>
        <v>0</v>
      </c>
      <c r="CA154" s="23">
        <f t="shared" si="81"/>
        <v>0</v>
      </c>
      <c r="CB154" s="23">
        <f t="shared" si="82"/>
        <v>0</v>
      </c>
      <c r="CC154" s="23">
        <f t="shared" si="83"/>
        <v>0</v>
      </c>
      <c r="CD154" s="23">
        <f t="shared" si="84"/>
        <v>0</v>
      </c>
      <c r="CE154" s="23">
        <f t="shared" si="85"/>
        <v>0</v>
      </c>
      <c r="CF154" s="23">
        <f t="shared" si="86"/>
        <v>0</v>
      </c>
      <c r="CG154" s="23">
        <f t="shared" si="87"/>
        <v>0</v>
      </c>
      <c r="CH154" s="23">
        <f t="shared" si="88"/>
        <v>0</v>
      </c>
      <c r="CI154" s="23">
        <f t="shared" si="89"/>
        <v>0</v>
      </c>
      <c r="CJ154" s="23">
        <f t="shared" si="90"/>
        <v>0</v>
      </c>
      <c r="CK154" s="23">
        <f t="shared" si="91"/>
        <v>0</v>
      </c>
      <c r="CL154" s="23">
        <f t="shared" si="92"/>
        <v>0</v>
      </c>
      <c r="CM154" s="23">
        <f t="shared" si="93"/>
        <v>0</v>
      </c>
      <c r="CN154" s="23">
        <f t="shared" si="94"/>
        <v>1</v>
      </c>
      <c r="CO154" s="23">
        <f t="shared" si="95"/>
        <v>1</v>
      </c>
      <c r="CP154" s="23">
        <f t="shared" si="96"/>
        <v>1</v>
      </c>
      <c r="CQ154" s="23">
        <f t="shared" si="97"/>
        <v>1</v>
      </c>
      <c r="CR154" s="23">
        <f t="shared" si="98"/>
        <v>1</v>
      </c>
      <c r="CS154" s="23">
        <f t="shared" si="99"/>
        <v>1</v>
      </c>
      <c r="CT154" s="23">
        <f t="shared" si="100"/>
        <v>1</v>
      </c>
      <c r="CU154" s="23">
        <f t="shared" si="101"/>
        <v>1</v>
      </c>
      <c r="CV154" s="23">
        <f t="shared" si="102"/>
        <v>0</v>
      </c>
    </row>
    <row r="155" spans="1:100" ht="13.5">
      <c r="A155" s="15">
        <v>70</v>
      </c>
      <c r="B155" s="27" t="s">
        <v>511</v>
      </c>
      <c r="C155" t="s">
        <v>180</v>
      </c>
      <c r="E155" t="s">
        <v>182</v>
      </c>
      <c r="F155" t="s">
        <v>181</v>
      </c>
      <c r="G155" t="s">
        <v>182</v>
      </c>
      <c r="H155" t="s">
        <v>183</v>
      </c>
      <c r="I155" s="6" t="s">
        <v>136</v>
      </c>
      <c r="J155" s="6">
        <v>1</v>
      </c>
      <c r="L155" s="15">
        <v>1</v>
      </c>
      <c r="M155" s="7">
        <v>46013</v>
      </c>
      <c r="N155" s="7">
        <v>46030</v>
      </c>
      <c r="O155" s="7">
        <v>46029</v>
      </c>
      <c r="P155" s="7">
        <v>46029</v>
      </c>
      <c r="R155" s="6" t="s">
        <v>512</v>
      </c>
      <c r="S155" s="6" t="s">
        <v>182</v>
      </c>
      <c r="U155" s="6" t="s">
        <v>464</v>
      </c>
      <c r="V155" s="6" t="str">
        <f t="shared" si="69"/>
        <v>26/01</v>
      </c>
      <c r="W155">
        <v>1459</v>
      </c>
      <c r="AB155">
        <v>597</v>
      </c>
      <c r="AD155">
        <v>544</v>
      </c>
      <c r="AI155" s="23">
        <v>0</v>
      </c>
      <c r="AJ155" s="23">
        <v>0</v>
      </c>
      <c r="AK155" s="23">
        <v>0</v>
      </c>
      <c r="AL155" s="23">
        <v>0</v>
      </c>
      <c r="AM155" s="23">
        <v>0</v>
      </c>
      <c r="AN155" s="23">
        <v>0</v>
      </c>
      <c r="AO155" s="23">
        <v>0</v>
      </c>
      <c r="AP155" s="23">
        <v>0</v>
      </c>
      <c r="AQ155" s="23">
        <v>0</v>
      </c>
      <c r="AR155" s="23">
        <v>0</v>
      </c>
      <c r="AS155" s="23">
        <v>0</v>
      </c>
      <c r="AT155" s="23">
        <v>0</v>
      </c>
      <c r="AU155" s="23">
        <v>0</v>
      </c>
      <c r="AV155" s="23">
        <v>0</v>
      </c>
      <c r="AW155" s="23">
        <v>0</v>
      </c>
      <c r="AX155" s="23">
        <v>0</v>
      </c>
      <c r="AY155" s="23">
        <v>0</v>
      </c>
      <c r="AZ155" s="23">
        <v>0</v>
      </c>
      <c r="BA155" s="23">
        <v>0</v>
      </c>
      <c r="BB155" s="23">
        <v>0</v>
      </c>
      <c r="BC155" s="23">
        <v>0</v>
      </c>
      <c r="BD155" s="23">
        <v>0</v>
      </c>
      <c r="BE155" s="23">
        <v>0</v>
      </c>
      <c r="BF155" s="23">
        <v>0</v>
      </c>
      <c r="BG155" s="23">
        <v>1</v>
      </c>
      <c r="BH155" s="23">
        <v>1</v>
      </c>
      <c r="BI155" s="23">
        <v>1</v>
      </c>
      <c r="BJ155" s="23">
        <v>1</v>
      </c>
      <c r="BK155" s="23">
        <v>1</v>
      </c>
      <c r="BL155" s="23">
        <v>1</v>
      </c>
      <c r="BM155" s="23">
        <v>1</v>
      </c>
      <c r="BN155" s="23">
        <v>1</v>
      </c>
      <c r="BO155" s="23">
        <v>0</v>
      </c>
      <c r="BP155" s="23">
        <f t="shared" si="70"/>
        <v>0</v>
      </c>
      <c r="BQ155" s="23">
        <f t="shared" si="71"/>
        <v>0</v>
      </c>
      <c r="BR155" s="23">
        <f t="shared" si="72"/>
        <v>0</v>
      </c>
      <c r="BS155" s="23">
        <f t="shared" si="73"/>
        <v>0</v>
      </c>
      <c r="BT155" s="23">
        <f t="shared" si="74"/>
        <v>0</v>
      </c>
      <c r="BU155" s="23">
        <f t="shared" si="75"/>
        <v>0</v>
      </c>
      <c r="BV155" s="23">
        <f t="shared" si="76"/>
        <v>0</v>
      </c>
      <c r="BW155" s="23">
        <f t="shared" si="77"/>
        <v>0</v>
      </c>
      <c r="BX155" s="23">
        <f t="shared" si="78"/>
        <v>0</v>
      </c>
      <c r="BY155" s="23">
        <f t="shared" si="79"/>
        <v>0</v>
      </c>
      <c r="BZ155" s="23">
        <f t="shared" si="80"/>
        <v>0</v>
      </c>
      <c r="CA155" s="23">
        <f t="shared" si="81"/>
        <v>0</v>
      </c>
      <c r="CB155" s="23">
        <f t="shared" si="82"/>
        <v>0</v>
      </c>
      <c r="CC155" s="23">
        <f t="shared" si="83"/>
        <v>0</v>
      </c>
      <c r="CD155" s="23">
        <f t="shared" si="84"/>
        <v>0</v>
      </c>
      <c r="CE155" s="23">
        <f t="shared" si="85"/>
        <v>0</v>
      </c>
      <c r="CF155" s="23">
        <f t="shared" si="86"/>
        <v>0</v>
      </c>
      <c r="CG155" s="23">
        <f t="shared" si="87"/>
        <v>0</v>
      </c>
      <c r="CH155" s="23">
        <f t="shared" si="88"/>
        <v>0</v>
      </c>
      <c r="CI155" s="23">
        <f t="shared" si="89"/>
        <v>0</v>
      </c>
      <c r="CJ155" s="23">
        <f t="shared" si="90"/>
        <v>0</v>
      </c>
      <c r="CK155" s="23">
        <f t="shared" si="91"/>
        <v>0</v>
      </c>
      <c r="CL155" s="23">
        <f t="shared" si="92"/>
        <v>0</v>
      </c>
      <c r="CM155" s="23">
        <f t="shared" si="93"/>
        <v>0</v>
      </c>
      <c r="CN155" s="23">
        <f t="shared" si="94"/>
        <v>1</v>
      </c>
      <c r="CO155" s="23">
        <f t="shared" si="95"/>
        <v>1</v>
      </c>
      <c r="CP155" s="23">
        <f t="shared" si="96"/>
        <v>1</v>
      </c>
      <c r="CQ155" s="23">
        <f t="shared" si="97"/>
        <v>1</v>
      </c>
      <c r="CR155" s="23">
        <f t="shared" si="98"/>
        <v>1</v>
      </c>
      <c r="CS155" s="23">
        <f t="shared" si="99"/>
        <v>1</v>
      </c>
      <c r="CT155" s="23">
        <f t="shared" si="100"/>
        <v>1</v>
      </c>
      <c r="CU155" s="23">
        <f t="shared" si="101"/>
        <v>1</v>
      </c>
      <c r="CV155" s="23">
        <f t="shared" si="102"/>
        <v>0</v>
      </c>
    </row>
    <row r="156" spans="1:100" ht="13.5">
      <c r="A156" s="15">
        <v>77</v>
      </c>
      <c r="B156" s="27" t="s">
        <v>513</v>
      </c>
      <c r="C156" t="s">
        <v>180</v>
      </c>
      <c r="E156" t="s">
        <v>182</v>
      </c>
      <c r="F156" t="s">
        <v>181</v>
      </c>
      <c r="G156" t="s">
        <v>182</v>
      </c>
      <c r="H156" t="s">
        <v>183</v>
      </c>
      <c r="I156" s="6" t="s">
        <v>136</v>
      </c>
      <c r="J156" s="6">
        <v>1</v>
      </c>
      <c r="L156" s="15">
        <v>1</v>
      </c>
      <c r="M156" s="7">
        <v>46014</v>
      </c>
      <c r="N156" s="7">
        <v>46031</v>
      </c>
      <c r="O156" s="7">
        <v>46030</v>
      </c>
      <c r="P156" s="7">
        <v>46030</v>
      </c>
      <c r="R156" s="6" t="s">
        <v>514</v>
      </c>
      <c r="S156" s="6" t="s">
        <v>182</v>
      </c>
      <c r="U156" s="6" t="s">
        <v>464</v>
      </c>
      <c r="V156" s="6" t="str">
        <f t="shared" si="69"/>
        <v>26/01</v>
      </c>
      <c r="W156">
        <v>1460</v>
      </c>
      <c r="AB156">
        <v>598</v>
      </c>
      <c r="AD156">
        <v>545</v>
      </c>
      <c r="AI156" s="23">
        <v>0</v>
      </c>
      <c r="AJ156" s="23">
        <v>0</v>
      </c>
      <c r="AK156" s="23">
        <v>0</v>
      </c>
      <c r="AL156" s="23">
        <v>0</v>
      </c>
      <c r="AM156" s="23">
        <v>0</v>
      </c>
      <c r="AN156" s="23">
        <v>0</v>
      </c>
      <c r="AO156" s="23">
        <v>0</v>
      </c>
      <c r="AP156" s="23">
        <v>0</v>
      </c>
      <c r="AQ156" s="23">
        <v>0</v>
      </c>
      <c r="AR156" s="23">
        <v>0</v>
      </c>
      <c r="AS156" s="23">
        <v>0</v>
      </c>
      <c r="AT156" s="23">
        <v>0</v>
      </c>
      <c r="AU156" s="23">
        <v>0</v>
      </c>
      <c r="AV156" s="23">
        <v>0</v>
      </c>
      <c r="AW156" s="23">
        <v>0</v>
      </c>
      <c r="AX156" s="23">
        <v>0</v>
      </c>
      <c r="AY156" s="23">
        <v>0</v>
      </c>
      <c r="AZ156" s="23">
        <v>0</v>
      </c>
      <c r="BA156" s="23">
        <v>0</v>
      </c>
      <c r="BB156" s="23">
        <v>0</v>
      </c>
      <c r="BC156" s="23">
        <v>0</v>
      </c>
      <c r="BD156" s="23">
        <v>0</v>
      </c>
      <c r="BE156" s="23">
        <v>0</v>
      </c>
      <c r="BF156" s="23">
        <v>0</v>
      </c>
      <c r="BG156" s="23">
        <v>1</v>
      </c>
      <c r="BH156" s="23">
        <v>1</v>
      </c>
      <c r="BI156" s="23">
        <v>1</v>
      </c>
      <c r="BJ156" s="23">
        <v>1</v>
      </c>
      <c r="BK156" s="23">
        <v>1</v>
      </c>
      <c r="BL156" s="23">
        <v>1</v>
      </c>
      <c r="BM156" s="23">
        <v>1</v>
      </c>
      <c r="BN156" s="23">
        <v>1</v>
      </c>
      <c r="BO156" s="23">
        <v>0</v>
      </c>
      <c r="BP156" s="23">
        <f t="shared" si="70"/>
        <v>0</v>
      </c>
      <c r="BQ156" s="23">
        <f t="shared" si="71"/>
        <v>0</v>
      </c>
      <c r="BR156" s="23">
        <f t="shared" si="72"/>
        <v>0</v>
      </c>
      <c r="BS156" s="23">
        <f t="shared" si="73"/>
        <v>0</v>
      </c>
      <c r="BT156" s="23">
        <f t="shared" si="74"/>
        <v>0</v>
      </c>
      <c r="BU156" s="23">
        <f t="shared" si="75"/>
        <v>0</v>
      </c>
      <c r="BV156" s="23">
        <f t="shared" si="76"/>
        <v>0</v>
      </c>
      <c r="BW156" s="23">
        <f t="shared" si="77"/>
        <v>0</v>
      </c>
      <c r="BX156" s="23">
        <f t="shared" si="78"/>
        <v>0</v>
      </c>
      <c r="BY156" s="23">
        <f t="shared" si="79"/>
        <v>0</v>
      </c>
      <c r="BZ156" s="23">
        <f t="shared" si="80"/>
        <v>0</v>
      </c>
      <c r="CA156" s="23">
        <f t="shared" si="81"/>
        <v>0</v>
      </c>
      <c r="CB156" s="23">
        <f t="shared" si="82"/>
        <v>0</v>
      </c>
      <c r="CC156" s="23">
        <f t="shared" si="83"/>
        <v>0</v>
      </c>
      <c r="CD156" s="23">
        <f t="shared" si="84"/>
        <v>0</v>
      </c>
      <c r="CE156" s="23">
        <f t="shared" si="85"/>
        <v>0</v>
      </c>
      <c r="CF156" s="23">
        <f t="shared" si="86"/>
        <v>0</v>
      </c>
      <c r="CG156" s="23">
        <f t="shared" si="87"/>
        <v>0</v>
      </c>
      <c r="CH156" s="23">
        <f t="shared" si="88"/>
        <v>0</v>
      </c>
      <c r="CI156" s="23">
        <f t="shared" si="89"/>
        <v>0</v>
      </c>
      <c r="CJ156" s="23">
        <f t="shared" si="90"/>
        <v>0</v>
      </c>
      <c r="CK156" s="23">
        <f t="shared" si="91"/>
        <v>0</v>
      </c>
      <c r="CL156" s="23">
        <f t="shared" si="92"/>
        <v>0</v>
      </c>
      <c r="CM156" s="23">
        <f t="shared" si="93"/>
        <v>0</v>
      </c>
      <c r="CN156" s="23">
        <f t="shared" si="94"/>
        <v>1</v>
      </c>
      <c r="CO156" s="23">
        <f t="shared" si="95"/>
        <v>1</v>
      </c>
      <c r="CP156" s="23">
        <f t="shared" si="96"/>
        <v>1</v>
      </c>
      <c r="CQ156" s="23">
        <f t="shared" si="97"/>
        <v>1</v>
      </c>
      <c r="CR156" s="23">
        <f t="shared" si="98"/>
        <v>1</v>
      </c>
      <c r="CS156" s="23">
        <f t="shared" si="99"/>
        <v>1</v>
      </c>
      <c r="CT156" s="23">
        <f t="shared" si="100"/>
        <v>1</v>
      </c>
      <c r="CU156" s="23">
        <f t="shared" si="101"/>
        <v>1</v>
      </c>
      <c r="CV156" s="23">
        <f t="shared" si="102"/>
        <v>0</v>
      </c>
    </row>
    <row r="157" spans="1:100" ht="13.5">
      <c r="A157" s="15">
        <v>78</v>
      </c>
      <c r="B157" s="27" t="s">
        <v>515</v>
      </c>
      <c r="C157" t="s">
        <v>180</v>
      </c>
      <c r="E157" t="s">
        <v>182</v>
      </c>
      <c r="F157" t="s">
        <v>181</v>
      </c>
      <c r="G157" t="s">
        <v>182</v>
      </c>
      <c r="H157" t="s">
        <v>183</v>
      </c>
      <c r="I157" s="6" t="s">
        <v>136</v>
      </c>
      <c r="J157" s="6">
        <v>1</v>
      </c>
      <c r="L157" s="15">
        <v>1</v>
      </c>
      <c r="M157" s="7">
        <v>46014</v>
      </c>
      <c r="N157" s="7">
        <v>46031</v>
      </c>
      <c r="O157" s="7">
        <v>46030</v>
      </c>
      <c r="P157" s="7">
        <v>46030</v>
      </c>
      <c r="R157" s="6" t="s">
        <v>516</v>
      </c>
      <c r="S157" s="6" t="s">
        <v>182</v>
      </c>
      <c r="U157" s="6" t="s">
        <v>464</v>
      </c>
      <c r="V157" s="6" t="str">
        <f t="shared" si="69"/>
        <v>26/01</v>
      </c>
      <c r="W157">
        <v>1461</v>
      </c>
      <c r="AB157">
        <v>599</v>
      </c>
      <c r="AD157">
        <v>546</v>
      </c>
      <c r="AI157" s="23">
        <v>0</v>
      </c>
      <c r="AJ157" s="23">
        <v>0</v>
      </c>
      <c r="AK157" s="23">
        <v>0</v>
      </c>
      <c r="AL157" s="23">
        <v>0</v>
      </c>
      <c r="AM157" s="23">
        <v>0</v>
      </c>
      <c r="AN157" s="23">
        <v>0</v>
      </c>
      <c r="AO157" s="23">
        <v>0</v>
      </c>
      <c r="AP157" s="23">
        <v>0</v>
      </c>
      <c r="AQ157" s="23">
        <v>0</v>
      </c>
      <c r="AR157" s="23">
        <v>0</v>
      </c>
      <c r="AS157" s="23">
        <v>0</v>
      </c>
      <c r="AT157" s="23">
        <v>0</v>
      </c>
      <c r="AU157" s="23">
        <v>0</v>
      </c>
      <c r="AV157" s="23">
        <v>0</v>
      </c>
      <c r="AW157" s="23">
        <v>0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3">
        <v>0</v>
      </c>
      <c r="BD157" s="23">
        <v>0</v>
      </c>
      <c r="BE157" s="23">
        <v>0</v>
      </c>
      <c r="BF157" s="23">
        <v>0</v>
      </c>
      <c r="BG157" s="23">
        <v>1</v>
      </c>
      <c r="BH157" s="23">
        <v>1</v>
      </c>
      <c r="BI157" s="23">
        <v>1</v>
      </c>
      <c r="BJ157" s="23">
        <v>1</v>
      </c>
      <c r="BK157" s="23">
        <v>1</v>
      </c>
      <c r="BL157" s="23">
        <v>1</v>
      </c>
      <c r="BM157" s="23">
        <v>1</v>
      </c>
      <c r="BN157" s="23">
        <v>1</v>
      </c>
      <c r="BO157" s="23">
        <v>0</v>
      </c>
      <c r="BP157" s="23">
        <f t="shared" si="70"/>
        <v>0</v>
      </c>
      <c r="BQ157" s="23">
        <f t="shared" si="71"/>
        <v>0</v>
      </c>
      <c r="BR157" s="23">
        <f t="shared" si="72"/>
        <v>0</v>
      </c>
      <c r="BS157" s="23">
        <f t="shared" si="73"/>
        <v>0</v>
      </c>
      <c r="BT157" s="23">
        <f t="shared" si="74"/>
        <v>0</v>
      </c>
      <c r="BU157" s="23">
        <f t="shared" si="75"/>
        <v>0</v>
      </c>
      <c r="BV157" s="23">
        <f t="shared" si="76"/>
        <v>0</v>
      </c>
      <c r="BW157" s="23">
        <f t="shared" si="77"/>
        <v>0</v>
      </c>
      <c r="BX157" s="23">
        <f t="shared" si="78"/>
        <v>0</v>
      </c>
      <c r="BY157" s="23">
        <f t="shared" si="79"/>
        <v>0</v>
      </c>
      <c r="BZ157" s="23">
        <f t="shared" si="80"/>
        <v>0</v>
      </c>
      <c r="CA157" s="23">
        <f t="shared" si="81"/>
        <v>0</v>
      </c>
      <c r="CB157" s="23">
        <f t="shared" si="82"/>
        <v>0</v>
      </c>
      <c r="CC157" s="23">
        <f t="shared" si="83"/>
        <v>0</v>
      </c>
      <c r="CD157" s="23">
        <f t="shared" si="84"/>
        <v>0</v>
      </c>
      <c r="CE157" s="23">
        <f t="shared" si="85"/>
        <v>0</v>
      </c>
      <c r="CF157" s="23">
        <f t="shared" si="86"/>
        <v>0</v>
      </c>
      <c r="CG157" s="23">
        <f t="shared" si="87"/>
        <v>0</v>
      </c>
      <c r="CH157" s="23">
        <f t="shared" si="88"/>
        <v>0</v>
      </c>
      <c r="CI157" s="23">
        <f t="shared" si="89"/>
        <v>0</v>
      </c>
      <c r="CJ157" s="23">
        <f t="shared" si="90"/>
        <v>0</v>
      </c>
      <c r="CK157" s="23">
        <f t="shared" si="91"/>
        <v>0</v>
      </c>
      <c r="CL157" s="23">
        <f t="shared" si="92"/>
        <v>0</v>
      </c>
      <c r="CM157" s="23">
        <f t="shared" si="93"/>
        <v>0</v>
      </c>
      <c r="CN157" s="23">
        <f t="shared" si="94"/>
        <v>1</v>
      </c>
      <c r="CO157" s="23">
        <f t="shared" si="95"/>
        <v>1</v>
      </c>
      <c r="CP157" s="23">
        <f t="shared" si="96"/>
        <v>1</v>
      </c>
      <c r="CQ157" s="23">
        <f t="shared" si="97"/>
        <v>1</v>
      </c>
      <c r="CR157" s="23">
        <f t="shared" si="98"/>
        <v>1</v>
      </c>
      <c r="CS157" s="23">
        <f t="shared" si="99"/>
        <v>1</v>
      </c>
      <c r="CT157" s="23">
        <f t="shared" si="100"/>
        <v>1</v>
      </c>
      <c r="CU157" s="23">
        <f t="shared" si="101"/>
        <v>1</v>
      </c>
      <c r="CV157" s="23">
        <f t="shared" si="102"/>
        <v>0</v>
      </c>
    </row>
    <row r="158" spans="1:100" ht="13.5">
      <c r="A158" s="15">
        <v>76</v>
      </c>
      <c r="B158" s="27" t="s">
        <v>517</v>
      </c>
      <c r="C158" t="s">
        <v>180</v>
      </c>
      <c r="E158" t="s">
        <v>182</v>
      </c>
      <c r="F158" t="s">
        <v>181</v>
      </c>
      <c r="G158" t="s">
        <v>182</v>
      </c>
      <c r="H158" t="s">
        <v>183</v>
      </c>
      <c r="I158" s="6" t="s">
        <v>136</v>
      </c>
      <c r="J158" s="6">
        <v>1</v>
      </c>
      <c r="L158" s="15">
        <v>1</v>
      </c>
      <c r="M158" s="7">
        <v>46014</v>
      </c>
      <c r="N158" s="7">
        <v>46031</v>
      </c>
      <c r="O158" s="7">
        <v>46030</v>
      </c>
      <c r="P158" s="7">
        <v>46030</v>
      </c>
      <c r="R158" s="6" t="s">
        <v>518</v>
      </c>
      <c r="S158" s="6" t="s">
        <v>182</v>
      </c>
      <c r="U158" s="6" t="s">
        <v>464</v>
      </c>
      <c r="V158" s="6" t="str">
        <f t="shared" si="69"/>
        <v>26/01</v>
      </c>
      <c r="W158">
        <v>1462</v>
      </c>
      <c r="AB158">
        <v>600</v>
      </c>
      <c r="AD158">
        <v>547</v>
      </c>
      <c r="AI158" s="23">
        <v>0</v>
      </c>
      <c r="AJ158" s="23">
        <v>0</v>
      </c>
      <c r="AK158" s="23">
        <v>0</v>
      </c>
      <c r="AL158" s="23">
        <v>0</v>
      </c>
      <c r="AM158" s="23">
        <v>0</v>
      </c>
      <c r="AN158" s="23">
        <v>0</v>
      </c>
      <c r="AO158" s="23">
        <v>0</v>
      </c>
      <c r="AP158" s="23">
        <v>0</v>
      </c>
      <c r="AQ158" s="23">
        <v>0</v>
      </c>
      <c r="AR158" s="23">
        <v>0</v>
      </c>
      <c r="AS158" s="23">
        <v>0</v>
      </c>
      <c r="AT158" s="23">
        <v>0</v>
      </c>
      <c r="AU158" s="23">
        <v>0</v>
      </c>
      <c r="AV158" s="23">
        <v>0</v>
      </c>
      <c r="AW158" s="23">
        <v>0</v>
      </c>
      <c r="AX158" s="23">
        <v>0</v>
      </c>
      <c r="AY158" s="23">
        <v>0</v>
      </c>
      <c r="AZ158" s="23">
        <v>0</v>
      </c>
      <c r="BA158" s="23">
        <v>0</v>
      </c>
      <c r="BB158" s="23">
        <v>0</v>
      </c>
      <c r="BC158" s="23">
        <v>0</v>
      </c>
      <c r="BD158" s="23">
        <v>0</v>
      </c>
      <c r="BE158" s="23">
        <v>0</v>
      </c>
      <c r="BF158" s="23">
        <v>0</v>
      </c>
      <c r="BG158" s="23">
        <v>1</v>
      </c>
      <c r="BH158" s="23">
        <v>1</v>
      </c>
      <c r="BI158" s="23">
        <v>1</v>
      </c>
      <c r="BJ158" s="23">
        <v>1</v>
      </c>
      <c r="BK158" s="23">
        <v>1</v>
      </c>
      <c r="BL158" s="23">
        <v>1</v>
      </c>
      <c r="BM158" s="23">
        <v>1</v>
      </c>
      <c r="BN158" s="23">
        <v>1</v>
      </c>
      <c r="BO158" s="23">
        <v>0</v>
      </c>
      <c r="BP158" s="23">
        <f t="shared" si="70"/>
        <v>0</v>
      </c>
      <c r="BQ158" s="23">
        <f t="shared" si="71"/>
        <v>0</v>
      </c>
      <c r="BR158" s="23">
        <f t="shared" si="72"/>
        <v>0</v>
      </c>
      <c r="BS158" s="23">
        <f t="shared" si="73"/>
        <v>0</v>
      </c>
      <c r="BT158" s="23">
        <f t="shared" si="74"/>
        <v>0</v>
      </c>
      <c r="BU158" s="23">
        <f t="shared" si="75"/>
        <v>0</v>
      </c>
      <c r="BV158" s="23">
        <f t="shared" si="76"/>
        <v>0</v>
      </c>
      <c r="BW158" s="23">
        <f t="shared" si="77"/>
        <v>0</v>
      </c>
      <c r="BX158" s="23">
        <f t="shared" si="78"/>
        <v>0</v>
      </c>
      <c r="BY158" s="23">
        <f t="shared" si="79"/>
        <v>0</v>
      </c>
      <c r="BZ158" s="23">
        <f t="shared" si="80"/>
        <v>0</v>
      </c>
      <c r="CA158" s="23">
        <f t="shared" si="81"/>
        <v>0</v>
      </c>
      <c r="CB158" s="23">
        <f t="shared" si="82"/>
        <v>0</v>
      </c>
      <c r="CC158" s="23">
        <f t="shared" si="83"/>
        <v>0</v>
      </c>
      <c r="CD158" s="23">
        <f t="shared" si="84"/>
        <v>0</v>
      </c>
      <c r="CE158" s="23">
        <f t="shared" si="85"/>
        <v>0</v>
      </c>
      <c r="CF158" s="23">
        <f t="shared" si="86"/>
        <v>0</v>
      </c>
      <c r="CG158" s="23">
        <f t="shared" si="87"/>
        <v>0</v>
      </c>
      <c r="CH158" s="23">
        <f t="shared" si="88"/>
        <v>0</v>
      </c>
      <c r="CI158" s="23">
        <f t="shared" si="89"/>
        <v>0</v>
      </c>
      <c r="CJ158" s="23">
        <f t="shared" si="90"/>
        <v>0</v>
      </c>
      <c r="CK158" s="23">
        <f t="shared" si="91"/>
        <v>0</v>
      </c>
      <c r="CL158" s="23">
        <f t="shared" si="92"/>
        <v>0</v>
      </c>
      <c r="CM158" s="23">
        <f t="shared" si="93"/>
        <v>0</v>
      </c>
      <c r="CN158" s="23">
        <f t="shared" si="94"/>
        <v>1</v>
      </c>
      <c r="CO158" s="23">
        <f t="shared" si="95"/>
        <v>1</v>
      </c>
      <c r="CP158" s="23">
        <f t="shared" si="96"/>
        <v>1</v>
      </c>
      <c r="CQ158" s="23">
        <f t="shared" si="97"/>
        <v>1</v>
      </c>
      <c r="CR158" s="23">
        <f t="shared" si="98"/>
        <v>1</v>
      </c>
      <c r="CS158" s="23">
        <f t="shared" si="99"/>
        <v>1</v>
      </c>
      <c r="CT158" s="23">
        <f t="shared" si="100"/>
        <v>1</v>
      </c>
      <c r="CU158" s="23">
        <f t="shared" si="101"/>
        <v>1</v>
      </c>
      <c r="CV158" s="23">
        <f t="shared" si="102"/>
        <v>0</v>
      </c>
    </row>
    <row r="159" spans="1:100" ht="13.5">
      <c r="A159" s="15">
        <v>79</v>
      </c>
      <c r="B159" s="27" t="s">
        <v>519</v>
      </c>
      <c r="C159" t="s">
        <v>180</v>
      </c>
      <c r="E159" t="s">
        <v>182</v>
      </c>
      <c r="F159" t="s">
        <v>181</v>
      </c>
      <c r="G159" t="s">
        <v>182</v>
      </c>
      <c r="H159" t="s">
        <v>183</v>
      </c>
      <c r="I159" s="6" t="s">
        <v>136</v>
      </c>
      <c r="J159" s="6">
        <v>1</v>
      </c>
      <c r="L159" s="15">
        <v>1</v>
      </c>
      <c r="M159" s="7">
        <v>46014</v>
      </c>
      <c r="N159" s="7">
        <v>46031</v>
      </c>
      <c r="O159" s="7">
        <v>46030</v>
      </c>
      <c r="P159" s="7">
        <v>46030</v>
      </c>
      <c r="R159" s="6" t="s">
        <v>520</v>
      </c>
      <c r="S159" s="6" t="s">
        <v>182</v>
      </c>
      <c r="U159" s="6" t="s">
        <v>464</v>
      </c>
      <c r="V159" s="6" t="str">
        <f t="shared" si="69"/>
        <v>26/01</v>
      </c>
      <c r="W159">
        <v>1463</v>
      </c>
      <c r="AB159">
        <v>601</v>
      </c>
      <c r="AD159">
        <v>548</v>
      </c>
      <c r="AI159" s="23">
        <v>0</v>
      </c>
      <c r="AJ159" s="23">
        <v>0</v>
      </c>
      <c r="AK159" s="23">
        <v>0</v>
      </c>
      <c r="AL159" s="23">
        <v>0</v>
      </c>
      <c r="AM159" s="23">
        <v>0</v>
      </c>
      <c r="AN159" s="23">
        <v>0</v>
      </c>
      <c r="AO159" s="23">
        <v>0</v>
      </c>
      <c r="AP159" s="23">
        <v>0</v>
      </c>
      <c r="AQ159" s="23">
        <v>0</v>
      </c>
      <c r="AR159" s="23">
        <v>0</v>
      </c>
      <c r="AS159" s="23">
        <v>0</v>
      </c>
      <c r="AT159" s="23">
        <v>0</v>
      </c>
      <c r="AU159" s="23">
        <v>0</v>
      </c>
      <c r="AV159" s="23">
        <v>0</v>
      </c>
      <c r="AW159" s="23">
        <v>0</v>
      </c>
      <c r="AX159" s="23">
        <v>0</v>
      </c>
      <c r="AY159" s="23">
        <v>0</v>
      </c>
      <c r="AZ159" s="23">
        <v>0</v>
      </c>
      <c r="BA159" s="23">
        <v>0</v>
      </c>
      <c r="BB159" s="23">
        <v>0</v>
      </c>
      <c r="BC159" s="23">
        <v>0</v>
      </c>
      <c r="BD159" s="23">
        <v>0</v>
      </c>
      <c r="BE159" s="23">
        <v>0</v>
      </c>
      <c r="BF159" s="23">
        <v>0</v>
      </c>
      <c r="BG159" s="23">
        <v>1</v>
      </c>
      <c r="BH159" s="23">
        <v>1</v>
      </c>
      <c r="BI159" s="23">
        <v>1</v>
      </c>
      <c r="BJ159" s="23">
        <v>1</v>
      </c>
      <c r="BK159" s="23">
        <v>1</v>
      </c>
      <c r="BL159" s="23">
        <v>1</v>
      </c>
      <c r="BM159" s="23">
        <v>1</v>
      </c>
      <c r="BN159" s="23">
        <v>1</v>
      </c>
      <c r="BO159" s="23">
        <v>0</v>
      </c>
      <c r="BP159" s="23">
        <f t="shared" si="70"/>
        <v>0</v>
      </c>
      <c r="BQ159" s="23">
        <f t="shared" si="71"/>
        <v>0</v>
      </c>
      <c r="BR159" s="23">
        <f t="shared" si="72"/>
        <v>0</v>
      </c>
      <c r="BS159" s="23">
        <f t="shared" si="73"/>
        <v>0</v>
      </c>
      <c r="BT159" s="23">
        <f t="shared" si="74"/>
        <v>0</v>
      </c>
      <c r="BU159" s="23">
        <f t="shared" si="75"/>
        <v>0</v>
      </c>
      <c r="BV159" s="23">
        <f t="shared" si="76"/>
        <v>0</v>
      </c>
      <c r="BW159" s="23">
        <f t="shared" si="77"/>
        <v>0</v>
      </c>
      <c r="BX159" s="23">
        <f t="shared" si="78"/>
        <v>0</v>
      </c>
      <c r="BY159" s="23">
        <f t="shared" si="79"/>
        <v>0</v>
      </c>
      <c r="BZ159" s="23">
        <f t="shared" si="80"/>
        <v>0</v>
      </c>
      <c r="CA159" s="23">
        <f t="shared" si="81"/>
        <v>0</v>
      </c>
      <c r="CB159" s="23">
        <f t="shared" si="82"/>
        <v>0</v>
      </c>
      <c r="CC159" s="23">
        <f t="shared" si="83"/>
        <v>0</v>
      </c>
      <c r="CD159" s="23">
        <f t="shared" si="84"/>
        <v>0</v>
      </c>
      <c r="CE159" s="23">
        <f t="shared" si="85"/>
        <v>0</v>
      </c>
      <c r="CF159" s="23">
        <f t="shared" si="86"/>
        <v>0</v>
      </c>
      <c r="CG159" s="23">
        <f t="shared" si="87"/>
        <v>0</v>
      </c>
      <c r="CH159" s="23">
        <f t="shared" si="88"/>
        <v>0</v>
      </c>
      <c r="CI159" s="23">
        <f t="shared" si="89"/>
        <v>0</v>
      </c>
      <c r="CJ159" s="23">
        <f t="shared" si="90"/>
        <v>0</v>
      </c>
      <c r="CK159" s="23">
        <f t="shared" si="91"/>
        <v>0</v>
      </c>
      <c r="CL159" s="23">
        <f t="shared" si="92"/>
        <v>0</v>
      </c>
      <c r="CM159" s="23">
        <f t="shared" si="93"/>
        <v>0</v>
      </c>
      <c r="CN159" s="23">
        <f t="shared" si="94"/>
        <v>1</v>
      </c>
      <c r="CO159" s="23">
        <f t="shared" si="95"/>
        <v>1</v>
      </c>
      <c r="CP159" s="23">
        <f t="shared" si="96"/>
        <v>1</v>
      </c>
      <c r="CQ159" s="23">
        <f t="shared" si="97"/>
        <v>1</v>
      </c>
      <c r="CR159" s="23">
        <f t="shared" si="98"/>
        <v>1</v>
      </c>
      <c r="CS159" s="23">
        <f t="shared" si="99"/>
        <v>1</v>
      </c>
      <c r="CT159" s="23">
        <f t="shared" si="100"/>
        <v>1</v>
      </c>
      <c r="CU159" s="23">
        <f t="shared" si="101"/>
        <v>1</v>
      </c>
      <c r="CV159" s="23">
        <f t="shared" si="102"/>
        <v>0</v>
      </c>
    </row>
    <row r="160" spans="1:100" ht="13.5">
      <c r="A160" s="15">
        <v>82</v>
      </c>
      <c r="B160" s="27" t="s">
        <v>521</v>
      </c>
      <c r="C160" t="s">
        <v>180</v>
      </c>
      <c r="E160" t="s">
        <v>182</v>
      </c>
      <c r="F160" t="s">
        <v>181</v>
      </c>
      <c r="G160" t="s">
        <v>182</v>
      </c>
      <c r="H160" t="s">
        <v>183</v>
      </c>
      <c r="I160" s="6" t="s">
        <v>136</v>
      </c>
      <c r="J160" s="6">
        <v>1</v>
      </c>
      <c r="L160" s="15">
        <v>1</v>
      </c>
      <c r="M160" s="7">
        <v>46015</v>
      </c>
      <c r="N160" s="7">
        <v>46035</v>
      </c>
      <c r="O160" s="7">
        <v>46031</v>
      </c>
      <c r="P160" s="7">
        <v>46031</v>
      </c>
      <c r="R160" s="6" t="s">
        <v>522</v>
      </c>
      <c r="S160" s="6" t="s">
        <v>182</v>
      </c>
      <c r="U160" s="6" t="s">
        <v>464</v>
      </c>
      <c r="V160" s="6" t="str">
        <f t="shared" si="69"/>
        <v>26/01</v>
      </c>
      <c r="W160">
        <v>1464</v>
      </c>
      <c r="AB160">
        <v>602</v>
      </c>
      <c r="AD160">
        <v>549</v>
      </c>
      <c r="AI160" s="23">
        <v>0</v>
      </c>
      <c r="AJ160" s="23">
        <v>0</v>
      </c>
      <c r="AK160" s="23">
        <v>0</v>
      </c>
      <c r="AL160" s="23">
        <v>0</v>
      </c>
      <c r="AM160" s="23">
        <v>0</v>
      </c>
      <c r="AN160" s="23">
        <v>0</v>
      </c>
      <c r="AO160" s="23">
        <v>0</v>
      </c>
      <c r="AP160" s="23">
        <v>0</v>
      </c>
      <c r="AQ160" s="23">
        <v>0</v>
      </c>
      <c r="AR160" s="23">
        <v>0</v>
      </c>
      <c r="AS160" s="23">
        <v>0</v>
      </c>
      <c r="AT160" s="23">
        <v>0</v>
      </c>
      <c r="AU160" s="23">
        <v>0</v>
      </c>
      <c r="AV160" s="23">
        <v>0</v>
      </c>
      <c r="AW160" s="23">
        <v>0</v>
      </c>
      <c r="AX160" s="23">
        <v>0</v>
      </c>
      <c r="AY160" s="23">
        <v>0</v>
      </c>
      <c r="AZ160" s="23">
        <v>0</v>
      </c>
      <c r="BA160" s="23">
        <v>0</v>
      </c>
      <c r="BB160" s="23">
        <v>0</v>
      </c>
      <c r="BC160" s="23">
        <v>0</v>
      </c>
      <c r="BD160" s="23">
        <v>0</v>
      </c>
      <c r="BE160" s="23">
        <v>0</v>
      </c>
      <c r="BF160" s="23">
        <v>0</v>
      </c>
      <c r="BG160" s="23">
        <v>1</v>
      </c>
      <c r="BH160" s="23">
        <v>1</v>
      </c>
      <c r="BI160" s="23">
        <v>1</v>
      </c>
      <c r="BJ160" s="23">
        <v>1</v>
      </c>
      <c r="BK160" s="23">
        <v>1</v>
      </c>
      <c r="BL160" s="23">
        <v>1</v>
      </c>
      <c r="BM160" s="23">
        <v>1</v>
      </c>
      <c r="BN160" s="23">
        <v>1</v>
      </c>
      <c r="BO160" s="23">
        <v>0</v>
      </c>
      <c r="BP160" s="23">
        <f t="shared" si="70"/>
        <v>0</v>
      </c>
      <c r="BQ160" s="23">
        <f t="shared" si="71"/>
        <v>0</v>
      </c>
      <c r="BR160" s="23">
        <f t="shared" si="72"/>
        <v>0</v>
      </c>
      <c r="BS160" s="23">
        <f t="shared" si="73"/>
        <v>0</v>
      </c>
      <c r="BT160" s="23">
        <f t="shared" si="74"/>
        <v>0</v>
      </c>
      <c r="BU160" s="23">
        <f t="shared" si="75"/>
        <v>0</v>
      </c>
      <c r="BV160" s="23">
        <f t="shared" si="76"/>
        <v>0</v>
      </c>
      <c r="BW160" s="23">
        <f t="shared" si="77"/>
        <v>0</v>
      </c>
      <c r="BX160" s="23">
        <f t="shared" si="78"/>
        <v>0</v>
      </c>
      <c r="BY160" s="23">
        <f t="shared" si="79"/>
        <v>0</v>
      </c>
      <c r="BZ160" s="23">
        <f t="shared" si="80"/>
        <v>0</v>
      </c>
      <c r="CA160" s="23">
        <f t="shared" si="81"/>
        <v>0</v>
      </c>
      <c r="CB160" s="23">
        <f t="shared" si="82"/>
        <v>0</v>
      </c>
      <c r="CC160" s="23">
        <f t="shared" si="83"/>
        <v>0</v>
      </c>
      <c r="CD160" s="23">
        <f t="shared" si="84"/>
        <v>0</v>
      </c>
      <c r="CE160" s="23">
        <f t="shared" si="85"/>
        <v>0</v>
      </c>
      <c r="CF160" s="23">
        <f t="shared" si="86"/>
        <v>0</v>
      </c>
      <c r="CG160" s="23">
        <f t="shared" si="87"/>
        <v>0</v>
      </c>
      <c r="CH160" s="23">
        <f t="shared" si="88"/>
        <v>0</v>
      </c>
      <c r="CI160" s="23">
        <f t="shared" si="89"/>
        <v>0</v>
      </c>
      <c r="CJ160" s="23">
        <f t="shared" si="90"/>
        <v>0</v>
      </c>
      <c r="CK160" s="23">
        <f t="shared" si="91"/>
        <v>0</v>
      </c>
      <c r="CL160" s="23">
        <f t="shared" si="92"/>
        <v>0</v>
      </c>
      <c r="CM160" s="23">
        <f t="shared" si="93"/>
        <v>0</v>
      </c>
      <c r="CN160" s="23">
        <f t="shared" si="94"/>
        <v>1</v>
      </c>
      <c r="CO160" s="23">
        <f t="shared" si="95"/>
        <v>1</v>
      </c>
      <c r="CP160" s="23">
        <f t="shared" si="96"/>
        <v>1</v>
      </c>
      <c r="CQ160" s="23">
        <f t="shared" si="97"/>
        <v>1</v>
      </c>
      <c r="CR160" s="23">
        <f t="shared" si="98"/>
        <v>1</v>
      </c>
      <c r="CS160" s="23">
        <f t="shared" si="99"/>
        <v>1</v>
      </c>
      <c r="CT160" s="23">
        <f t="shared" si="100"/>
        <v>1</v>
      </c>
      <c r="CU160" s="23">
        <f t="shared" si="101"/>
        <v>1</v>
      </c>
      <c r="CV160" s="23">
        <f t="shared" si="102"/>
        <v>0</v>
      </c>
    </row>
    <row r="161" spans="1:100" ht="13.5">
      <c r="A161" s="15">
        <v>81</v>
      </c>
      <c r="B161" s="27" t="s">
        <v>523</v>
      </c>
      <c r="C161" t="s">
        <v>180</v>
      </c>
      <c r="E161" t="s">
        <v>182</v>
      </c>
      <c r="F161" t="s">
        <v>181</v>
      </c>
      <c r="G161" t="s">
        <v>182</v>
      </c>
      <c r="H161" t="s">
        <v>183</v>
      </c>
      <c r="I161" s="6" t="s">
        <v>136</v>
      </c>
      <c r="J161" s="6">
        <v>1</v>
      </c>
      <c r="L161" s="15">
        <v>1</v>
      </c>
      <c r="M161" s="7">
        <v>46015</v>
      </c>
      <c r="N161" s="7">
        <v>46035</v>
      </c>
      <c r="O161" s="7">
        <v>46031</v>
      </c>
      <c r="P161" s="7">
        <v>46031</v>
      </c>
      <c r="R161" s="6" t="s">
        <v>524</v>
      </c>
      <c r="S161" s="6" t="s">
        <v>182</v>
      </c>
      <c r="U161" s="6" t="s">
        <v>464</v>
      </c>
      <c r="V161" s="6" t="str">
        <f t="shared" si="69"/>
        <v>26/01</v>
      </c>
      <c r="W161">
        <v>1465</v>
      </c>
      <c r="AB161">
        <v>603</v>
      </c>
      <c r="AD161">
        <v>550</v>
      </c>
      <c r="AI161" s="23">
        <v>0</v>
      </c>
      <c r="AJ161" s="23">
        <v>0</v>
      </c>
      <c r="AK161" s="23">
        <v>0</v>
      </c>
      <c r="AL161" s="23">
        <v>0</v>
      </c>
      <c r="AM161" s="23">
        <v>0</v>
      </c>
      <c r="AN161" s="23">
        <v>0</v>
      </c>
      <c r="AO161" s="23">
        <v>0</v>
      </c>
      <c r="AP161" s="23">
        <v>0</v>
      </c>
      <c r="AQ161" s="23">
        <v>0</v>
      </c>
      <c r="AR161" s="23">
        <v>0</v>
      </c>
      <c r="AS161" s="23">
        <v>0</v>
      </c>
      <c r="AT161" s="23">
        <v>0</v>
      </c>
      <c r="AU161" s="23">
        <v>0</v>
      </c>
      <c r="AV161" s="23">
        <v>0</v>
      </c>
      <c r="AW161" s="23">
        <v>0</v>
      </c>
      <c r="AX161" s="23">
        <v>0</v>
      </c>
      <c r="AY161" s="23">
        <v>0</v>
      </c>
      <c r="AZ161" s="23">
        <v>0</v>
      </c>
      <c r="BA161" s="23">
        <v>0</v>
      </c>
      <c r="BB161" s="23">
        <v>0</v>
      </c>
      <c r="BC161" s="23">
        <v>0</v>
      </c>
      <c r="BD161" s="23">
        <v>0</v>
      </c>
      <c r="BE161" s="23">
        <v>0</v>
      </c>
      <c r="BF161" s="23">
        <v>0</v>
      </c>
      <c r="BG161" s="23">
        <v>1</v>
      </c>
      <c r="BH161" s="23">
        <v>1</v>
      </c>
      <c r="BI161" s="23">
        <v>1</v>
      </c>
      <c r="BJ161" s="23">
        <v>1</v>
      </c>
      <c r="BK161" s="23">
        <v>1</v>
      </c>
      <c r="BL161" s="23">
        <v>1</v>
      </c>
      <c r="BM161" s="23">
        <v>1</v>
      </c>
      <c r="BN161" s="23">
        <v>1</v>
      </c>
      <c r="BO161" s="23">
        <v>0</v>
      </c>
      <c r="BP161" s="23">
        <f t="shared" si="70"/>
        <v>0</v>
      </c>
      <c r="BQ161" s="23">
        <f t="shared" si="71"/>
        <v>0</v>
      </c>
      <c r="BR161" s="23">
        <f t="shared" si="72"/>
        <v>0</v>
      </c>
      <c r="BS161" s="23">
        <f t="shared" si="73"/>
        <v>0</v>
      </c>
      <c r="BT161" s="23">
        <f t="shared" si="74"/>
        <v>0</v>
      </c>
      <c r="BU161" s="23">
        <f t="shared" si="75"/>
        <v>0</v>
      </c>
      <c r="BV161" s="23">
        <f t="shared" si="76"/>
        <v>0</v>
      </c>
      <c r="BW161" s="23">
        <f t="shared" si="77"/>
        <v>0</v>
      </c>
      <c r="BX161" s="23">
        <f t="shared" si="78"/>
        <v>0</v>
      </c>
      <c r="BY161" s="23">
        <f t="shared" si="79"/>
        <v>0</v>
      </c>
      <c r="BZ161" s="23">
        <f t="shared" si="80"/>
        <v>0</v>
      </c>
      <c r="CA161" s="23">
        <f t="shared" si="81"/>
        <v>0</v>
      </c>
      <c r="CB161" s="23">
        <f t="shared" si="82"/>
        <v>0</v>
      </c>
      <c r="CC161" s="23">
        <f t="shared" si="83"/>
        <v>0</v>
      </c>
      <c r="CD161" s="23">
        <f t="shared" si="84"/>
        <v>0</v>
      </c>
      <c r="CE161" s="23">
        <f t="shared" si="85"/>
        <v>0</v>
      </c>
      <c r="CF161" s="23">
        <f t="shared" si="86"/>
        <v>0</v>
      </c>
      <c r="CG161" s="23">
        <f t="shared" si="87"/>
        <v>0</v>
      </c>
      <c r="CH161" s="23">
        <f t="shared" si="88"/>
        <v>0</v>
      </c>
      <c r="CI161" s="23">
        <f t="shared" si="89"/>
        <v>0</v>
      </c>
      <c r="CJ161" s="23">
        <f t="shared" si="90"/>
        <v>0</v>
      </c>
      <c r="CK161" s="23">
        <f t="shared" si="91"/>
        <v>0</v>
      </c>
      <c r="CL161" s="23">
        <f t="shared" si="92"/>
        <v>0</v>
      </c>
      <c r="CM161" s="23">
        <f t="shared" si="93"/>
        <v>0</v>
      </c>
      <c r="CN161" s="23">
        <f t="shared" si="94"/>
        <v>1</v>
      </c>
      <c r="CO161" s="23">
        <f t="shared" si="95"/>
        <v>1</v>
      </c>
      <c r="CP161" s="23">
        <f t="shared" si="96"/>
        <v>1</v>
      </c>
      <c r="CQ161" s="23">
        <f t="shared" si="97"/>
        <v>1</v>
      </c>
      <c r="CR161" s="23">
        <f t="shared" si="98"/>
        <v>1</v>
      </c>
      <c r="CS161" s="23">
        <f t="shared" si="99"/>
        <v>1</v>
      </c>
      <c r="CT161" s="23">
        <f t="shared" si="100"/>
        <v>1</v>
      </c>
      <c r="CU161" s="23">
        <f t="shared" si="101"/>
        <v>1</v>
      </c>
      <c r="CV161" s="23">
        <f t="shared" si="102"/>
        <v>0</v>
      </c>
    </row>
    <row r="162" spans="1:100" ht="13.5">
      <c r="A162" s="15">
        <v>83</v>
      </c>
      <c r="B162" s="27" t="s">
        <v>525</v>
      </c>
      <c r="C162" t="s">
        <v>180</v>
      </c>
      <c r="E162" t="s">
        <v>182</v>
      </c>
      <c r="F162" t="s">
        <v>181</v>
      </c>
      <c r="G162" t="s">
        <v>182</v>
      </c>
      <c r="H162" t="s">
        <v>183</v>
      </c>
      <c r="I162" s="6" t="s">
        <v>136</v>
      </c>
      <c r="J162" s="6">
        <v>1</v>
      </c>
      <c r="L162" s="15">
        <v>1</v>
      </c>
      <c r="M162" s="7">
        <v>46015</v>
      </c>
      <c r="N162" s="7">
        <v>46035</v>
      </c>
      <c r="O162" s="7">
        <v>46031</v>
      </c>
      <c r="P162" s="7">
        <v>46031</v>
      </c>
      <c r="R162" s="6" t="s">
        <v>526</v>
      </c>
      <c r="S162" s="6" t="s">
        <v>182</v>
      </c>
      <c r="U162" s="6" t="s">
        <v>464</v>
      </c>
      <c r="V162" s="6" t="str">
        <f t="shared" si="69"/>
        <v>26/01</v>
      </c>
      <c r="W162">
        <v>1466</v>
      </c>
      <c r="AB162">
        <v>604</v>
      </c>
      <c r="AD162">
        <v>551</v>
      </c>
      <c r="AI162" s="23">
        <v>0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  <c r="AO162" s="23">
        <v>0</v>
      </c>
      <c r="AP162" s="23">
        <v>0</v>
      </c>
      <c r="AQ162" s="23">
        <v>0</v>
      </c>
      <c r="AR162" s="23">
        <v>0</v>
      </c>
      <c r="AS162" s="23">
        <v>0</v>
      </c>
      <c r="AT162" s="23">
        <v>0</v>
      </c>
      <c r="AU162" s="23">
        <v>0</v>
      </c>
      <c r="AV162" s="23">
        <v>0</v>
      </c>
      <c r="AW162" s="23">
        <v>0</v>
      </c>
      <c r="AX162" s="23">
        <v>0</v>
      </c>
      <c r="AY162" s="23">
        <v>0</v>
      </c>
      <c r="AZ162" s="23">
        <v>0</v>
      </c>
      <c r="BA162" s="23">
        <v>0</v>
      </c>
      <c r="BB162" s="23">
        <v>0</v>
      </c>
      <c r="BC162" s="23">
        <v>0</v>
      </c>
      <c r="BD162" s="23">
        <v>0</v>
      </c>
      <c r="BE162" s="23">
        <v>0</v>
      </c>
      <c r="BF162" s="23">
        <v>0</v>
      </c>
      <c r="BG162" s="23">
        <v>1</v>
      </c>
      <c r="BH162" s="23">
        <v>1</v>
      </c>
      <c r="BI162" s="23">
        <v>1</v>
      </c>
      <c r="BJ162" s="23">
        <v>1</v>
      </c>
      <c r="BK162" s="23">
        <v>1</v>
      </c>
      <c r="BL162" s="23">
        <v>1</v>
      </c>
      <c r="BM162" s="23">
        <v>1</v>
      </c>
      <c r="BN162" s="23">
        <v>1</v>
      </c>
      <c r="BO162" s="23">
        <v>0</v>
      </c>
      <c r="BP162" s="23">
        <f t="shared" si="70"/>
        <v>0</v>
      </c>
      <c r="BQ162" s="23">
        <f t="shared" si="71"/>
        <v>0</v>
      </c>
      <c r="BR162" s="23">
        <f t="shared" si="72"/>
        <v>0</v>
      </c>
      <c r="BS162" s="23">
        <f t="shared" si="73"/>
        <v>0</v>
      </c>
      <c r="BT162" s="23">
        <f t="shared" si="74"/>
        <v>0</v>
      </c>
      <c r="BU162" s="23">
        <f t="shared" si="75"/>
        <v>0</v>
      </c>
      <c r="BV162" s="23">
        <f t="shared" si="76"/>
        <v>0</v>
      </c>
      <c r="BW162" s="23">
        <f t="shared" si="77"/>
        <v>0</v>
      </c>
      <c r="BX162" s="23">
        <f t="shared" si="78"/>
        <v>0</v>
      </c>
      <c r="BY162" s="23">
        <f t="shared" si="79"/>
        <v>0</v>
      </c>
      <c r="BZ162" s="23">
        <f t="shared" si="80"/>
        <v>0</v>
      </c>
      <c r="CA162" s="23">
        <f t="shared" si="81"/>
        <v>0</v>
      </c>
      <c r="CB162" s="23">
        <f t="shared" si="82"/>
        <v>0</v>
      </c>
      <c r="CC162" s="23">
        <f t="shared" si="83"/>
        <v>0</v>
      </c>
      <c r="CD162" s="23">
        <f t="shared" si="84"/>
        <v>0</v>
      </c>
      <c r="CE162" s="23">
        <f t="shared" si="85"/>
        <v>0</v>
      </c>
      <c r="CF162" s="23">
        <f t="shared" si="86"/>
        <v>0</v>
      </c>
      <c r="CG162" s="23">
        <f t="shared" si="87"/>
        <v>0</v>
      </c>
      <c r="CH162" s="23">
        <f t="shared" si="88"/>
        <v>0</v>
      </c>
      <c r="CI162" s="23">
        <f t="shared" si="89"/>
        <v>0</v>
      </c>
      <c r="CJ162" s="23">
        <f t="shared" si="90"/>
        <v>0</v>
      </c>
      <c r="CK162" s="23">
        <f t="shared" si="91"/>
        <v>0</v>
      </c>
      <c r="CL162" s="23">
        <f t="shared" si="92"/>
        <v>0</v>
      </c>
      <c r="CM162" s="23">
        <f t="shared" si="93"/>
        <v>0</v>
      </c>
      <c r="CN162" s="23">
        <f t="shared" si="94"/>
        <v>1</v>
      </c>
      <c r="CO162" s="23">
        <f t="shared" si="95"/>
        <v>1</v>
      </c>
      <c r="CP162" s="23">
        <f t="shared" si="96"/>
        <v>1</v>
      </c>
      <c r="CQ162" s="23">
        <f t="shared" si="97"/>
        <v>1</v>
      </c>
      <c r="CR162" s="23">
        <f t="shared" si="98"/>
        <v>1</v>
      </c>
      <c r="CS162" s="23">
        <f t="shared" si="99"/>
        <v>1</v>
      </c>
      <c r="CT162" s="23">
        <f t="shared" si="100"/>
        <v>1</v>
      </c>
      <c r="CU162" s="23">
        <f t="shared" si="101"/>
        <v>1</v>
      </c>
      <c r="CV162" s="23">
        <f t="shared" si="102"/>
        <v>0</v>
      </c>
    </row>
    <row r="163" spans="1:100" ht="13.5">
      <c r="A163" s="15">
        <v>84</v>
      </c>
      <c r="B163" s="27" t="s">
        <v>527</v>
      </c>
      <c r="C163" t="s">
        <v>180</v>
      </c>
      <c r="E163" t="s">
        <v>182</v>
      </c>
      <c r="F163" t="s">
        <v>181</v>
      </c>
      <c r="G163" t="s">
        <v>182</v>
      </c>
      <c r="H163" t="s">
        <v>183</v>
      </c>
      <c r="I163" s="6" t="s">
        <v>136</v>
      </c>
      <c r="J163" s="6">
        <v>1</v>
      </c>
      <c r="L163" s="15">
        <v>1</v>
      </c>
      <c r="M163" s="7">
        <v>46015</v>
      </c>
      <c r="N163" s="7">
        <v>46035</v>
      </c>
      <c r="O163" s="7">
        <v>46031</v>
      </c>
      <c r="P163" s="7">
        <v>46031</v>
      </c>
      <c r="R163" s="6" t="s">
        <v>528</v>
      </c>
      <c r="S163" s="6" t="s">
        <v>182</v>
      </c>
      <c r="U163" s="6" t="s">
        <v>464</v>
      </c>
      <c r="V163" s="6" t="str">
        <f t="shared" si="69"/>
        <v>26/01</v>
      </c>
      <c r="W163">
        <v>1467</v>
      </c>
      <c r="AB163">
        <v>605</v>
      </c>
      <c r="AD163">
        <v>552</v>
      </c>
      <c r="AI163" s="23">
        <v>0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3">
        <v>0</v>
      </c>
      <c r="AS163" s="23">
        <v>0</v>
      </c>
      <c r="AT163" s="23">
        <v>0</v>
      </c>
      <c r="AU163" s="23">
        <v>0</v>
      </c>
      <c r="AV163" s="23">
        <v>0</v>
      </c>
      <c r="AW163" s="23">
        <v>0</v>
      </c>
      <c r="AX163" s="23">
        <v>0</v>
      </c>
      <c r="AY163" s="23">
        <v>0</v>
      </c>
      <c r="AZ163" s="23">
        <v>0</v>
      </c>
      <c r="BA163" s="23">
        <v>0</v>
      </c>
      <c r="BB163" s="23">
        <v>0</v>
      </c>
      <c r="BC163" s="23">
        <v>0</v>
      </c>
      <c r="BD163" s="23">
        <v>0</v>
      </c>
      <c r="BE163" s="23">
        <v>0</v>
      </c>
      <c r="BF163" s="23">
        <v>0</v>
      </c>
      <c r="BG163" s="23">
        <v>1</v>
      </c>
      <c r="BH163" s="23">
        <v>1</v>
      </c>
      <c r="BI163" s="23">
        <v>1</v>
      </c>
      <c r="BJ163" s="23">
        <v>1</v>
      </c>
      <c r="BK163" s="23">
        <v>1</v>
      </c>
      <c r="BL163" s="23">
        <v>1</v>
      </c>
      <c r="BM163" s="23">
        <v>1</v>
      </c>
      <c r="BN163" s="23">
        <v>1</v>
      </c>
      <c r="BO163" s="23">
        <v>0</v>
      </c>
      <c r="BP163" s="23">
        <f t="shared" si="70"/>
        <v>0</v>
      </c>
      <c r="BQ163" s="23">
        <f t="shared" si="71"/>
        <v>0</v>
      </c>
      <c r="BR163" s="23">
        <f t="shared" si="72"/>
        <v>0</v>
      </c>
      <c r="BS163" s="23">
        <f t="shared" si="73"/>
        <v>0</v>
      </c>
      <c r="BT163" s="23">
        <f t="shared" si="74"/>
        <v>0</v>
      </c>
      <c r="BU163" s="23">
        <f t="shared" si="75"/>
        <v>0</v>
      </c>
      <c r="BV163" s="23">
        <f t="shared" si="76"/>
        <v>0</v>
      </c>
      <c r="BW163" s="23">
        <f t="shared" si="77"/>
        <v>0</v>
      </c>
      <c r="BX163" s="23">
        <f t="shared" si="78"/>
        <v>0</v>
      </c>
      <c r="BY163" s="23">
        <f t="shared" si="79"/>
        <v>0</v>
      </c>
      <c r="BZ163" s="23">
        <f t="shared" si="80"/>
        <v>0</v>
      </c>
      <c r="CA163" s="23">
        <f t="shared" si="81"/>
        <v>0</v>
      </c>
      <c r="CB163" s="23">
        <f t="shared" si="82"/>
        <v>0</v>
      </c>
      <c r="CC163" s="23">
        <f t="shared" si="83"/>
        <v>0</v>
      </c>
      <c r="CD163" s="23">
        <f t="shared" si="84"/>
        <v>0</v>
      </c>
      <c r="CE163" s="23">
        <f t="shared" si="85"/>
        <v>0</v>
      </c>
      <c r="CF163" s="23">
        <f t="shared" si="86"/>
        <v>0</v>
      </c>
      <c r="CG163" s="23">
        <f t="shared" si="87"/>
        <v>0</v>
      </c>
      <c r="CH163" s="23">
        <f t="shared" si="88"/>
        <v>0</v>
      </c>
      <c r="CI163" s="23">
        <f t="shared" si="89"/>
        <v>0</v>
      </c>
      <c r="CJ163" s="23">
        <f t="shared" si="90"/>
        <v>0</v>
      </c>
      <c r="CK163" s="23">
        <f t="shared" si="91"/>
        <v>0</v>
      </c>
      <c r="CL163" s="23">
        <f t="shared" si="92"/>
        <v>0</v>
      </c>
      <c r="CM163" s="23">
        <f t="shared" si="93"/>
        <v>0</v>
      </c>
      <c r="CN163" s="23">
        <f t="shared" si="94"/>
        <v>1</v>
      </c>
      <c r="CO163" s="23">
        <f t="shared" si="95"/>
        <v>1</v>
      </c>
      <c r="CP163" s="23">
        <f t="shared" si="96"/>
        <v>1</v>
      </c>
      <c r="CQ163" s="23">
        <f t="shared" si="97"/>
        <v>1</v>
      </c>
      <c r="CR163" s="23">
        <f t="shared" si="98"/>
        <v>1</v>
      </c>
      <c r="CS163" s="23">
        <f t="shared" si="99"/>
        <v>1</v>
      </c>
      <c r="CT163" s="23">
        <f t="shared" si="100"/>
        <v>1</v>
      </c>
      <c r="CU163" s="23">
        <f t="shared" si="101"/>
        <v>1</v>
      </c>
      <c r="CV163" s="23">
        <f t="shared" si="102"/>
        <v>0</v>
      </c>
    </row>
    <row r="164" spans="1:100" ht="13.5">
      <c r="A164" s="15">
        <v>91</v>
      </c>
      <c r="B164" s="27" t="s">
        <v>529</v>
      </c>
      <c r="C164" t="s">
        <v>180</v>
      </c>
      <c r="E164" t="s">
        <v>182</v>
      </c>
      <c r="F164" t="s">
        <v>181</v>
      </c>
      <c r="G164" t="s">
        <v>182</v>
      </c>
      <c r="H164" t="s">
        <v>183</v>
      </c>
      <c r="I164" s="6" t="s">
        <v>136</v>
      </c>
      <c r="J164" s="6">
        <v>1</v>
      </c>
      <c r="L164" s="15">
        <v>1</v>
      </c>
      <c r="M164" s="7">
        <v>46016</v>
      </c>
      <c r="N164" s="7">
        <v>46036</v>
      </c>
      <c r="O164" s="7">
        <v>46035</v>
      </c>
      <c r="P164" s="7">
        <v>46035</v>
      </c>
      <c r="R164" s="6" t="s">
        <v>530</v>
      </c>
      <c r="S164" s="6" t="s">
        <v>182</v>
      </c>
      <c r="U164" s="6" t="s">
        <v>464</v>
      </c>
      <c r="V164" s="6" t="str">
        <f t="shared" si="69"/>
        <v>26/01</v>
      </c>
      <c r="W164">
        <v>1468</v>
      </c>
      <c r="AB164">
        <v>606</v>
      </c>
      <c r="AD164">
        <v>553</v>
      </c>
      <c r="AI164" s="23">
        <v>0</v>
      </c>
      <c r="AJ164" s="23">
        <v>0</v>
      </c>
      <c r="AK164" s="23">
        <v>0</v>
      </c>
      <c r="AL164" s="23">
        <v>0</v>
      </c>
      <c r="AM164" s="23">
        <v>0</v>
      </c>
      <c r="AN164" s="23">
        <v>0</v>
      </c>
      <c r="AO164" s="23">
        <v>0</v>
      </c>
      <c r="AP164" s="23">
        <v>0</v>
      </c>
      <c r="AQ164" s="23">
        <v>0</v>
      </c>
      <c r="AR164" s="23">
        <v>0</v>
      </c>
      <c r="AS164" s="23">
        <v>0</v>
      </c>
      <c r="AT164" s="23">
        <v>0</v>
      </c>
      <c r="AU164" s="23">
        <v>0</v>
      </c>
      <c r="AV164" s="23">
        <v>0</v>
      </c>
      <c r="AW164" s="23">
        <v>0</v>
      </c>
      <c r="AX164" s="23">
        <v>0</v>
      </c>
      <c r="AY164" s="23">
        <v>0</v>
      </c>
      <c r="AZ164" s="23">
        <v>0</v>
      </c>
      <c r="BA164" s="23">
        <v>0</v>
      </c>
      <c r="BB164" s="23">
        <v>0</v>
      </c>
      <c r="BC164" s="23">
        <v>0</v>
      </c>
      <c r="BD164" s="23">
        <v>0</v>
      </c>
      <c r="BE164" s="23">
        <v>0</v>
      </c>
      <c r="BF164" s="23">
        <v>0</v>
      </c>
      <c r="BG164" s="23">
        <v>1</v>
      </c>
      <c r="BH164" s="23">
        <v>1</v>
      </c>
      <c r="BI164" s="23">
        <v>1</v>
      </c>
      <c r="BJ164" s="23">
        <v>1</v>
      </c>
      <c r="BK164" s="23">
        <v>1</v>
      </c>
      <c r="BL164" s="23">
        <v>1</v>
      </c>
      <c r="BM164" s="23">
        <v>1</v>
      </c>
      <c r="BN164" s="23">
        <v>1</v>
      </c>
      <c r="BO164" s="23">
        <v>0</v>
      </c>
      <c r="BP164" s="23">
        <f t="shared" si="70"/>
        <v>0</v>
      </c>
      <c r="BQ164" s="23">
        <f t="shared" si="71"/>
        <v>0</v>
      </c>
      <c r="BR164" s="23">
        <f t="shared" si="72"/>
        <v>0</v>
      </c>
      <c r="BS164" s="23">
        <f t="shared" si="73"/>
        <v>0</v>
      </c>
      <c r="BT164" s="23">
        <f t="shared" si="74"/>
        <v>0</v>
      </c>
      <c r="BU164" s="23">
        <f t="shared" si="75"/>
        <v>0</v>
      </c>
      <c r="BV164" s="23">
        <f t="shared" si="76"/>
        <v>0</v>
      </c>
      <c r="BW164" s="23">
        <f t="shared" si="77"/>
        <v>0</v>
      </c>
      <c r="BX164" s="23">
        <f t="shared" si="78"/>
        <v>0</v>
      </c>
      <c r="BY164" s="23">
        <f t="shared" si="79"/>
        <v>0</v>
      </c>
      <c r="BZ164" s="23">
        <f t="shared" si="80"/>
        <v>0</v>
      </c>
      <c r="CA164" s="23">
        <f t="shared" si="81"/>
        <v>0</v>
      </c>
      <c r="CB164" s="23">
        <f t="shared" si="82"/>
        <v>0</v>
      </c>
      <c r="CC164" s="23">
        <f t="shared" si="83"/>
        <v>0</v>
      </c>
      <c r="CD164" s="23">
        <f t="shared" si="84"/>
        <v>0</v>
      </c>
      <c r="CE164" s="23">
        <f t="shared" si="85"/>
        <v>0</v>
      </c>
      <c r="CF164" s="23">
        <f t="shared" si="86"/>
        <v>0</v>
      </c>
      <c r="CG164" s="23">
        <f t="shared" si="87"/>
        <v>0</v>
      </c>
      <c r="CH164" s="23">
        <f t="shared" si="88"/>
        <v>0</v>
      </c>
      <c r="CI164" s="23">
        <f t="shared" si="89"/>
        <v>0</v>
      </c>
      <c r="CJ164" s="23">
        <f t="shared" si="90"/>
        <v>0</v>
      </c>
      <c r="CK164" s="23">
        <f t="shared" si="91"/>
        <v>0</v>
      </c>
      <c r="CL164" s="23">
        <f t="shared" si="92"/>
        <v>0</v>
      </c>
      <c r="CM164" s="23">
        <f t="shared" si="93"/>
        <v>0</v>
      </c>
      <c r="CN164" s="23">
        <f t="shared" si="94"/>
        <v>1</v>
      </c>
      <c r="CO164" s="23">
        <f t="shared" si="95"/>
        <v>1</v>
      </c>
      <c r="CP164" s="23">
        <f t="shared" si="96"/>
        <v>1</v>
      </c>
      <c r="CQ164" s="23">
        <f t="shared" si="97"/>
        <v>1</v>
      </c>
      <c r="CR164" s="23">
        <f t="shared" si="98"/>
        <v>1</v>
      </c>
      <c r="CS164" s="23">
        <f t="shared" si="99"/>
        <v>1</v>
      </c>
      <c r="CT164" s="23">
        <f t="shared" si="100"/>
        <v>1</v>
      </c>
      <c r="CU164" s="23">
        <f t="shared" si="101"/>
        <v>1</v>
      </c>
      <c r="CV164" s="23">
        <f t="shared" si="102"/>
        <v>0</v>
      </c>
    </row>
    <row r="165" spans="1:100" ht="13.5">
      <c r="A165" s="15">
        <v>92</v>
      </c>
      <c r="B165" s="27" t="s">
        <v>531</v>
      </c>
      <c r="C165" t="s">
        <v>180</v>
      </c>
      <c r="E165" t="s">
        <v>182</v>
      </c>
      <c r="F165" t="s">
        <v>181</v>
      </c>
      <c r="G165" t="s">
        <v>182</v>
      </c>
      <c r="H165" t="s">
        <v>183</v>
      </c>
      <c r="I165" s="6" t="s">
        <v>136</v>
      </c>
      <c r="J165" s="6">
        <v>1</v>
      </c>
      <c r="L165" s="15">
        <v>1</v>
      </c>
      <c r="M165" s="7">
        <v>46016</v>
      </c>
      <c r="N165" s="7">
        <v>46036</v>
      </c>
      <c r="O165" s="7">
        <v>46035</v>
      </c>
      <c r="P165" s="7">
        <v>46035</v>
      </c>
      <c r="R165" s="6" t="s">
        <v>532</v>
      </c>
      <c r="S165" s="6" t="s">
        <v>182</v>
      </c>
      <c r="U165" s="6" t="s">
        <v>464</v>
      </c>
      <c r="V165" s="6" t="str">
        <f t="shared" si="69"/>
        <v>26/01</v>
      </c>
      <c r="W165">
        <v>1469</v>
      </c>
      <c r="AB165">
        <v>607</v>
      </c>
      <c r="AD165">
        <v>554</v>
      </c>
      <c r="AI165" s="23">
        <v>0</v>
      </c>
      <c r="AJ165" s="23">
        <v>0</v>
      </c>
      <c r="AK165" s="23">
        <v>0</v>
      </c>
      <c r="AL165" s="23">
        <v>0</v>
      </c>
      <c r="AM165" s="23">
        <v>0</v>
      </c>
      <c r="AN165" s="23">
        <v>0</v>
      </c>
      <c r="AO165" s="23">
        <v>0</v>
      </c>
      <c r="AP165" s="23">
        <v>0</v>
      </c>
      <c r="AQ165" s="23">
        <v>0</v>
      </c>
      <c r="AR165" s="23">
        <v>0</v>
      </c>
      <c r="AS165" s="23">
        <v>0</v>
      </c>
      <c r="AT165" s="23">
        <v>0</v>
      </c>
      <c r="AU165" s="23">
        <v>0</v>
      </c>
      <c r="AV165" s="23">
        <v>0</v>
      </c>
      <c r="AW165" s="23">
        <v>0</v>
      </c>
      <c r="AX165" s="23">
        <v>0</v>
      </c>
      <c r="AY165" s="23">
        <v>0</v>
      </c>
      <c r="AZ165" s="23">
        <v>0</v>
      </c>
      <c r="BA165" s="23">
        <v>0</v>
      </c>
      <c r="BB165" s="23">
        <v>0</v>
      </c>
      <c r="BC165" s="23">
        <v>0</v>
      </c>
      <c r="BD165" s="23">
        <v>0</v>
      </c>
      <c r="BE165" s="23">
        <v>0</v>
      </c>
      <c r="BF165" s="23">
        <v>0</v>
      </c>
      <c r="BG165" s="23">
        <v>1</v>
      </c>
      <c r="BH165" s="23">
        <v>1</v>
      </c>
      <c r="BI165" s="23">
        <v>1</v>
      </c>
      <c r="BJ165" s="23">
        <v>1</v>
      </c>
      <c r="BK165" s="23">
        <v>1</v>
      </c>
      <c r="BL165" s="23">
        <v>1</v>
      </c>
      <c r="BM165" s="23">
        <v>1</v>
      </c>
      <c r="BN165" s="23">
        <v>1</v>
      </c>
      <c r="BO165" s="23">
        <v>0</v>
      </c>
      <c r="BP165" s="23">
        <f t="shared" si="70"/>
        <v>0</v>
      </c>
      <c r="BQ165" s="23">
        <f t="shared" si="71"/>
        <v>0</v>
      </c>
      <c r="BR165" s="23">
        <f t="shared" si="72"/>
        <v>0</v>
      </c>
      <c r="BS165" s="23">
        <f t="shared" si="73"/>
        <v>0</v>
      </c>
      <c r="BT165" s="23">
        <f t="shared" si="74"/>
        <v>0</v>
      </c>
      <c r="BU165" s="23">
        <f t="shared" si="75"/>
        <v>0</v>
      </c>
      <c r="BV165" s="23">
        <f t="shared" si="76"/>
        <v>0</v>
      </c>
      <c r="BW165" s="23">
        <f t="shared" si="77"/>
        <v>0</v>
      </c>
      <c r="BX165" s="23">
        <f t="shared" si="78"/>
        <v>0</v>
      </c>
      <c r="BY165" s="23">
        <f t="shared" si="79"/>
        <v>0</v>
      </c>
      <c r="BZ165" s="23">
        <f t="shared" si="80"/>
        <v>0</v>
      </c>
      <c r="CA165" s="23">
        <f t="shared" si="81"/>
        <v>0</v>
      </c>
      <c r="CB165" s="23">
        <f t="shared" si="82"/>
        <v>0</v>
      </c>
      <c r="CC165" s="23">
        <f t="shared" si="83"/>
        <v>0</v>
      </c>
      <c r="CD165" s="23">
        <f t="shared" si="84"/>
        <v>0</v>
      </c>
      <c r="CE165" s="23">
        <f t="shared" si="85"/>
        <v>0</v>
      </c>
      <c r="CF165" s="23">
        <f t="shared" si="86"/>
        <v>0</v>
      </c>
      <c r="CG165" s="23">
        <f t="shared" si="87"/>
        <v>0</v>
      </c>
      <c r="CH165" s="23">
        <f t="shared" si="88"/>
        <v>0</v>
      </c>
      <c r="CI165" s="23">
        <f t="shared" si="89"/>
        <v>0</v>
      </c>
      <c r="CJ165" s="23">
        <f t="shared" si="90"/>
        <v>0</v>
      </c>
      <c r="CK165" s="23">
        <f t="shared" si="91"/>
        <v>0</v>
      </c>
      <c r="CL165" s="23">
        <f t="shared" si="92"/>
        <v>0</v>
      </c>
      <c r="CM165" s="23">
        <f t="shared" si="93"/>
        <v>0</v>
      </c>
      <c r="CN165" s="23">
        <f t="shared" si="94"/>
        <v>1</v>
      </c>
      <c r="CO165" s="23">
        <f t="shared" si="95"/>
        <v>1</v>
      </c>
      <c r="CP165" s="23">
        <f t="shared" si="96"/>
        <v>1</v>
      </c>
      <c r="CQ165" s="23">
        <f t="shared" si="97"/>
        <v>1</v>
      </c>
      <c r="CR165" s="23">
        <f t="shared" si="98"/>
        <v>1</v>
      </c>
      <c r="CS165" s="23">
        <f t="shared" si="99"/>
        <v>1</v>
      </c>
      <c r="CT165" s="23">
        <f t="shared" si="100"/>
        <v>1</v>
      </c>
      <c r="CU165" s="23">
        <f t="shared" si="101"/>
        <v>1</v>
      </c>
      <c r="CV165" s="23">
        <f t="shared" si="102"/>
        <v>0</v>
      </c>
    </row>
    <row r="166" spans="1:100" ht="13.5">
      <c r="A166" s="15">
        <v>93</v>
      </c>
      <c r="B166" s="27" t="s">
        <v>533</v>
      </c>
      <c r="C166" t="s">
        <v>180</v>
      </c>
      <c r="E166" t="s">
        <v>182</v>
      </c>
      <c r="F166" t="s">
        <v>181</v>
      </c>
      <c r="G166" t="s">
        <v>182</v>
      </c>
      <c r="H166" t="s">
        <v>183</v>
      </c>
      <c r="I166" s="6" t="s">
        <v>136</v>
      </c>
      <c r="J166" s="6">
        <v>1</v>
      </c>
      <c r="L166" s="15">
        <v>1</v>
      </c>
      <c r="M166" s="7">
        <v>46016</v>
      </c>
      <c r="N166" s="7">
        <v>46036</v>
      </c>
      <c r="O166" s="7">
        <v>46035</v>
      </c>
      <c r="P166" s="7">
        <v>46035</v>
      </c>
      <c r="R166" s="6" t="s">
        <v>534</v>
      </c>
      <c r="S166" s="6" t="s">
        <v>182</v>
      </c>
      <c r="U166" s="6" t="s">
        <v>464</v>
      </c>
      <c r="V166" s="6" t="str">
        <f t="shared" si="69"/>
        <v>26/01</v>
      </c>
      <c r="W166">
        <v>1470</v>
      </c>
      <c r="AB166">
        <v>608</v>
      </c>
      <c r="AD166">
        <v>555</v>
      </c>
      <c r="AI166" s="23">
        <v>0</v>
      </c>
      <c r="AJ166" s="23">
        <v>0</v>
      </c>
      <c r="AK166" s="23">
        <v>0</v>
      </c>
      <c r="AL166" s="23">
        <v>0</v>
      </c>
      <c r="AM166" s="23">
        <v>0</v>
      </c>
      <c r="AN166" s="23">
        <v>0</v>
      </c>
      <c r="AO166" s="23">
        <v>0</v>
      </c>
      <c r="AP166" s="23">
        <v>0</v>
      </c>
      <c r="AQ166" s="23">
        <v>0</v>
      </c>
      <c r="AR166" s="23">
        <v>0</v>
      </c>
      <c r="AS166" s="23">
        <v>0</v>
      </c>
      <c r="AT166" s="23">
        <v>0</v>
      </c>
      <c r="AU166" s="23">
        <v>0</v>
      </c>
      <c r="AV166" s="23">
        <v>0</v>
      </c>
      <c r="AW166" s="23">
        <v>0</v>
      </c>
      <c r="AX166" s="23">
        <v>0</v>
      </c>
      <c r="AY166" s="23">
        <v>0</v>
      </c>
      <c r="AZ166" s="23">
        <v>0</v>
      </c>
      <c r="BA166" s="23">
        <v>0</v>
      </c>
      <c r="BB166" s="23">
        <v>0</v>
      </c>
      <c r="BC166" s="23">
        <v>0</v>
      </c>
      <c r="BD166" s="23">
        <v>0</v>
      </c>
      <c r="BE166" s="23">
        <v>0</v>
      </c>
      <c r="BF166" s="23">
        <v>0</v>
      </c>
      <c r="BG166" s="23">
        <v>1</v>
      </c>
      <c r="BH166" s="23">
        <v>1</v>
      </c>
      <c r="BI166" s="23">
        <v>1</v>
      </c>
      <c r="BJ166" s="23">
        <v>1</v>
      </c>
      <c r="BK166" s="23">
        <v>1</v>
      </c>
      <c r="BL166" s="23">
        <v>1</v>
      </c>
      <c r="BM166" s="23">
        <v>1</v>
      </c>
      <c r="BN166" s="23">
        <v>1</v>
      </c>
      <c r="BO166" s="23">
        <v>0</v>
      </c>
      <c r="BP166" s="23">
        <f t="shared" si="70"/>
        <v>0</v>
      </c>
      <c r="BQ166" s="23">
        <f t="shared" si="71"/>
        <v>0</v>
      </c>
      <c r="BR166" s="23">
        <f t="shared" si="72"/>
        <v>0</v>
      </c>
      <c r="BS166" s="23">
        <f t="shared" si="73"/>
        <v>0</v>
      </c>
      <c r="BT166" s="23">
        <f t="shared" si="74"/>
        <v>0</v>
      </c>
      <c r="BU166" s="23">
        <f t="shared" si="75"/>
        <v>0</v>
      </c>
      <c r="BV166" s="23">
        <f t="shared" si="76"/>
        <v>0</v>
      </c>
      <c r="BW166" s="23">
        <f t="shared" si="77"/>
        <v>0</v>
      </c>
      <c r="BX166" s="23">
        <f t="shared" si="78"/>
        <v>0</v>
      </c>
      <c r="BY166" s="23">
        <f t="shared" si="79"/>
        <v>0</v>
      </c>
      <c r="BZ166" s="23">
        <f t="shared" si="80"/>
        <v>0</v>
      </c>
      <c r="CA166" s="23">
        <f t="shared" si="81"/>
        <v>0</v>
      </c>
      <c r="CB166" s="23">
        <f t="shared" si="82"/>
        <v>0</v>
      </c>
      <c r="CC166" s="23">
        <f t="shared" si="83"/>
        <v>0</v>
      </c>
      <c r="CD166" s="23">
        <f t="shared" si="84"/>
        <v>0</v>
      </c>
      <c r="CE166" s="23">
        <f t="shared" si="85"/>
        <v>0</v>
      </c>
      <c r="CF166" s="23">
        <f t="shared" si="86"/>
        <v>0</v>
      </c>
      <c r="CG166" s="23">
        <f t="shared" si="87"/>
        <v>0</v>
      </c>
      <c r="CH166" s="23">
        <f t="shared" si="88"/>
        <v>0</v>
      </c>
      <c r="CI166" s="23">
        <f t="shared" si="89"/>
        <v>0</v>
      </c>
      <c r="CJ166" s="23">
        <f t="shared" si="90"/>
        <v>0</v>
      </c>
      <c r="CK166" s="23">
        <f t="shared" si="91"/>
        <v>0</v>
      </c>
      <c r="CL166" s="23">
        <f t="shared" si="92"/>
        <v>0</v>
      </c>
      <c r="CM166" s="23">
        <f t="shared" si="93"/>
        <v>0</v>
      </c>
      <c r="CN166" s="23">
        <f t="shared" si="94"/>
        <v>1</v>
      </c>
      <c r="CO166" s="23">
        <f t="shared" si="95"/>
        <v>1</v>
      </c>
      <c r="CP166" s="23">
        <f t="shared" si="96"/>
        <v>1</v>
      </c>
      <c r="CQ166" s="23">
        <f t="shared" si="97"/>
        <v>1</v>
      </c>
      <c r="CR166" s="23">
        <f t="shared" si="98"/>
        <v>1</v>
      </c>
      <c r="CS166" s="23">
        <f t="shared" si="99"/>
        <v>1</v>
      </c>
      <c r="CT166" s="23">
        <f t="shared" si="100"/>
        <v>1</v>
      </c>
      <c r="CU166" s="23">
        <f t="shared" si="101"/>
        <v>1</v>
      </c>
      <c r="CV166" s="23">
        <f t="shared" si="102"/>
        <v>0</v>
      </c>
    </row>
    <row r="167" spans="1:100" ht="13.5">
      <c r="A167" s="15">
        <v>90</v>
      </c>
      <c r="B167" s="27" t="s">
        <v>535</v>
      </c>
      <c r="C167" t="s">
        <v>180</v>
      </c>
      <c r="E167" t="s">
        <v>182</v>
      </c>
      <c r="F167" t="s">
        <v>181</v>
      </c>
      <c r="G167" t="s">
        <v>182</v>
      </c>
      <c r="H167" t="s">
        <v>183</v>
      </c>
      <c r="I167" s="6" t="s">
        <v>136</v>
      </c>
      <c r="J167" s="6">
        <v>1</v>
      </c>
      <c r="L167" s="15">
        <v>1</v>
      </c>
      <c r="M167" s="7">
        <v>46016</v>
      </c>
      <c r="N167" s="7">
        <v>46036</v>
      </c>
      <c r="O167" s="7">
        <v>46035</v>
      </c>
      <c r="P167" s="7">
        <v>46035</v>
      </c>
      <c r="R167" s="6" t="s">
        <v>536</v>
      </c>
      <c r="S167" s="6" t="s">
        <v>182</v>
      </c>
      <c r="U167" s="6" t="s">
        <v>464</v>
      </c>
      <c r="V167" s="6" t="str">
        <f t="shared" si="69"/>
        <v>26/01</v>
      </c>
      <c r="W167">
        <v>1471</v>
      </c>
      <c r="AB167">
        <v>609</v>
      </c>
      <c r="AD167">
        <v>556</v>
      </c>
      <c r="AI167" s="23">
        <v>0</v>
      </c>
      <c r="AJ167" s="23">
        <v>0</v>
      </c>
      <c r="AK167" s="23">
        <v>0</v>
      </c>
      <c r="AL167" s="23">
        <v>0</v>
      </c>
      <c r="AM167" s="23">
        <v>0</v>
      </c>
      <c r="AN167" s="23">
        <v>0</v>
      </c>
      <c r="AO167" s="23">
        <v>0</v>
      </c>
      <c r="AP167" s="23">
        <v>0</v>
      </c>
      <c r="AQ167" s="23">
        <v>0</v>
      </c>
      <c r="AR167" s="23">
        <v>0</v>
      </c>
      <c r="AS167" s="23">
        <v>0</v>
      </c>
      <c r="AT167" s="23">
        <v>0</v>
      </c>
      <c r="AU167" s="23">
        <v>0</v>
      </c>
      <c r="AV167" s="23">
        <v>0</v>
      </c>
      <c r="AW167" s="23">
        <v>0</v>
      </c>
      <c r="AX167" s="23">
        <v>0</v>
      </c>
      <c r="AY167" s="23">
        <v>0</v>
      </c>
      <c r="AZ167" s="23">
        <v>0</v>
      </c>
      <c r="BA167" s="23">
        <v>0</v>
      </c>
      <c r="BB167" s="23">
        <v>0</v>
      </c>
      <c r="BC167" s="23">
        <v>0</v>
      </c>
      <c r="BD167" s="23">
        <v>0</v>
      </c>
      <c r="BE167" s="23">
        <v>0</v>
      </c>
      <c r="BF167" s="23">
        <v>0</v>
      </c>
      <c r="BG167" s="23">
        <v>1</v>
      </c>
      <c r="BH167" s="23">
        <v>1</v>
      </c>
      <c r="BI167" s="23">
        <v>1</v>
      </c>
      <c r="BJ167" s="23">
        <v>1</v>
      </c>
      <c r="BK167" s="23">
        <v>1</v>
      </c>
      <c r="BL167" s="23">
        <v>1</v>
      </c>
      <c r="BM167" s="23">
        <v>1</v>
      </c>
      <c r="BN167" s="23">
        <v>1</v>
      </c>
      <c r="BO167" s="23">
        <v>0</v>
      </c>
      <c r="BP167" s="23">
        <f t="shared" si="70"/>
        <v>0</v>
      </c>
      <c r="BQ167" s="23">
        <f t="shared" si="71"/>
        <v>0</v>
      </c>
      <c r="BR167" s="23">
        <f t="shared" si="72"/>
        <v>0</v>
      </c>
      <c r="BS167" s="23">
        <f t="shared" si="73"/>
        <v>0</v>
      </c>
      <c r="BT167" s="23">
        <f t="shared" si="74"/>
        <v>0</v>
      </c>
      <c r="BU167" s="23">
        <f t="shared" si="75"/>
        <v>0</v>
      </c>
      <c r="BV167" s="23">
        <f t="shared" si="76"/>
        <v>0</v>
      </c>
      <c r="BW167" s="23">
        <f t="shared" si="77"/>
        <v>0</v>
      </c>
      <c r="BX167" s="23">
        <f t="shared" si="78"/>
        <v>0</v>
      </c>
      <c r="BY167" s="23">
        <f t="shared" si="79"/>
        <v>0</v>
      </c>
      <c r="BZ167" s="23">
        <f t="shared" si="80"/>
        <v>0</v>
      </c>
      <c r="CA167" s="23">
        <f t="shared" si="81"/>
        <v>0</v>
      </c>
      <c r="CB167" s="23">
        <f t="shared" si="82"/>
        <v>0</v>
      </c>
      <c r="CC167" s="23">
        <f t="shared" si="83"/>
        <v>0</v>
      </c>
      <c r="CD167" s="23">
        <f t="shared" si="84"/>
        <v>0</v>
      </c>
      <c r="CE167" s="23">
        <f t="shared" si="85"/>
        <v>0</v>
      </c>
      <c r="CF167" s="23">
        <f t="shared" si="86"/>
        <v>0</v>
      </c>
      <c r="CG167" s="23">
        <f t="shared" si="87"/>
        <v>0</v>
      </c>
      <c r="CH167" s="23">
        <f t="shared" si="88"/>
        <v>0</v>
      </c>
      <c r="CI167" s="23">
        <f t="shared" si="89"/>
        <v>0</v>
      </c>
      <c r="CJ167" s="23">
        <f t="shared" si="90"/>
        <v>0</v>
      </c>
      <c r="CK167" s="23">
        <f t="shared" si="91"/>
        <v>0</v>
      </c>
      <c r="CL167" s="23">
        <f t="shared" si="92"/>
        <v>0</v>
      </c>
      <c r="CM167" s="23">
        <f t="shared" si="93"/>
        <v>0</v>
      </c>
      <c r="CN167" s="23">
        <f t="shared" si="94"/>
        <v>1</v>
      </c>
      <c r="CO167" s="23">
        <f t="shared" si="95"/>
        <v>1</v>
      </c>
      <c r="CP167" s="23">
        <f t="shared" si="96"/>
        <v>1</v>
      </c>
      <c r="CQ167" s="23">
        <f t="shared" si="97"/>
        <v>1</v>
      </c>
      <c r="CR167" s="23">
        <f t="shared" si="98"/>
        <v>1</v>
      </c>
      <c r="CS167" s="23">
        <f t="shared" si="99"/>
        <v>1</v>
      </c>
      <c r="CT167" s="23">
        <f t="shared" si="100"/>
        <v>1</v>
      </c>
      <c r="CU167" s="23">
        <f t="shared" si="101"/>
        <v>1</v>
      </c>
      <c r="CV167" s="23">
        <f t="shared" si="102"/>
        <v>0</v>
      </c>
    </row>
    <row r="168" spans="1:100" ht="13.5">
      <c r="A168" s="15">
        <v>110</v>
      </c>
      <c r="B168" s="27" t="s">
        <v>537</v>
      </c>
      <c r="C168" t="s">
        <v>538</v>
      </c>
      <c r="D168" t="s">
        <v>539</v>
      </c>
      <c r="F168" t="s">
        <v>146</v>
      </c>
      <c r="G168" t="s">
        <v>168</v>
      </c>
      <c r="H168" t="s">
        <v>169</v>
      </c>
      <c r="I168" s="6" t="s">
        <v>147</v>
      </c>
      <c r="J168" s="6">
        <v>0</v>
      </c>
      <c r="L168" s="15">
        <v>1</v>
      </c>
      <c r="M168" s="7">
        <v>46027</v>
      </c>
      <c r="N168" s="7">
        <v>46036</v>
      </c>
      <c r="O168" s="7">
        <v>46035</v>
      </c>
      <c r="P168" s="7">
        <v>46038</v>
      </c>
      <c r="R168" s="6" t="s">
        <v>540</v>
      </c>
      <c r="S168" s="6" t="s">
        <v>465</v>
      </c>
      <c r="U168" s="6" t="s">
        <v>464</v>
      </c>
      <c r="V168" s="6" t="str">
        <f t="shared" si="69"/>
        <v>26/01</v>
      </c>
      <c r="W168">
        <v>1472</v>
      </c>
      <c r="AA168">
        <v>866</v>
      </c>
      <c r="AC168">
        <v>919</v>
      </c>
      <c r="AI168" s="23">
        <v>0</v>
      </c>
      <c r="AJ168" s="23">
        <v>0</v>
      </c>
      <c r="AK168" s="23">
        <v>0</v>
      </c>
      <c r="AL168" s="23">
        <v>0</v>
      </c>
      <c r="AM168" s="23">
        <v>0</v>
      </c>
      <c r="AN168" s="23">
        <v>0</v>
      </c>
      <c r="AO168" s="23">
        <v>0</v>
      </c>
      <c r="AP168" s="23">
        <v>0</v>
      </c>
      <c r="AQ168" s="23">
        <v>0</v>
      </c>
      <c r="AR168" s="23">
        <v>0</v>
      </c>
      <c r="AS168" s="23">
        <v>0</v>
      </c>
      <c r="AT168" s="23">
        <v>0</v>
      </c>
      <c r="AU168" s="23">
        <v>0</v>
      </c>
      <c r="AV168" s="23">
        <v>0</v>
      </c>
      <c r="AW168" s="23">
        <v>0</v>
      </c>
      <c r="AX168" s="23">
        <v>0</v>
      </c>
      <c r="AY168" s="23">
        <v>0</v>
      </c>
      <c r="AZ168" s="23">
        <v>0</v>
      </c>
      <c r="BA168" s="23">
        <v>0</v>
      </c>
      <c r="BB168" s="23">
        <v>0</v>
      </c>
      <c r="BC168" s="23">
        <v>0</v>
      </c>
      <c r="BD168" s="23">
        <v>0</v>
      </c>
      <c r="BE168" s="23">
        <v>0</v>
      </c>
      <c r="BF168" s="23">
        <v>0</v>
      </c>
      <c r="BG168" s="23">
        <v>1</v>
      </c>
      <c r="BH168" s="23">
        <v>1</v>
      </c>
      <c r="BI168" s="23">
        <v>1</v>
      </c>
      <c r="BJ168" s="23">
        <v>1</v>
      </c>
      <c r="BK168" s="23">
        <v>1</v>
      </c>
      <c r="BL168" s="23">
        <v>1</v>
      </c>
      <c r="BM168" s="23">
        <v>1</v>
      </c>
      <c r="BN168" s="23">
        <v>1</v>
      </c>
      <c r="BO168" s="23">
        <v>1</v>
      </c>
      <c r="BP168" s="23">
        <f t="shared" si="70"/>
        <v>0</v>
      </c>
      <c r="BQ168" s="23">
        <f t="shared" si="71"/>
        <v>0</v>
      </c>
      <c r="BR168" s="23">
        <f t="shared" si="72"/>
        <v>0</v>
      </c>
      <c r="BS168" s="23">
        <f t="shared" si="73"/>
        <v>0</v>
      </c>
      <c r="BT168" s="23">
        <f t="shared" si="74"/>
        <v>0</v>
      </c>
      <c r="BU168" s="23">
        <f t="shared" si="75"/>
        <v>0</v>
      </c>
      <c r="BV168" s="23">
        <f t="shared" si="76"/>
        <v>0</v>
      </c>
      <c r="BW168" s="23">
        <f t="shared" si="77"/>
        <v>0</v>
      </c>
      <c r="BX168" s="23">
        <f t="shared" si="78"/>
        <v>0</v>
      </c>
      <c r="BY168" s="23">
        <f t="shared" si="79"/>
        <v>0</v>
      </c>
      <c r="BZ168" s="23">
        <f t="shared" si="80"/>
        <v>0</v>
      </c>
      <c r="CA168" s="23">
        <f t="shared" si="81"/>
        <v>0</v>
      </c>
      <c r="CB168" s="23">
        <f t="shared" si="82"/>
        <v>0</v>
      </c>
      <c r="CC168" s="23">
        <f t="shared" si="83"/>
        <v>0</v>
      </c>
      <c r="CD168" s="23">
        <f t="shared" si="84"/>
        <v>0</v>
      </c>
      <c r="CE168" s="23">
        <f t="shared" si="85"/>
        <v>0</v>
      </c>
      <c r="CF168" s="23">
        <f t="shared" si="86"/>
        <v>0</v>
      </c>
      <c r="CG168" s="23">
        <f t="shared" si="87"/>
        <v>0</v>
      </c>
      <c r="CH168" s="23">
        <f t="shared" si="88"/>
        <v>0</v>
      </c>
      <c r="CI168" s="23">
        <f t="shared" si="89"/>
        <v>0</v>
      </c>
      <c r="CJ168" s="23">
        <f t="shared" si="90"/>
        <v>0</v>
      </c>
      <c r="CK168" s="23">
        <f t="shared" si="91"/>
        <v>0</v>
      </c>
      <c r="CL168" s="23">
        <f t="shared" si="92"/>
        <v>0</v>
      </c>
      <c r="CM168" s="23">
        <f t="shared" si="93"/>
        <v>0</v>
      </c>
      <c r="CN168" s="23">
        <f t="shared" si="94"/>
        <v>1</v>
      </c>
      <c r="CO168" s="23">
        <f t="shared" si="95"/>
        <v>1</v>
      </c>
      <c r="CP168" s="23">
        <f t="shared" si="96"/>
        <v>1</v>
      </c>
      <c r="CQ168" s="23">
        <f t="shared" si="97"/>
        <v>1</v>
      </c>
      <c r="CR168" s="23">
        <f t="shared" si="98"/>
        <v>1</v>
      </c>
      <c r="CS168" s="23">
        <f t="shared" si="99"/>
        <v>1</v>
      </c>
      <c r="CT168" s="23">
        <f t="shared" si="100"/>
        <v>1</v>
      </c>
      <c r="CU168" s="23">
        <f t="shared" si="101"/>
        <v>1</v>
      </c>
      <c r="CV168" s="23">
        <f t="shared" si="102"/>
        <v>1</v>
      </c>
    </row>
    <row r="169" spans="1:100" ht="13.5">
      <c r="A169" s="15">
        <v>96</v>
      </c>
      <c r="B169" s="27" t="s">
        <v>541</v>
      </c>
      <c r="C169" t="s">
        <v>180</v>
      </c>
      <c r="E169" t="s">
        <v>182</v>
      </c>
      <c r="F169" t="s">
        <v>181</v>
      </c>
      <c r="G169" t="s">
        <v>182</v>
      </c>
      <c r="H169" t="s">
        <v>183</v>
      </c>
      <c r="I169" s="6" t="s">
        <v>136</v>
      </c>
      <c r="J169" s="6">
        <v>1</v>
      </c>
      <c r="L169" s="15">
        <v>1</v>
      </c>
      <c r="M169" s="7">
        <v>46017</v>
      </c>
      <c r="N169" s="7">
        <v>46037</v>
      </c>
      <c r="O169" s="7">
        <v>46036</v>
      </c>
      <c r="P169" s="7">
        <v>46036</v>
      </c>
      <c r="R169" s="6" t="s">
        <v>542</v>
      </c>
      <c r="S169" s="6" t="s">
        <v>182</v>
      </c>
      <c r="U169" s="6" t="s">
        <v>464</v>
      </c>
      <c r="V169" s="6" t="str">
        <f t="shared" si="69"/>
        <v>26/01</v>
      </c>
      <c r="W169">
        <v>1473</v>
      </c>
      <c r="AB169">
        <v>610</v>
      </c>
      <c r="AD169">
        <v>557</v>
      </c>
      <c r="AI169" s="23">
        <v>0</v>
      </c>
      <c r="AJ169" s="23">
        <v>0</v>
      </c>
      <c r="AK169" s="23">
        <v>0</v>
      </c>
      <c r="AL169" s="23">
        <v>0</v>
      </c>
      <c r="AM169" s="23">
        <v>0</v>
      </c>
      <c r="AN169" s="23">
        <v>0</v>
      </c>
      <c r="AO169" s="23">
        <v>0</v>
      </c>
      <c r="AP169" s="23">
        <v>0</v>
      </c>
      <c r="AQ169" s="23">
        <v>0</v>
      </c>
      <c r="AR169" s="23">
        <v>0</v>
      </c>
      <c r="AS169" s="23">
        <v>0</v>
      </c>
      <c r="AT169" s="23">
        <v>0</v>
      </c>
      <c r="AU169" s="23">
        <v>0</v>
      </c>
      <c r="AV169" s="23">
        <v>0</v>
      </c>
      <c r="AW169" s="23">
        <v>0</v>
      </c>
      <c r="AX169" s="23">
        <v>0</v>
      </c>
      <c r="AY169" s="23">
        <v>0</v>
      </c>
      <c r="AZ169" s="23">
        <v>0</v>
      </c>
      <c r="BA169" s="23">
        <v>0</v>
      </c>
      <c r="BB169" s="23">
        <v>0</v>
      </c>
      <c r="BC169" s="23">
        <v>0</v>
      </c>
      <c r="BD169" s="23">
        <v>0</v>
      </c>
      <c r="BE169" s="23">
        <v>0</v>
      </c>
      <c r="BF169" s="23">
        <v>0</v>
      </c>
      <c r="BG169" s="23">
        <v>1</v>
      </c>
      <c r="BH169" s="23">
        <v>1</v>
      </c>
      <c r="BI169" s="23">
        <v>1</v>
      </c>
      <c r="BJ169" s="23">
        <v>1</v>
      </c>
      <c r="BK169" s="23">
        <v>1</v>
      </c>
      <c r="BL169" s="23">
        <v>1</v>
      </c>
      <c r="BM169" s="23">
        <v>1</v>
      </c>
      <c r="BN169" s="23">
        <v>1</v>
      </c>
      <c r="BO169" s="23">
        <v>0</v>
      </c>
      <c r="BP169" s="23">
        <f t="shared" si="70"/>
        <v>0</v>
      </c>
      <c r="BQ169" s="23">
        <f t="shared" si="71"/>
        <v>0</v>
      </c>
      <c r="BR169" s="23">
        <f t="shared" si="72"/>
        <v>0</v>
      </c>
      <c r="BS169" s="23">
        <f t="shared" si="73"/>
        <v>0</v>
      </c>
      <c r="BT169" s="23">
        <f t="shared" si="74"/>
        <v>0</v>
      </c>
      <c r="BU169" s="23">
        <f t="shared" si="75"/>
        <v>0</v>
      </c>
      <c r="BV169" s="23">
        <f t="shared" si="76"/>
        <v>0</v>
      </c>
      <c r="BW169" s="23">
        <f t="shared" si="77"/>
        <v>0</v>
      </c>
      <c r="BX169" s="23">
        <f t="shared" si="78"/>
        <v>0</v>
      </c>
      <c r="BY169" s="23">
        <f t="shared" si="79"/>
        <v>0</v>
      </c>
      <c r="BZ169" s="23">
        <f t="shared" si="80"/>
        <v>0</v>
      </c>
      <c r="CA169" s="23">
        <f t="shared" si="81"/>
        <v>0</v>
      </c>
      <c r="CB169" s="23">
        <f t="shared" si="82"/>
        <v>0</v>
      </c>
      <c r="CC169" s="23">
        <f t="shared" si="83"/>
        <v>0</v>
      </c>
      <c r="CD169" s="23">
        <f t="shared" si="84"/>
        <v>0</v>
      </c>
      <c r="CE169" s="23">
        <f t="shared" si="85"/>
        <v>0</v>
      </c>
      <c r="CF169" s="23">
        <f t="shared" si="86"/>
        <v>0</v>
      </c>
      <c r="CG169" s="23">
        <f t="shared" si="87"/>
        <v>0</v>
      </c>
      <c r="CH169" s="23">
        <f t="shared" si="88"/>
        <v>0</v>
      </c>
      <c r="CI169" s="23">
        <f t="shared" si="89"/>
        <v>0</v>
      </c>
      <c r="CJ169" s="23">
        <f t="shared" si="90"/>
        <v>0</v>
      </c>
      <c r="CK169" s="23">
        <f t="shared" si="91"/>
        <v>0</v>
      </c>
      <c r="CL169" s="23">
        <f t="shared" si="92"/>
        <v>0</v>
      </c>
      <c r="CM169" s="23">
        <f t="shared" si="93"/>
        <v>0</v>
      </c>
      <c r="CN169" s="23">
        <f t="shared" si="94"/>
        <v>1</v>
      </c>
      <c r="CO169" s="23">
        <f t="shared" si="95"/>
        <v>1</v>
      </c>
      <c r="CP169" s="23">
        <f t="shared" si="96"/>
        <v>1</v>
      </c>
      <c r="CQ169" s="23">
        <f t="shared" si="97"/>
        <v>1</v>
      </c>
      <c r="CR169" s="23">
        <f t="shared" si="98"/>
        <v>1</v>
      </c>
      <c r="CS169" s="23">
        <f t="shared" si="99"/>
        <v>1</v>
      </c>
      <c r="CT169" s="23">
        <f t="shared" si="100"/>
        <v>1</v>
      </c>
      <c r="CU169" s="23">
        <f t="shared" si="101"/>
        <v>1</v>
      </c>
      <c r="CV169" s="23">
        <f t="shared" si="102"/>
        <v>0</v>
      </c>
    </row>
    <row r="170" spans="1:100" ht="13.5">
      <c r="A170" s="15">
        <v>116</v>
      </c>
      <c r="B170" s="27" t="s">
        <v>543</v>
      </c>
      <c r="C170" t="s">
        <v>466</v>
      </c>
      <c r="D170" t="s">
        <v>544</v>
      </c>
      <c r="E170" t="s">
        <v>545</v>
      </c>
      <c r="F170" t="s">
        <v>546</v>
      </c>
      <c r="G170" t="s">
        <v>547</v>
      </c>
      <c r="H170" t="s">
        <v>548</v>
      </c>
      <c r="I170" s="6" t="s">
        <v>147</v>
      </c>
      <c r="J170" s="6">
        <v>1</v>
      </c>
      <c r="K170" t="s">
        <v>549</v>
      </c>
      <c r="L170" s="15">
        <v>1</v>
      </c>
      <c r="M170" s="7">
        <v>46017</v>
      </c>
      <c r="N170" s="7">
        <v>46037</v>
      </c>
      <c r="O170" s="7">
        <v>46036</v>
      </c>
      <c r="P170" s="7">
        <v>46041</v>
      </c>
      <c r="R170" s="6" t="s">
        <v>550</v>
      </c>
      <c r="S170" s="6" t="s">
        <v>465</v>
      </c>
      <c r="U170" s="6" t="s">
        <v>464</v>
      </c>
      <c r="V170" s="6" t="str">
        <f t="shared" si="69"/>
        <v>26/01</v>
      </c>
      <c r="W170">
        <v>1474</v>
      </c>
      <c r="AA170">
        <v>867</v>
      </c>
      <c r="AC170">
        <v>920</v>
      </c>
      <c r="AI170" s="23">
        <v>0</v>
      </c>
      <c r="AJ170" s="23">
        <v>0</v>
      </c>
      <c r="AK170" s="23">
        <v>0</v>
      </c>
      <c r="AL170" s="23">
        <v>0</v>
      </c>
      <c r="AM170" s="23">
        <v>0</v>
      </c>
      <c r="AN170" s="23">
        <v>0</v>
      </c>
      <c r="AO170" s="23">
        <v>0</v>
      </c>
      <c r="AP170" s="23">
        <v>0</v>
      </c>
      <c r="AQ170" s="23">
        <v>0</v>
      </c>
      <c r="AR170" s="23">
        <v>0</v>
      </c>
      <c r="AS170" s="23">
        <v>0</v>
      </c>
      <c r="AT170" s="23">
        <v>0</v>
      </c>
      <c r="AU170" s="23">
        <v>0</v>
      </c>
      <c r="AV170" s="23">
        <v>0</v>
      </c>
      <c r="AW170" s="23">
        <v>0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3">
        <v>0</v>
      </c>
      <c r="BD170" s="23">
        <v>0</v>
      </c>
      <c r="BE170" s="23">
        <v>0</v>
      </c>
      <c r="BF170" s="23">
        <v>0</v>
      </c>
      <c r="BG170" s="23">
        <v>1</v>
      </c>
      <c r="BH170" s="23">
        <v>1</v>
      </c>
      <c r="BI170" s="23">
        <v>1</v>
      </c>
      <c r="BJ170" s="23">
        <v>1</v>
      </c>
      <c r="BK170" s="23">
        <v>1</v>
      </c>
      <c r="BL170" s="23">
        <v>1</v>
      </c>
      <c r="BM170" s="23">
        <v>1</v>
      </c>
      <c r="BN170" s="23">
        <v>1</v>
      </c>
      <c r="BO170" s="23">
        <v>1</v>
      </c>
      <c r="BP170" s="23">
        <f t="shared" si="70"/>
        <v>0</v>
      </c>
      <c r="BQ170" s="23">
        <f t="shared" si="71"/>
        <v>0</v>
      </c>
      <c r="BR170" s="23">
        <f t="shared" si="72"/>
        <v>0</v>
      </c>
      <c r="BS170" s="23">
        <f t="shared" si="73"/>
        <v>0</v>
      </c>
      <c r="BT170" s="23">
        <f t="shared" si="74"/>
        <v>0</v>
      </c>
      <c r="BU170" s="23">
        <f t="shared" si="75"/>
        <v>0</v>
      </c>
      <c r="BV170" s="23">
        <f t="shared" si="76"/>
        <v>0</v>
      </c>
      <c r="BW170" s="23">
        <f t="shared" si="77"/>
        <v>0</v>
      </c>
      <c r="BX170" s="23">
        <f t="shared" si="78"/>
        <v>0</v>
      </c>
      <c r="BY170" s="23">
        <f t="shared" si="79"/>
        <v>0</v>
      </c>
      <c r="BZ170" s="23">
        <f t="shared" si="80"/>
        <v>0</v>
      </c>
      <c r="CA170" s="23">
        <f t="shared" si="81"/>
        <v>0</v>
      </c>
      <c r="CB170" s="23">
        <f t="shared" si="82"/>
        <v>0</v>
      </c>
      <c r="CC170" s="23">
        <f t="shared" si="83"/>
        <v>0</v>
      </c>
      <c r="CD170" s="23">
        <f t="shared" si="84"/>
        <v>0</v>
      </c>
      <c r="CE170" s="23">
        <f t="shared" si="85"/>
        <v>0</v>
      </c>
      <c r="CF170" s="23">
        <f t="shared" si="86"/>
        <v>0</v>
      </c>
      <c r="CG170" s="23">
        <f t="shared" si="87"/>
        <v>0</v>
      </c>
      <c r="CH170" s="23">
        <f t="shared" si="88"/>
        <v>0</v>
      </c>
      <c r="CI170" s="23">
        <f t="shared" si="89"/>
        <v>0</v>
      </c>
      <c r="CJ170" s="23">
        <f t="shared" si="90"/>
        <v>0</v>
      </c>
      <c r="CK170" s="23">
        <f t="shared" si="91"/>
        <v>0</v>
      </c>
      <c r="CL170" s="23">
        <f t="shared" si="92"/>
        <v>0</v>
      </c>
      <c r="CM170" s="23">
        <f t="shared" si="93"/>
        <v>0</v>
      </c>
      <c r="CN170" s="23">
        <f t="shared" si="94"/>
        <v>1</v>
      </c>
      <c r="CO170" s="23">
        <f t="shared" si="95"/>
        <v>1</v>
      </c>
      <c r="CP170" s="23">
        <f t="shared" si="96"/>
        <v>1</v>
      </c>
      <c r="CQ170" s="23">
        <f t="shared" si="97"/>
        <v>1</v>
      </c>
      <c r="CR170" s="23">
        <f t="shared" si="98"/>
        <v>1</v>
      </c>
      <c r="CS170" s="23">
        <f t="shared" si="99"/>
        <v>1</v>
      </c>
      <c r="CT170" s="23">
        <f t="shared" si="100"/>
        <v>1</v>
      </c>
      <c r="CU170" s="23">
        <f t="shared" si="101"/>
        <v>1</v>
      </c>
      <c r="CV170" s="23">
        <f t="shared" si="102"/>
        <v>1</v>
      </c>
    </row>
    <row r="171" spans="1:100" ht="13.5">
      <c r="A171" s="15">
        <v>122</v>
      </c>
      <c r="B171" s="27" t="s">
        <v>551</v>
      </c>
      <c r="C171" t="s">
        <v>466</v>
      </c>
      <c r="D171" t="s">
        <v>552</v>
      </c>
      <c r="E171" t="s">
        <v>243</v>
      </c>
      <c r="F171" t="s">
        <v>546</v>
      </c>
      <c r="G171" t="s">
        <v>553</v>
      </c>
      <c r="H171" t="s">
        <v>554</v>
      </c>
      <c r="I171" s="6" t="s">
        <v>147</v>
      </c>
      <c r="J171" s="6">
        <v>1</v>
      </c>
      <c r="K171" t="s">
        <v>555</v>
      </c>
      <c r="L171" s="15">
        <v>1</v>
      </c>
      <c r="M171" s="7">
        <v>46027</v>
      </c>
      <c r="N171" s="7">
        <v>46038</v>
      </c>
      <c r="O171" s="7">
        <v>46037</v>
      </c>
      <c r="P171" s="7">
        <v>46042</v>
      </c>
      <c r="R171" s="6" t="s">
        <v>556</v>
      </c>
      <c r="S171" s="6" t="s">
        <v>465</v>
      </c>
      <c r="U171" s="6" t="s">
        <v>464</v>
      </c>
      <c r="V171" s="6" t="str">
        <f t="shared" si="69"/>
        <v>26/01</v>
      </c>
      <c r="W171">
        <v>1475</v>
      </c>
      <c r="AA171">
        <v>868</v>
      </c>
      <c r="AC171">
        <v>921</v>
      </c>
      <c r="AI171" s="23">
        <v>0</v>
      </c>
      <c r="AJ171" s="23">
        <v>0</v>
      </c>
      <c r="AK171" s="23">
        <v>0</v>
      </c>
      <c r="AL171" s="23">
        <v>0</v>
      </c>
      <c r="AM171" s="23">
        <v>0</v>
      </c>
      <c r="AN171" s="23">
        <v>0</v>
      </c>
      <c r="AO171" s="23">
        <v>0</v>
      </c>
      <c r="AP171" s="23">
        <v>0</v>
      </c>
      <c r="AQ171" s="23">
        <v>0</v>
      </c>
      <c r="AR171" s="23">
        <v>0</v>
      </c>
      <c r="AS171" s="23">
        <v>0</v>
      </c>
      <c r="AT171" s="23">
        <v>0</v>
      </c>
      <c r="AU171" s="23">
        <v>0</v>
      </c>
      <c r="AV171" s="23">
        <v>0</v>
      </c>
      <c r="AW171" s="23">
        <v>0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3">
        <v>0</v>
      </c>
      <c r="BD171" s="23">
        <v>0</v>
      </c>
      <c r="BE171" s="23">
        <v>0</v>
      </c>
      <c r="BF171" s="23">
        <v>0</v>
      </c>
      <c r="BG171" s="23">
        <v>1</v>
      </c>
      <c r="BH171" s="23">
        <v>1</v>
      </c>
      <c r="BI171" s="23">
        <v>1</v>
      </c>
      <c r="BJ171" s="23">
        <v>1</v>
      </c>
      <c r="BK171" s="23">
        <v>1</v>
      </c>
      <c r="BL171" s="23">
        <v>1</v>
      </c>
      <c r="BM171" s="23">
        <v>1</v>
      </c>
      <c r="BN171" s="23">
        <v>1</v>
      </c>
      <c r="BO171" s="23">
        <v>1</v>
      </c>
      <c r="BP171" s="23">
        <f t="shared" si="70"/>
        <v>0</v>
      </c>
      <c r="BQ171" s="23">
        <f t="shared" si="71"/>
        <v>0</v>
      </c>
      <c r="BR171" s="23">
        <f t="shared" si="72"/>
        <v>0</v>
      </c>
      <c r="BS171" s="23">
        <f t="shared" si="73"/>
        <v>0</v>
      </c>
      <c r="BT171" s="23">
        <f t="shared" si="74"/>
        <v>0</v>
      </c>
      <c r="BU171" s="23">
        <f t="shared" si="75"/>
        <v>0</v>
      </c>
      <c r="BV171" s="23">
        <f t="shared" si="76"/>
        <v>0</v>
      </c>
      <c r="BW171" s="23">
        <f t="shared" si="77"/>
        <v>0</v>
      </c>
      <c r="BX171" s="23">
        <f t="shared" si="78"/>
        <v>0</v>
      </c>
      <c r="BY171" s="23">
        <f t="shared" si="79"/>
        <v>0</v>
      </c>
      <c r="BZ171" s="23">
        <f t="shared" si="80"/>
        <v>0</v>
      </c>
      <c r="CA171" s="23">
        <f t="shared" si="81"/>
        <v>0</v>
      </c>
      <c r="CB171" s="23">
        <f t="shared" si="82"/>
        <v>0</v>
      </c>
      <c r="CC171" s="23">
        <f t="shared" si="83"/>
        <v>0</v>
      </c>
      <c r="CD171" s="23">
        <f t="shared" si="84"/>
        <v>0</v>
      </c>
      <c r="CE171" s="23">
        <f t="shared" si="85"/>
        <v>0</v>
      </c>
      <c r="CF171" s="23">
        <f t="shared" si="86"/>
        <v>0</v>
      </c>
      <c r="CG171" s="23">
        <f t="shared" si="87"/>
        <v>0</v>
      </c>
      <c r="CH171" s="23">
        <f t="shared" si="88"/>
        <v>0</v>
      </c>
      <c r="CI171" s="23">
        <f t="shared" si="89"/>
        <v>0</v>
      </c>
      <c r="CJ171" s="23">
        <f t="shared" si="90"/>
        <v>0</v>
      </c>
      <c r="CK171" s="23">
        <f t="shared" si="91"/>
        <v>0</v>
      </c>
      <c r="CL171" s="23">
        <f t="shared" si="92"/>
        <v>0</v>
      </c>
      <c r="CM171" s="23">
        <f t="shared" si="93"/>
        <v>0</v>
      </c>
      <c r="CN171" s="23">
        <f t="shared" si="94"/>
        <v>1</v>
      </c>
      <c r="CO171" s="23">
        <f t="shared" si="95"/>
        <v>1</v>
      </c>
      <c r="CP171" s="23">
        <f t="shared" si="96"/>
        <v>1</v>
      </c>
      <c r="CQ171" s="23">
        <f t="shared" si="97"/>
        <v>1</v>
      </c>
      <c r="CR171" s="23">
        <f t="shared" si="98"/>
        <v>1</v>
      </c>
      <c r="CS171" s="23">
        <f t="shared" si="99"/>
        <v>1</v>
      </c>
      <c r="CT171" s="23">
        <f t="shared" si="100"/>
        <v>1</v>
      </c>
      <c r="CU171" s="23">
        <f t="shared" si="101"/>
        <v>1</v>
      </c>
      <c r="CV171" s="23">
        <f t="shared" si="102"/>
        <v>1</v>
      </c>
    </row>
    <row r="172" spans="1:100" ht="13.5">
      <c r="A172" s="15">
        <v>126</v>
      </c>
      <c r="B172" s="27" t="s">
        <v>557</v>
      </c>
      <c r="C172" t="s">
        <v>466</v>
      </c>
      <c r="D172" t="s">
        <v>558</v>
      </c>
      <c r="E172" t="s">
        <v>148</v>
      </c>
      <c r="F172" t="s">
        <v>546</v>
      </c>
      <c r="G172" t="s">
        <v>547</v>
      </c>
      <c r="H172" t="s">
        <v>548</v>
      </c>
      <c r="I172" s="6" t="s">
        <v>147</v>
      </c>
      <c r="J172" s="6">
        <v>1</v>
      </c>
      <c r="K172" t="s">
        <v>549</v>
      </c>
      <c r="L172" s="15">
        <v>1</v>
      </c>
      <c r="M172" s="7">
        <v>46028</v>
      </c>
      <c r="N172" s="7">
        <v>46041</v>
      </c>
      <c r="O172" s="7">
        <v>46038</v>
      </c>
      <c r="P172" s="7">
        <v>46043</v>
      </c>
      <c r="R172" s="6" t="s">
        <v>559</v>
      </c>
      <c r="S172" s="6" t="s">
        <v>465</v>
      </c>
      <c r="U172" s="6" t="s">
        <v>464</v>
      </c>
      <c r="V172" s="6" t="str">
        <f t="shared" si="69"/>
        <v>26/01</v>
      </c>
      <c r="W172">
        <v>1476</v>
      </c>
      <c r="AA172">
        <v>869</v>
      </c>
      <c r="AC172">
        <v>922</v>
      </c>
      <c r="AI172" s="23">
        <v>0</v>
      </c>
      <c r="AJ172" s="23">
        <v>0</v>
      </c>
      <c r="AK172" s="23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3">
        <v>0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3">
        <v>0</v>
      </c>
      <c r="BD172" s="23">
        <v>0</v>
      </c>
      <c r="BE172" s="23">
        <v>0</v>
      </c>
      <c r="BF172" s="23">
        <v>0</v>
      </c>
      <c r="BG172" s="23">
        <v>1</v>
      </c>
      <c r="BH172" s="23">
        <v>1</v>
      </c>
      <c r="BI172" s="23">
        <v>1</v>
      </c>
      <c r="BJ172" s="23">
        <v>1</v>
      </c>
      <c r="BK172" s="23">
        <v>1</v>
      </c>
      <c r="BL172" s="23">
        <v>1</v>
      </c>
      <c r="BM172" s="23">
        <v>1</v>
      </c>
      <c r="BN172" s="23">
        <v>1</v>
      </c>
      <c r="BO172" s="23">
        <v>1</v>
      </c>
      <c r="BP172" s="23">
        <f t="shared" si="70"/>
        <v>0</v>
      </c>
      <c r="BQ172" s="23">
        <f t="shared" si="71"/>
        <v>0</v>
      </c>
      <c r="BR172" s="23">
        <f t="shared" si="72"/>
        <v>0</v>
      </c>
      <c r="BS172" s="23">
        <f t="shared" si="73"/>
        <v>0</v>
      </c>
      <c r="BT172" s="23">
        <f t="shared" si="74"/>
        <v>0</v>
      </c>
      <c r="BU172" s="23">
        <f t="shared" si="75"/>
        <v>0</v>
      </c>
      <c r="BV172" s="23">
        <f t="shared" si="76"/>
        <v>0</v>
      </c>
      <c r="BW172" s="23">
        <f t="shared" si="77"/>
        <v>0</v>
      </c>
      <c r="BX172" s="23">
        <f t="shared" si="78"/>
        <v>0</v>
      </c>
      <c r="BY172" s="23">
        <f t="shared" si="79"/>
        <v>0</v>
      </c>
      <c r="BZ172" s="23">
        <f t="shared" si="80"/>
        <v>0</v>
      </c>
      <c r="CA172" s="23">
        <f t="shared" si="81"/>
        <v>0</v>
      </c>
      <c r="CB172" s="23">
        <f t="shared" si="82"/>
        <v>0</v>
      </c>
      <c r="CC172" s="23">
        <f t="shared" si="83"/>
        <v>0</v>
      </c>
      <c r="CD172" s="23">
        <f t="shared" si="84"/>
        <v>0</v>
      </c>
      <c r="CE172" s="23">
        <f t="shared" si="85"/>
        <v>0</v>
      </c>
      <c r="CF172" s="23">
        <f t="shared" si="86"/>
        <v>0</v>
      </c>
      <c r="CG172" s="23">
        <f t="shared" si="87"/>
        <v>0</v>
      </c>
      <c r="CH172" s="23">
        <f t="shared" si="88"/>
        <v>0</v>
      </c>
      <c r="CI172" s="23">
        <f t="shared" si="89"/>
        <v>0</v>
      </c>
      <c r="CJ172" s="23">
        <f t="shared" si="90"/>
        <v>0</v>
      </c>
      <c r="CK172" s="23">
        <f t="shared" si="91"/>
        <v>0</v>
      </c>
      <c r="CL172" s="23">
        <f t="shared" si="92"/>
        <v>0</v>
      </c>
      <c r="CM172" s="23">
        <f t="shared" si="93"/>
        <v>0</v>
      </c>
      <c r="CN172" s="23">
        <f t="shared" si="94"/>
        <v>1</v>
      </c>
      <c r="CO172" s="23">
        <f t="shared" si="95"/>
        <v>1</v>
      </c>
      <c r="CP172" s="23">
        <f t="shared" si="96"/>
        <v>1</v>
      </c>
      <c r="CQ172" s="23">
        <f t="shared" si="97"/>
        <v>1</v>
      </c>
      <c r="CR172" s="23">
        <f t="shared" si="98"/>
        <v>1</v>
      </c>
      <c r="CS172" s="23">
        <f t="shared" si="99"/>
        <v>1</v>
      </c>
      <c r="CT172" s="23">
        <f t="shared" si="100"/>
        <v>1</v>
      </c>
      <c r="CU172" s="23">
        <f t="shared" si="101"/>
        <v>1</v>
      </c>
      <c r="CV172" s="23">
        <f t="shared" si="102"/>
        <v>1</v>
      </c>
    </row>
    <row r="173" spans="1:100" ht="13.5">
      <c r="A173" s="15">
        <v>118</v>
      </c>
      <c r="B173" s="27" t="s">
        <v>560</v>
      </c>
      <c r="C173" t="s">
        <v>180</v>
      </c>
      <c r="E173" t="s">
        <v>182</v>
      </c>
      <c r="F173" t="s">
        <v>181</v>
      </c>
      <c r="G173" t="s">
        <v>182</v>
      </c>
      <c r="H173" t="s">
        <v>183</v>
      </c>
      <c r="I173" s="6" t="s">
        <v>136</v>
      </c>
      <c r="J173" s="6">
        <v>1</v>
      </c>
      <c r="L173" s="15">
        <v>1</v>
      </c>
      <c r="M173" s="7">
        <v>46030</v>
      </c>
      <c r="N173" s="7">
        <v>46043</v>
      </c>
      <c r="O173" s="7">
        <v>46042</v>
      </c>
      <c r="P173" s="7">
        <v>46042</v>
      </c>
      <c r="R173" s="6" t="s">
        <v>561</v>
      </c>
      <c r="S173" s="6" t="s">
        <v>182</v>
      </c>
      <c r="U173" s="6" t="s">
        <v>464</v>
      </c>
      <c r="V173" s="6" t="str">
        <f t="shared" si="69"/>
        <v>26/01</v>
      </c>
      <c r="W173">
        <v>1477</v>
      </c>
      <c r="AB173">
        <v>611</v>
      </c>
      <c r="AD173">
        <v>558</v>
      </c>
      <c r="AI173" s="23">
        <v>0</v>
      </c>
      <c r="AJ173" s="23">
        <v>0</v>
      </c>
      <c r="AK173" s="23">
        <v>0</v>
      </c>
      <c r="AL173" s="23">
        <v>0</v>
      </c>
      <c r="AM173" s="23">
        <v>0</v>
      </c>
      <c r="AN173" s="23">
        <v>0</v>
      </c>
      <c r="AO173" s="23">
        <v>0</v>
      </c>
      <c r="AP173" s="23">
        <v>0</v>
      </c>
      <c r="AQ173" s="23">
        <v>0</v>
      </c>
      <c r="AR173" s="23">
        <v>0</v>
      </c>
      <c r="AS173" s="23">
        <v>0</v>
      </c>
      <c r="AT173" s="23">
        <v>0</v>
      </c>
      <c r="AU173" s="23">
        <v>0</v>
      </c>
      <c r="AV173" s="23">
        <v>0</v>
      </c>
      <c r="AW173" s="23">
        <v>0</v>
      </c>
      <c r="AX173" s="23">
        <v>0</v>
      </c>
      <c r="AY173" s="23">
        <v>0</v>
      </c>
      <c r="AZ173" s="23">
        <v>0</v>
      </c>
      <c r="BA173" s="23">
        <v>0</v>
      </c>
      <c r="BB173" s="23">
        <v>0</v>
      </c>
      <c r="BC173" s="23">
        <v>0</v>
      </c>
      <c r="BD173" s="23">
        <v>0</v>
      </c>
      <c r="BE173" s="23">
        <v>0</v>
      </c>
      <c r="BF173" s="23">
        <v>0</v>
      </c>
      <c r="BG173" s="23">
        <v>1</v>
      </c>
      <c r="BH173" s="23">
        <v>1</v>
      </c>
      <c r="BI173" s="23">
        <v>1</v>
      </c>
      <c r="BJ173" s="23">
        <v>1</v>
      </c>
      <c r="BK173" s="23">
        <v>1</v>
      </c>
      <c r="BL173" s="23">
        <v>1</v>
      </c>
      <c r="BM173" s="23">
        <v>1</v>
      </c>
      <c r="BN173" s="23">
        <v>1</v>
      </c>
      <c r="BO173" s="23">
        <v>0</v>
      </c>
      <c r="BP173" s="23">
        <f t="shared" si="70"/>
        <v>0</v>
      </c>
      <c r="BQ173" s="23">
        <f t="shared" si="71"/>
        <v>0</v>
      </c>
      <c r="BR173" s="23">
        <f t="shared" si="72"/>
        <v>0</v>
      </c>
      <c r="BS173" s="23">
        <f t="shared" si="73"/>
        <v>0</v>
      </c>
      <c r="BT173" s="23">
        <f t="shared" si="74"/>
        <v>0</v>
      </c>
      <c r="BU173" s="23">
        <f t="shared" si="75"/>
        <v>0</v>
      </c>
      <c r="BV173" s="23">
        <f t="shared" si="76"/>
        <v>0</v>
      </c>
      <c r="BW173" s="23">
        <f t="shared" si="77"/>
        <v>0</v>
      </c>
      <c r="BX173" s="23">
        <f t="shared" si="78"/>
        <v>0</v>
      </c>
      <c r="BY173" s="23">
        <f t="shared" si="79"/>
        <v>0</v>
      </c>
      <c r="BZ173" s="23">
        <f t="shared" si="80"/>
        <v>0</v>
      </c>
      <c r="CA173" s="23">
        <f t="shared" si="81"/>
        <v>0</v>
      </c>
      <c r="CB173" s="23">
        <f t="shared" si="82"/>
        <v>0</v>
      </c>
      <c r="CC173" s="23">
        <f t="shared" si="83"/>
        <v>0</v>
      </c>
      <c r="CD173" s="23">
        <f t="shared" si="84"/>
        <v>0</v>
      </c>
      <c r="CE173" s="23">
        <f t="shared" si="85"/>
        <v>0</v>
      </c>
      <c r="CF173" s="23">
        <f t="shared" si="86"/>
        <v>0</v>
      </c>
      <c r="CG173" s="23">
        <f t="shared" si="87"/>
        <v>0</v>
      </c>
      <c r="CH173" s="23">
        <f t="shared" si="88"/>
        <v>0</v>
      </c>
      <c r="CI173" s="23">
        <f t="shared" si="89"/>
        <v>0</v>
      </c>
      <c r="CJ173" s="23">
        <f t="shared" si="90"/>
        <v>0</v>
      </c>
      <c r="CK173" s="23">
        <f t="shared" si="91"/>
        <v>0</v>
      </c>
      <c r="CL173" s="23">
        <f t="shared" si="92"/>
        <v>0</v>
      </c>
      <c r="CM173" s="23">
        <f t="shared" si="93"/>
        <v>0</v>
      </c>
      <c r="CN173" s="23">
        <f t="shared" si="94"/>
        <v>1</v>
      </c>
      <c r="CO173" s="23">
        <f t="shared" si="95"/>
        <v>1</v>
      </c>
      <c r="CP173" s="23">
        <f t="shared" si="96"/>
        <v>1</v>
      </c>
      <c r="CQ173" s="23">
        <f t="shared" si="97"/>
        <v>1</v>
      </c>
      <c r="CR173" s="23">
        <f t="shared" si="98"/>
        <v>1</v>
      </c>
      <c r="CS173" s="23">
        <f t="shared" si="99"/>
        <v>1</v>
      </c>
      <c r="CT173" s="23">
        <f t="shared" si="100"/>
        <v>1</v>
      </c>
      <c r="CU173" s="23">
        <f t="shared" si="101"/>
        <v>1</v>
      </c>
      <c r="CV173" s="23">
        <f t="shared" si="102"/>
        <v>0</v>
      </c>
    </row>
    <row r="174" spans="1:100" ht="13.5">
      <c r="A174" s="15">
        <v>124</v>
      </c>
      <c r="B174" s="27" t="s">
        <v>562</v>
      </c>
      <c r="C174" t="s">
        <v>180</v>
      </c>
      <c r="E174" t="s">
        <v>182</v>
      </c>
      <c r="F174" t="s">
        <v>181</v>
      </c>
      <c r="G174" t="s">
        <v>182</v>
      </c>
      <c r="H174" t="s">
        <v>183</v>
      </c>
      <c r="I174" s="6" t="s">
        <v>136</v>
      </c>
      <c r="J174" s="6">
        <v>1</v>
      </c>
      <c r="L174" s="15">
        <v>1</v>
      </c>
      <c r="M174" s="7">
        <v>46031</v>
      </c>
      <c r="N174" s="7">
        <v>46044</v>
      </c>
      <c r="O174" s="7">
        <v>46043</v>
      </c>
      <c r="P174" s="7">
        <v>46043</v>
      </c>
      <c r="R174" s="6" t="s">
        <v>563</v>
      </c>
      <c r="S174" s="6" t="s">
        <v>182</v>
      </c>
      <c r="U174" s="6" t="s">
        <v>464</v>
      </c>
      <c r="V174" s="6" t="str">
        <f t="shared" si="69"/>
        <v>26/01</v>
      </c>
      <c r="W174">
        <v>1478</v>
      </c>
      <c r="AB174">
        <v>612</v>
      </c>
      <c r="AD174">
        <v>559</v>
      </c>
      <c r="AI174" s="23">
        <v>0</v>
      </c>
      <c r="AJ174" s="23">
        <v>0</v>
      </c>
      <c r="AK174" s="23">
        <v>0</v>
      </c>
      <c r="AL174" s="23">
        <v>0</v>
      </c>
      <c r="AM174" s="23">
        <v>0</v>
      </c>
      <c r="AN174" s="23">
        <v>0</v>
      </c>
      <c r="AO174" s="23">
        <v>0</v>
      </c>
      <c r="AP174" s="23">
        <v>0</v>
      </c>
      <c r="AQ174" s="23">
        <v>0</v>
      </c>
      <c r="AR174" s="23">
        <v>0</v>
      </c>
      <c r="AS174" s="23">
        <v>0</v>
      </c>
      <c r="AT174" s="23">
        <v>0</v>
      </c>
      <c r="AU174" s="23">
        <v>0</v>
      </c>
      <c r="AV174" s="23">
        <v>0</v>
      </c>
      <c r="AW174" s="23">
        <v>0</v>
      </c>
      <c r="AX174" s="23">
        <v>0</v>
      </c>
      <c r="AY174" s="23">
        <v>0</v>
      </c>
      <c r="AZ174" s="23">
        <v>0</v>
      </c>
      <c r="BA174" s="23">
        <v>0</v>
      </c>
      <c r="BB174" s="23">
        <v>0</v>
      </c>
      <c r="BC174" s="23">
        <v>0</v>
      </c>
      <c r="BD174" s="23">
        <v>0</v>
      </c>
      <c r="BE174" s="23">
        <v>0</v>
      </c>
      <c r="BF174" s="23">
        <v>0</v>
      </c>
      <c r="BG174" s="23">
        <v>1</v>
      </c>
      <c r="BH174" s="23">
        <v>1</v>
      </c>
      <c r="BI174" s="23">
        <v>1</v>
      </c>
      <c r="BJ174" s="23">
        <v>1</v>
      </c>
      <c r="BK174" s="23">
        <v>1</v>
      </c>
      <c r="BL174" s="23">
        <v>1</v>
      </c>
      <c r="BM174" s="23">
        <v>1</v>
      </c>
      <c r="BN174" s="23">
        <v>1</v>
      </c>
      <c r="BO174" s="23">
        <v>0</v>
      </c>
      <c r="BP174" s="23">
        <f t="shared" si="70"/>
        <v>0</v>
      </c>
      <c r="BQ174" s="23">
        <f t="shared" si="71"/>
        <v>0</v>
      </c>
      <c r="BR174" s="23">
        <f t="shared" si="72"/>
        <v>0</v>
      </c>
      <c r="BS174" s="23">
        <f t="shared" si="73"/>
        <v>0</v>
      </c>
      <c r="BT174" s="23">
        <f t="shared" si="74"/>
        <v>0</v>
      </c>
      <c r="BU174" s="23">
        <f t="shared" si="75"/>
        <v>0</v>
      </c>
      <c r="BV174" s="23">
        <f t="shared" si="76"/>
        <v>0</v>
      </c>
      <c r="BW174" s="23">
        <f t="shared" si="77"/>
        <v>0</v>
      </c>
      <c r="BX174" s="23">
        <f t="shared" si="78"/>
        <v>0</v>
      </c>
      <c r="BY174" s="23">
        <f t="shared" si="79"/>
        <v>0</v>
      </c>
      <c r="BZ174" s="23">
        <f t="shared" si="80"/>
        <v>0</v>
      </c>
      <c r="CA174" s="23">
        <f t="shared" si="81"/>
        <v>0</v>
      </c>
      <c r="CB174" s="23">
        <f t="shared" si="82"/>
        <v>0</v>
      </c>
      <c r="CC174" s="23">
        <f t="shared" si="83"/>
        <v>0</v>
      </c>
      <c r="CD174" s="23">
        <f t="shared" si="84"/>
        <v>0</v>
      </c>
      <c r="CE174" s="23">
        <f t="shared" si="85"/>
        <v>0</v>
      </c>
      <c r="CF174" s="23">
        <f t="shared" si="86"/>
        <v>0</v>
      </c>
      <c r="CG174" s="23">
        <f t="shared" si="87"/>
        <v>0</v>
      </c>
      <c r="CH174" s="23">
        <f t="shared" si="88"/>
        <v>0</v>
      </c>
      <c r="CI174" s="23">
        <f t="shared" si="89"/>
        <v>0</v>
      </c>
      <c r="CJ174" s="23">
        <f t="shared" si="90"/>
        <v>0</v>
      </c>
      <c r="CK174" s="23">
        <f t="shared" si="91"/>
        <v>0</v>
      </c>
      <c r="CL174" s="23">
        <f t="shared" si="92"/>
        <v>0</v>
      </c>
      <c r="CM174" s="23">
        <f t="shared" si="93"/>
        <v>0</v>
      </c>
      <c r="CN174" s="23">
        <f t="shared" si="94"/>
        <v>1</v>
      </c>
      <c r="CO174" s="23">
        <f t="shared" si="95"/>
        <v>1</v>
      </c>
      <c r="CP174" s="23">
        <f t="shared" si="96"/>
        <v>1</v>
      </c>
      <c r="CQ174" s="23">
        <f t="shared" si="97"/>
        <v>1</v>
      </c>
      <c r="CR174" s="23">
        <f t="shared" si="98"/>
        <v>1</v>
      </c>
      <c r="CS174" s="23">
        <f t="shared" si="99"/>
        <v>1</v>
      </c>
      <c r="CT174" s="23">
        <f t="shared" si="100"/>
        <v>1</v>
      </c>
      <c r="CU174" s="23">
        <f t="shared" si="101"/>
        <v>1</v>
      </c>
      <c r="CV174" s="23">
        <f t="shared" si="102"/>
        <v>0</v>
      </c>
    </row>
    <row r="175" spans="1:100" ht="13.5">
      <c r="A175" s="15">
        <v>123</v>
      </c>
      <c r="B175" s="27" t="s">
        <v>564</v>
      </c>
      <c r="C175" t="s">
        <v>180</v>
      </c>
      <c r="E175" t="s">
        <v>182</v>
      </c>
      <c r="F175" t="s">
        <v>181</v>
      </c>
      <c r="G175" t="s">
        <v>182</v>
      </c>
      <c r="H175" t="s">
        <v>183</v>
      </c>
      <c r="I175" s="6" t="s">
        <v>136</v>
      </c>
      <c r="J175" s="6">
        <v>1</v>
      </c>
      <c r="L175" s="15">
        <v>1</v>
      </c>
      <c r="M175" s="7">
        <v>46031</v>
      </c>
      <c r="N175" s="7">
        <v>46044</v>
      </c>
      <c r="O175" s="7">
        <v>46043</v>
      </c>
      <c r="P175" s="7">
        <v>46043</v>
      </c>
      <c r="R175" s="6" t="s">
        <v>565</v>
      </c>
      <c r="S175" s="6" t="s">
        <v>182</v>
      </c>
      <c r="U175" s="6" t="s">
        <v>464</v>
      </c>
      <c r="V175" s="6" t="str">
        <f t="shared" si="69"/>
        <v>26/01</v>
      </c>
      <c r="W175">
        <v>1479</v>
      </c>
      <c r="AB175">
        <v>613</v>
      </c>
      <c r="AD175">
        <v>560</v>
      </c>
      <c r="AI175" s="23">
        <v>0</v>
      </c>
      <c r="AJ175" s="23">
        <v>0</v>
      </c>
      <c r="AK175" s="23">
        <v>0</v>
      </c>
      <c r="AL175" s="23">
        <v>0</v>
      </c>
      <c r="AM175" s="23">
        <v>0</v>
      </c>
      <c r="AN175" s="23">
        <v>0</v>
      </c>
      <c r="AO175" s="23">
        <v>0</v>
      </c>
      <c r="AP175" s="23">
        <v>0</v>
      </c>
      <c r="AQ175" s="23">
        <v>0</v>
      </c>
      <c r="AR175" s="23">
        <v>0</v>
      </c>
      <c r="AS175" s="23">
        <v>0</v>
      </c>
      <c r="AT175" s="23">
        <v>0</v>
      </c>
      <c r="AU175" s="23">
        <v>0</v>
      </c>
      <c r="AV175" s="23">
        <v>0</v>
      </c>
      <c r="AW175" s="23">
        <v>0</v>
      </c>
      <c r="AX175" s="23">
        <v>0</v>
      </c>
      <c r="AY175" s="23">
        <v>0</v>
      </c>
      <c r="AZ175" s="23">
        <v>0</v>
      </c>
      <c r="BA175" s="23">
        <v>0</v>
      </c>
      <c r="BB175" s="23">
        <v>0</v>
      </c>
      <c r="BC175" s="23">
        <v>0</v>
      </c>
      <c r="BD175" s="23">
        <v>0</v>
      </c>
      <c r="BE175" s="23">
        <v>0</v>
      </c>
      <c r="BF175" s="23">
        <v>0</v>
      </c>
      <c r="BG175" s="23">
        <v>1</v>
      </c>
      <c r="BH175" s="23">
        <v>1</v>
      </c>
      <c r="BI175" s="23">
        <v>1</v>
      </c>
      <c r="BJ175" s="23">
        <v>1</v>
      </c>
      <c r="BK175" s="23">
        <v>1</v>
      </c>
      <c r="BL175" s="23">
        <v>1</v>
      </c>
      <c r="BM175" s="23">
        <v>1</v>
      </c>
      <c r="BN175" s="23">
        <v>1</v>
      </c>
      <c r="BO175" s="23">
        <v>0</v>
      </c>
      <c r="BP175" s="23">
        <f t="shared" si="70"/>
        <v>0</v>
      </c>
      <c r="BQ175" s="23">
        <f t="shared" si="71"/>
        <v>0</v>
      </c>
      <c r="BR175" s="23">
        <f t="shared" si="72"/>
        <v>0</v>
      </c>
      <c r="BS175" s="23">
        <f t="shared" si="73"/>
        <v>0</v>
      </c>
      <c r="BT175" s="23">
        <f t="shared" si="74"/>
        <v>0</v>
      </c>
      <c r="BU175" s="23">
        <f t="shared" si="75"/>
        <v>0</v>
      </c>
      <c r="BV175" s="23">
        <f t="shared" si="76"/>
        <v>0</v>
      </c>
      <c r="BW175" s="23">
        <f t="shared" si="77"/>
        <v>0</v>
      </c>
      <c r="BX175" s="23">
        <f t="shared" si="78"/>
        <v>0</v>
      </c>
      <c r="BY175" s="23">
        <f t="shared" si="79"/>
        <v>0</v>
      </c>
      <c r="BZ175" s="23">
        <f t="shared" si="80"/>
        <v>0</v>
      </c>
      <c r="CA175" s="23">
        <f t="shared" si="81"/>
        <v>0</v>
      </c>
      <c r="CB175" s="23">
        <f t="shared" si="82"/>
        <v>0</v>
      </c>
      <c r="CC175" s="23">
        <f t="shared" si="83"/>
        <v>0</v>
      </c>
      <c r="CD175" s="23">
        <f t="shared" si="84"/>
        <v>0</v>
      </c>
      <c r="CE175" s="23">
        <f t="shared" si="85"/>
        <v>0</v>
      </c>
      <c r="CF175" s="23">
        <f t="shared" si="86"/>
        <v>0</v>
      </c>
      <c r="CG175" s="23">
        <f t="shared" si="87"/>
        <v>0</v>
      </c>
      <c r="CH175" s="23">
        <f t="shared" si="88"/>
        <v>0</v>
      </c>
      <c r="CI175" s="23">
        <f t="shared" si="89"/>
        <v>0</v>
      </c>
      <c r="CJ175" s="23">
        <f t="shared" si="90"/>
        <v>0</v>
      </c>
      <c r="CK175" s="23">
        <f t="shared" si="91"/>
        <v>0</v>
      </c>
      <c r="CL175" s="23">
        <f t="shared" si="92"/>
        <v>0</v>
      </c>
      <c r="CM175" s="23">
        <f t="shared" si="93"/>
        <v>0</v>
      </c>
      <c r="CN175" s="23">
        <f t="shared" si="94"/>
        <v>1</v>
      </c>
      <c r="CO175" s="23">
        <f t="shared" si="95"/>
        <v>1</v>
      </c>
      <c r="CP175" s="23">
        <f t="shared" si="96"/>
        <v>1</v>
      </c>
      <c r="CQ175" s="23">
        <f t="shared" si="97"/>
        <v>1</v>
      </c>
      <c r="CR175" s="23">
        <f t="shared" si="98"/>
        <v>1</v>
      </c>
      <c r="CS175" s="23">
        <f t="shared" si="99"/>
        <v>1</v>
      </c>
      <c r="CT175" s="23">
        <f t="shared" si="100"/>
        <v>1</v>
      </c>
      <c r="CU175" s="23">
        <f t="shared" si="101"/>
        <v>1</v>
      </c>
      <c r="CV175" s="23">
        <f t="shared" si="102"/>
        <v>0</v>
      </c>
    </row>
    <row r="176" spans="1:100" ht="13.5">
      <c r="A176" s="15">
        <v>125</v>
      </c>
      <c r="B176" s="27" t="s">
        <v>566</v>
      </c>
      <c r="C176" t="s">
        <v>180</v>
      </c>
      <c r="E176" t="s">
        <v>182</v>
      </c>
      <c r="F176" t="s">
        <v>181</v>
      </c>
      <c r="G176" t="s">
        <v>182</v>
      </c>
      <c r="H176" t="s">
        <v>183</v>
      </c>
      <c r="I176" s="6" t="s">
        <v>136</v>
      </c>
      <c r="J176" s="6">
        <v>1</v>
      </c>
      <c r="L176" s="15">
        <v>1</v>
      </c>
      <c r="M176" s="7">
        <v>46031</v>
      </c>
      <c r="N176" s="7">
        <v>46044</v>
      </c>
      <c r="O176" s="7">
        <v>46043</v>
      </c>
      <c r="P176" s="7">
        <v>46043</v>
      </c>
      <c r="R176" s="6" t="s">
        <v>567</v>
      </c>
      <c r="S176" s="6" t="s">
        <v>182</v>
      </c>
      <c r="U176" s="6" t="s">
        <v>464</v>
      </c>
      <c r="V176" s="6" t="str">
        <f t="shared" si="69"/>
        <v>26/01</v>
      </c>
      <c r="W176">
        <v>1480</v>
      </c>
      <c r="AB176">
        <v>614</v>
      </c>
      <c r="AD176">
        <v>561</v>
      </c>
      <c r="AI176" s="23">
        <v>0</v>
      </c>
      <c r="AJ176" s="23">
        <v>0</v>
      </c>
      <c r="AK176" s="23">
        <v>0</v>
      </c>
      <c r="AL176" s="23">
        <v>0</v>
      </c>
      <c r="AM176" s="23">
        <v>0</v>
      </c>
      <c r="AN176" s="23">
        <v>0</v>
      </c>
      <c r="AO176" s="23">
        <v>0</v>
      </c>
      <c r="AP176" s="23">
        <v>0</v>
      </c>
      <c r="AQ176" s="23">
        <v>0</v>
      </c>
      <c r="AR176" s="23">
        <v>0</v>
      </c>
      <c r="AS176" s="23">
        <v>0</v>
      </c>
      <c r="AT176" s="23">
        <v>0</v>
      </c>
      <c r="AU176" s="23">
        <v>0</v>
      </c>
      <c r="AV176" s="23">
        <v>0</v>
      </c>
      <c r="AW176" s="23">
        <v>0</v>
      </c>
      <c r="AX176" s="23">
        <v>0</v>
      </c>
      <c r="AY176" s="23">
        <v>0</v>
      </c>
      <c r="AZ176" s="23">
        <v>0</v>
      </c>
      <c r="BA176" s="23">
        <v>0</v>
      </c>
      <c r="BB176" s="23">
        <v>0</v>
      </c>
      <c r="BC176" s="23">
        <v>0</v>
      </c>
      <c r="BD176" s="23">
        <v>0</v>
      </c>
      <c r="BE176" s="23">
        <v>0</v>
      </c>
      <c r="BF176" s="23">
        <v>0</v>
      </c>
      <c r="BG176" s="23">
        <v>1</v>
      </c>
      <c r="BH176" s="23">
        <v>1</v>
      </c>
      <c r="BI176" s="23">
        <v>1</v>
      </c>
      <c r="BJ176" s="23">
        <v>1</v>
      </c>
      <c r="BK176" s="23">
        <v>1</v>
      </c>
      <c r="BL176" s="23">
        <v>1</v>
      </c>
      <c r="BM176" s="23">
        <v>1</v>
      </c>
      <c r="BN176" s="23">
        <v>1</v>
      </c>
      <c r="BO176" s="23">
        <v>0</v>
      </c>
      <c r="BP176" s="23">
        <f t="shared" si="70"/>
        <v>0</v>
      </c>
      <c r="BQ176" s="23">
        <f t="shared" si="71"/>
        <v>0</v>
      </c>
      <c r="BR176" s="23">
        <f t="shared" si="72"/>
        <v>0</v>
      </c>
      <c r="BS176" s="23">
        <f t="shared" si="73"/>
        <v>0</v>
      </c>
      <c r="BT176" s="23">
        <f t="shared" si="74"/>
        <v>0</v>
      </c>
      <c r="BU176" s="23">
        <f t="shared" si="75"/>
        <v>0</v>
      </c>
      <c r="BV176" s="23">
        <f t="shared" si="76"/>
        <v>0</v>
      </c>
      <c r="BW176" s="23">
        <f t="shared" si="77"/>
        <v>0</v>
      </c>
      <c r="BX176" s="23">
        <f t="shared" si="78"/>
        <v>0</v>
      </c>
      <c r="BY176" s="23">
        <f t="shared" si="79"/>
        <v>0</v>
      </c>
      <c r="BZ176" s="23">
        <f t="shared" si="80"/>
        <v>0</v>
      </c>
      <c r="CA176" s="23">
        <f t="shared" si="81"/>
        <v>0</v>
      </c>
      <c r="CB176" s="23">
        <f t="shared" si="82"/>
        <v>0</v>
      </c>
      <c r="CC176" s="23">
        <f t="shared" si="83"/>
        <v>0</v>
      </c>
      <c r="CD176" s="23">
        <f t="shared" si="84"/>
        <v>0</v>
      </c>
      <c r="CE176" s="23">
        <f t="shared" si="85"/>
        <v>0</v>
      </c>
      <c r="CF176" s="23">
        <f t="shared" si="86"/>
        <v>0</v>
      </c>
      <c r="CG176" s="23">
        <f t="shared" si="87"/>
        <v>0</v>
      </c>
      <c r="CH176" s="23">
        <f t="shared" si="88"/>
        <v>0</v>
      </c>
      <c r="CI176" s="23">
        <f t="shared" si="89"/>
        <v>0</v>
      </c>
      <c r="CJ176" s="23">
        <f t="shared" si="90"/>
        <v>0</v>
      </c>
      <c r="CK176" s="23">
        <f t="shared" si="91"/>
        <v>0</v>
      </c>
      <c r="CL176" s="23">
        <f t="shared" si="92"/>
        <v>0</v>
      </c>
      <c r="CM176" s="23">
        <f t="shared" si="93"/>
        <v>0</v>
      </c>
      <c r="CN176" s="23">
        <f t="shared" si="94"/>
        <v>1</v>
      </c>
      <c r="CO176" s="23">
        <f t="shared" si="95"/>
        <v>1</v>
      </c>
      <c r="CP176" s="23">
        <f t="shared" si="96"/>
        <v>1</v>
      </c>
      <c r="CQ176" s="23">
        <f t="shared" si="97"/>
        <v>1</v>
      </c>
      <c r="CR176" s="23">
        <f t="shared" si="98"/>
        <v>1</v>
      </c>
      <c r="CS176" s="23">
        <f t="shared" si="99"/>
        <v>1</v>
      </c>
      <c r="CT176" s="23">
        <f t="shared" si="100"/>
        <v>1</v>
      </c>
      <c r="CU176" s="23">
        <f t="shared" si="101"/>
        <v>1</v>
      </c>
      <c r="CV176" s="23">
        <f t="shared" si="102"/>
        <v>0</v>
      </c>
    </row>
    <row r="177" spans="1:100" ht="13.5">
      <c r="A177" s="15">
        <v>128</v>
      </c>
      <c r="B177" s="27" t="s">
        <v>568</v>
      </c>
      <c r="C177" t="s">
        <v>180</v>
      </c>
      <c r="E177" t="s">
        <v>182</v>
      </c>
      <c r="F177" t="s">
        <v>181</v>
      </c>
      <c r="G177" t="s">
        <v>182</v>
      </c>
      <c r="H177" t="s">
        <v>183</v>
      </c>
      <c r="I177" s="6" t="s">
        <v>136</v>
      </c>
      <c r="J177" s="6">
        <v>1</v>
      </c>
      <c r="L177" s="15">
        <v>1</v>
      </c>
      <c r="M177" s="7">
        <v>46035</v>
      </c>
      <c r="N177" s="7">
        <v>46045</v>
      </c>
      <c r="O177" s="7">
        <v>46044</v>
      </c>
      <c r="P177" s="7">
        <v>46044</v>
      </c>
      <c r="S177" s="6" t="s">
        <v>182</v>
      </c>
      <c r="U177" s="6" t="s">
        <v>464</v>
      </c>
      <c r="V177" s="6" t="str">
        <f t="shared" si="69"/>
        <v>26/01</v>
      </c>
      <c r="W177">
        <v>1481</v>
      </c>
      <c r="AB177">
        <v>615</v>
      </c>
      <c r="AD177">
        <v>562</v>
      </c>
      <c r="AI177" s="23">
        <v>0</v>
      </c>
      <c r="AJ177" s="23">
        <v>0</v>
      </c>
      <c r="AK177" s="23">
        <v>0</v>
      </c>
      <c r="AL177" s="23">
        <v>0</v>
      </c>
      <c r="AM177" s="23">
        <v>0</v>
      </c>
      <c r="AN177" s="23">
        <v>0</v>
      </c>
      <c r="AO177" s="23">
        <v>0</v>
      </c>
      <c r="AP177" s="23">
        <v>0</v>
      </c>
      <c r="AQ177" s="23">
        <v>0</v>
      </c>
      <c r="AR177" s="23">
        <v>0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0</v>
      </c>
      <c r="AZ177" s="23">
        <v>0</v>
      </c>
      <c r="BA177" s="23">
        <v>0</v>
      </c>
      <c r="BB177" s="23">
        <v>0</v>
      </c>
      <c r="BC177" s="23">
        <v>0</v>
      </c>
      <c r="BD177" s="23">
        <v>0</v>
      </c>
      <c r="BE177" s="23">
        <v>0</v>
      </c>
      <c r="BF177" s="23">
        <v>0</v>
      </c>
      <c r="BG177" s="23">
        <v>1</v>
      </c>
      <c r="BH177" s="23">
        <v>1</v>
      </c>
      <c r="BI177" s="23">
        <v>1</v>
      </c>
      <c r="BJ177" s="23">
        <v>1</v>
      </c>
      <c r="BK177" s="23">
        <v>1</v>
      </c>
      <c r="BL177" s="23">
        <v>1</v>
      </c>
      <c r="BM177" s="23">
        <v>1</v>
      </c>
      <c r="BN177" s="23">
        <v>1</v>
      </c>
      <c r="BO177" s="23">
        <v>0</v>
      </c>
      <c r="BP177" s="23">
        <f t="shared" si="70"/>
        <v>0</v>
      </c>
      <c r="BQ177" s="23">
        <f t="shared" si="71"/>
        <v>0</v>
      </c>
      <c r="BR177" s="23">
        <f t="shared" si="72"/>
        <v>0</v>
      </c>
      <c r="BS177" s="23">
        <f t="shared" si="73"/>
        <v>0</v>
      </c>
      <c r="BT177" s="23">
        <f t="shared" si="74"/>
        <v>0</v>
      </c>
      <c r="BU177" s="23">
        <f t="shared" si="75"/>
        <v>0</v>
      </c>
      <c r="BV177" s="23">
        <f t="shared" si="76"/>
        <v>0</v>
      </c>
      <c r="BW177" s="23">
        <f t="shared" si="77"/>
        <v>0</v>
      </c>
      <c r="BX177" s="23">
        <f t="shared" si="78"/>
        <v>0</v>
      </c>
      <c r="BY177" s="23">
        <f t="shared" si="79"/>
        <v>0</v>
      </c>
      <c r="BZ177" s="23">
        <f t="shared" si="80"/>
        <v>0</v>
      </c>
      <c r="CA177" s="23">
        <f t="shared" si="81"/>
        <v>0</v>
      </c>
      <c r="CB177" s="23">
        <f t="shared" si="82"/>
        <v>0</v>
      </c>
      <c r="CC177" s="23">
        <f t="shared" si="83"/>
        <v>0</v>
      </c>
      <c r="CD177" s="23">
        <f t="shared" si="84"/>
        <v>0</v>
      </c>
      <c r="CE177" s="23">
        <f t="shared" si="85"/>
        <v>0</v>
      </c>
      <c r="CF177" s="23">
        <f t="shared" si="86"/>
        <v>0</v>
      </c>
      <c r="CG177" s="23">
        <f t="shared" si="87"/>
        <v>0</v>
      </c>
      <c r="CH177" s="23">
        <f t="shared" si="88"/>
        <v>0</v>
      </c>
      <c r="CI177" s="23">
        <f t="shared" si="89"/>
        <v>0</v>
      </c>
      <c r="CJ177" s="23">
        <f t="shared" si="90"/>
        <v>0</v>
      </c>
      <c r="CK177" s="23">
        <f t="shared" si="91"/>
        <v>0</v>
      </c>
      <c r="CL177" s="23">
        <f t="shared" si="92"/>
        <v>0</v>
      </c>
      <c r="CM177" s="23">
        <f t="shared" si="93"/>
        <v>0</v>
      </c>
      <c r="CN177" s="23">
        <f t="shared" si="94"/>
        <v>1</v>
      </c>
      <c r="CO177" s="23">
        <f t="shared" si="95"/>
        <v>1</v>
      </c>
      <c r="CP177" s="23">
        <f t="shared" si="96"/>
        <v>1</v>
      </c>
      <c r="CQ177" s="23">
        <f t="shared" si="97"/>
        <v>1</v>
      </c>
      <c r="CR177" s="23">
        <f t="shared" si="98"/>
        <v>1</v>
      </c>
      <c r="CS177" s="23">
        <f t="shared" si="99"/>
        <v>1</v>
      </c>
      <c r="CT177" s="23">
        <f t="shared" si="100"/>
        <v>1</v>
      </c>
      <c r="CU177" s="23">
        <f t="shared" si="101"/>
        <v>1</v>
      </c>
      <c r="CV177" s="23">
        <f t="shared" si="102"/>
        <v>0</v>
      </c>
    </row>
    <row r="178" spans="1:100" ht="13.5">
      <c r="A178" s="15">
        <v>130</v>
      </c>
      <c r="B178" s="27" t="s">
        <v>570</v>
      </c>
      <c r="C178" t="s">
        <v>180</v>
      </c>
      <c r="E178" t="s">
        <v>182</v>
      </c>
      <c r="F178" t="s">
        <v>181</v>
      </c>
      <c r="G178" t="s">
        <v>182</v>
      </c>
      <c r="H178" t="s">
        <v>183</v>
      </c>
      <c r="I178" s="6" t="s">
        <v>136</v>
      </c>
      <c r="J178" s="6">
        <v>1</v>
      </c>
      <c r="L178" s="15">
        <v>1</v>
      </c>
      <c r="M178" s="7">
        <v>46035</v>
      </c>
      <c r="N178" s="7">
        <v>46045</v>
      </c>
      <c r="O178" s="7">
        <v>46044</v>
      </c>
      <c r="P178" s="7">
        <v>46044</v>
      </c>
      <c r="S178" s="6" t="s">
        <v>182</v>
      </c>
      <c r="U178" s="6" t="s">
        <v>464</v>
      </c>
      <c r="V178" s="6" t="str">
        <f t="shared" si="69"/>
        <v>26/01</v>
      </c>
      <c r="W178">
        <v>1482</v>
      </c>
      <c r="AB178">
        <v>616</v>
      </c>
      <c r="AD178">
        <v>563</v>
      </c>
      <c r="AI178" s="23">
        <v>0</v>
      </c>
      <c r="AJ178" s="23">
        <v>0</v>
      </c>
      <c r="AK178" s="23">
        <v>0</v>
      </c>
      <c r="AL178" s="23">
        <v>0</v>
      </c>
      <c r="AM178" s="23">
        <v>0</v>
      </c>
      <c r="AN178" s="23">
        <v>0</v>
      </c>
      <c r="AO178" s="23">
        <v>0</v>
      </c>
      <c r="AP178" s="23">
        <v>0</v>
      </c>
      <c r="AQ178" s="23">
        <v>0</v>
      </c>
      <c r="AR178" s="23">
        <v>0</v>
      </c>
      <c r="AS178" s="23">
        <v>0</v>
      </c>
      <c r="AT178" s="23">
        <v>0</v>
      </c>
      <c r="AU178" s="23">
        <v>0</v>
      </c>
      <c r="AV178" s="23">
        <v>0</v>
      </c>
      <c r="AW178" s="23">
        <v>0</v>
      </c>
      <c r="AX178" s="23">
        <v>0</v>
      </c>
      <c r="AY178" s="23">
        <v>0</v>
      </c>
      <c r="AZ178" s="23">
        <v>0</v>
      </c>
      <c r="BA178" s="23">
        <v>0</v>
      </c>
      <c r="BB178" s="23">
        <v>0</v>
      </c>
      <c r="BC178" s="23">
        <v>0</v>
      </c>
      <c r="BD178" s="23">
        <v>0</v>
      </c>
      <c r="BE178" s="23">
        <v>0</v>
      </c>
      <c r="BF178" s="23">
        <v>0</v>
      </c>
      <c r="BG178" s="23">
        <v>1</v>
      </c>
      <c r="BH178" s="23">
        <v>1</v>
      </c>
      <c r="BI178" s="23">
        <v>1</v>
      </c>
      <c r="BJ178" s="23">
        <v>1</v>
      </c>
      <c r="BK178" s="23">
        <v>1</v>
      </c>
      <c r="BL178" s="23">
        <v>1</v>
      </c>
      <c r="BM178" s="23">
        <v>1</v>
      </c>
      <c r="BN178" s="23">
        <v>1</v>
      </c>
      <c r="BO178" s="23">
        <v>0</v>
      </c>
      <c r="BP178" s="23">
        <f t="shared" si="70"/>
        <v>0</v>
      </c>
      <c r="BQ178" s="23">
        <f t="shared" si="71"/>
        <v>0</v>
      </c>
      <c r="BR178" s="23">
        <f t="shared" si="72"/>
        <v>0</v>
      </c>
      <c r="BS178" s="23">
        <f t="shared" si="73"/>
        <v>0</v>
      </c>
      <c r="BT178" s="23">
        <f t="shared" si="74"/>
        <v>0</v>
      </c>
      <c r="BU178" s="23">
        <f t="shared" si="75"/>
        <v>0</v>
      </c>
      <c r="BV178" s="23">
        <f t="shared" si="76"/>
        <v>0</v>
      </c>
      <c r="BW178" s="23">
        <f t="shared" si="77"/>
        <v>0</v>
      </c>
      <c r="BX178" s="23">
        <f t="shared" si="78"/>
        <v>0</v>
      </c>
      <c r="BY178" s="23">
        <f t="shared" si="79"/>
        <v>0</v>
      </c>
      <c r="BZ178" s="23">
        <f t="shared" si="80"/>
        <v>0</v>
      </c>
      <c r="CA178" s="23">
        <f t="shared" si="81"/>
        <v>0</v>
      </c>
      <c r="CB178" s="23">
        <f t="shared" si="82"/>
        <v>0</v>
      </c>
      <c r="CC178" s="23">
        <f t="shared" si="83"/>
        <v>0</v>
      </c>
      <c r="CD178" s="23">
        <f t="shared" si="84"/>
        <v>0</v>
      </c>
      <c r="CE178" s="23">
        <f t="shared" si="85"/>
        <v>0</v>
      </c>
      <c r="CF178" s="23">
        <f t="shared" si="86"/>
        <v>0</v>
      </c>
      <c r="CG178" s="23">
        <f t="shared" si="87"/>
        <v>0</v>
      </c>
      <c r="CH178" s="23">
        <f t="shared" si="88"/>
        <v>0</v>
      </c>
      <c r="CI178" s="23">
        <f t="shared" si="89"/>
        <v>0</v>
      </c>
      <c r="CJ178" s="23">
        <f t="shared" si="90"/>
        <v>0</v>
      </c>
      <c r="CK178" s="23">
        <f t="shared" si="91"/>
        <v>0</v>
      </c>
      <c r="CL178" s="23">
        <f t="shared" si="92"/>
        <v>0</v>
      </c>
      <c r="CM178" s="23">
        <f t="shared" si="93"/>
        <v>0</v>
      </c>
      <c r="CN178" s="23">
        <f t="shared" si="94"/>
        <v>1</v>
      </c>
      <c r="CO178" s="23">
        <f t="shared" si="95"/>
        <v>1</v>
      </c>
      <c r="CP178" s="23">
        <f t="shared" si="96"/>
        <v>1</v>
      </c>
      <c r="CQ178" s="23">
        <f t="shared" si="97"/>
        <v>1</v>
      </c>
      <c r="CR178" s="23">
        <f t="shared" si="98"/>
        <v>1</v>
      </c>
      <c r="CS178" s="23">
        <f t="shared" si="99"/>
        <v>1</v>
      </c>
      <c r="CT178" s="23">
        <f t="shared" si="100"/>
        <v>1</v>
      </c>
      <c r="CU178" s="23">
        <f t="shared" si="101"/>
        <v>1</v>
      </c>
      <c r="CV178" s="23">
        <f t="shared" si="102"/>
        <v>0</v>
      </c>
    </row>
    <row r="179" spans="1:100" ht="13.5">
      <c r="A179" s="15">
        <v>129</v>
      </c>
      <c r="B179" s="27" t="s">
        <v>569</v>
      </c>
      <c r="C179" t="s">
        <v>180</v>
      </c>
      <c r="E179" t="s">
        <v>182</v>
      </c>
      <c r="F179" t="s">
        <v>181</v>
      </c>
      <c r="G179" t="s">
        <v>182</v>
      </c>
      <c r="H179" t="s">
        <v>183</v>
      </c>
      <c r="I179" s="6" t="s">
        <v>136</v>
      </c>
      <c r="J179" s="6">
        <v>1</v>
      </c>
      <c r="L179" s="15">
        <v>1</v>
      </c>
      <c r="M179" s="7">
        <v>46035</v>
      </c>
      <c r="N179" s="7">
        <v>46045</v>
      </c>
      <c r="O179" s="7">
        <v>46044</v>
      </c>
      <c r="P179" s="7">
        <v>46044</v>
      </c>
      <c r="S179" s="6" t="s">
        <v>182</v>
      </c>
      <c r="U179" s="6" t="s">
        <v>464</v>
      </c>
      <c r="V179" s="6" t="str">
        <f t="shared" si="69"/>
        <v>26/01</v>
      </c>
      <c r="W179">
        <v>1483</v>
      </c>
      <c r="AB179">
        <v>617</v>
      </c>
      <c r="AD179">
        <v>564</v>
      </c>
      <c r="AI179" s="23">
        <v>0</v>
      </c>
      <c r="AJ179" s="23">
        <v>0</v>
      </c>
      <c r="AK179" s="23">
        <v>0</v>
      </c>
      <c r="AL179" s="23">
        <v>0</v>
      </c>
      <c r="AM179" s="23">
        <v>0</v>
      </c>
      <c r="AN179" s="23">
        <v>0</v>
      </c>
      <c r="AO179" s="23">
        <v>0</v>
      </c>
      <c r="AP179" s="23">
        <v>0</v>
      </c>
      <c r="AQ179" s="23">
        <v>0</v>
      </c>
      <c r="AR179" s="23">
        <v>0</v>
      </c>
      <c r="AS179" s="23">
        <v>0</v>
      </c>
      <c r="AT179" s="23">
        <v>0</v>
      </c>
      <c r="AU179" s="23">
        <v>0</v>
      </c>
      <c r="AV179" s="23">
        <v>0</v>
      </c>
      <c r="AW179" s="23">
        <v>0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3">
        <v>0</v>
      </c>
      <c r="BD179" s="23">
        <v>0</v>
      </c>
      <c r="BE179" s="23">
        <v>0</v>
      </c>
      <c r="BF179" s="23">
        <v>0</v>
      </c>
      <c r="BG179" s="23">
        <v>1</v>
      </c>
      <c r="BH179" s="23">
        <v>1</v>
      </c>
      <c r="BI179" s="23">
        <v>1</v>
      </c>
      <c r="BJ179" s="23">
        <v>1</v>
      </c>
      <c r="BK179" s="23">
        <v>1</v>
      </c>
      <c r="BL179" s="23">
        <v>1</v>
      </c>
      <c r="BM179" s="23">
        <v>1</v>
      </c>
      <c r="BN179" s="23">
        <v>1</v>
      </c>
      <c r="BO179" s="23">
        <v>0</v>
      </c>
      <c r="BP179" s="23">
        <f t="shared" si="70"/>
        <v>0</v>
      </c>
      <c r="BQ179" s="23">
        <f t="shared" si="71"/>
        <v>0</v>
      </c>
      <c r="BR179" s="23">
        <f t="shared" si="72"/>
        <v>0</v>
      </c>
      <c r="BS179" s="23">
        <f t="shared" si="73"/>
        <v>0</v>
      </c>
      <c r="BT179" s="23">
        <f t="shared" si="74"/>
        <v>0</v>
      </c>
      <c r="BU179" s="23">
        <f t="shared" si="75"/>
        <v>0</v>
      </c>
      <c r="BV179" s="23">
        <f t="shared" si="76"/>
        <v>0</v>
      </c>
      <c r="BW179" s="23">
        <f t="shared" si="77"/>
        <v>0</v>
      </c>
      <c r="BX179" s="23">
        <f t="shared" si="78"/>
        <v>0</v>
      </c>
      <c r="BY179" s="23">
        <f t="shared" si="79"/>
        <v>0</v>
      </c>
      <c r="BZ179" s="23">
        <f t="shared" si="80"/>
        <v>0</v>
      </c>
      <c r="CA179" s="23">
        <f t="shared" si="81"/>
        <v>0</v>
      </c>
      <c r="CB179" s="23">
        <f t="shared" si="82"/>
        <v>0</v>
      </c>
      <c r="CC179" s="23">
        <f t="shared" si="83"/>
        <v>0</v>
      </c>
      <c r="CD179" s="23">
        <f t="shared" si="84"/>
        <v>0</v>
      </c>
      <c r="CE179" s="23">
        <f t="shared" si="85"/>
        <v>0</v>
      </c>
      <c r="CF179" s="23">
        <f t="shared" si="86"/>
        <v>0</v>
      </c>
      <c r="CG179" s="23">
        <f t="shared" si="87"/>
        <v>0</v>
      </c>
      <c r="CH179" s="23">
        <f t="shared" si="88"/>
        <v>0</v>
      </c>
      <c r="CI179" s="23">
        <f t="shared" si="89"/>
        <v>0</v>
      </c>
      <c r="CJ179" s="23">
        <f t="shared" si="90"/>
        <v>0</v>
      </c>
      <c r="CK179" s="23">
        <f t="shared" si="91"/>
        <v>0</v>
      </c>
      <c r="CL179" s="23">
        <f t="shared" si="92"/>
        <v>0</v>
      </c>
      <c r="CM179" s="23">
        <f t="shared" si="93"/>
        <v>0</v>
      </c>
      <c r="CN179" s="23">
        <f t="shared" si="94"/>
        <v>1</v>
      </c>
      <c r="CO179" s="23">
        <f t="shared" si="95"/>
        <v>1</v>
      </c>
      <c r="CP179" s="23">
        <f t="shared" si="96"/>
        <v>1</v>
      </c>
      <c r="CQ179" s="23">
        <f t="shared" si="97"/>
        <v>1</v>
      </c>
      <c r="CR179" s="23">
        <f t="shared" si="98"/>
        <v>1</v>
      </c>
      <c r="CS179" s="23">
        <f t="shared" si="99"/>
        <v>1</v>
      </c>
      <c r="CT179" s="23">
        <f t="shared" si="100"/>
        <v>1</v>
      </c>
      <c r="CU179" s="23">
        <f t="shared" si="101"/>
        <v>1</v>
      </c>
      <c r="CV179" s="23">
        <f t="shared" si="102"/>
        <v>0</v>
      </c>
    </row>
    <row r="180" spans="1:100" ht="13.5">
      <c r="A180" s="15">
        <v>134</v>
      </c>
      <c r="B180" s="27" t="s">
        <v>572</v>
      </c>
      <c r="C180" t="s">
        <v>180</v>
      </c>
      <c r="E180" t="s">
        <v>182</v>
      </c>
      <c r="F180" t="s">
        <v>181</v>
      </c>
      <c r="G180" t="s">
        <v>182</v>
      </c>
      <c r="H180" t="s">
        <v>183</v>
      </c>
      <c r="I180" s="6" t="s">
        <v>136</v>
      </c>
      <c r="J180" s="6">
        <v>1</v>
      </c>
      <c r="L180" s="15">
        <v>1</v>
      </c>
      <c r="M180" s="7">
        <v>46036</v>
      </c>
      <c r="N180" s="7">
        <v>46048</v>
      </c>
      <c r="O180" s="7">
        <v>46045</v>
      </c>
      <c r="P180" s="7">
        <v>46045</v>
      </c>
      <c r="S180" s="6" t="s">
        <v>182</v>
      </c>
      <c r="U180" s="6" t="s">
        <v>464</v>
      </c>
      <c r="V180" s="6" t="str">
        <f t="shared" si="69"/>
        <v>26/01</v>
      </c>
      <c r="W180">
        <v>1484</v>
      </c>
      <c r="AB180">
        <v>618</v>
      </c>
      <c r="AD180">
        <v>565</v>
      </c>
      <c r="AI180" s="23">
        <v>0</v>
      </c>
      <c r="AJ180" s="23">
        <v>0</v>
      </c>
      <c r="AK180" s="23">
        <v>0</v>
      </c>
      <c r="AL180" s="23">
        <v>0</v>
      </c>
      <c r="AM180" s="23">
        <v>0</v>
      </c>
      <c r="AN180" s="23">
        <v>0</v>
      </c>
      <c r="AO180" s="23">
        <v>0</v>
      </c>
      <c r="AP180" s="23">
        <v>0</v>
      </c>
      <c r="AQ180" s="23">
        <v>0</v>
      </c>
      <c r="AR180" s="23">
        <v>0</v>
      </c>
      <c r="AS180" s="23">
        <v>0</v>
      </c>
      <c r="AT180" s="23">
        <v>0</v>
      </c>
      <c r="AU180" s="23">
        <v>0</v>
      </c>
      <c r="AV180" s="23">
        <v>0</v>
      </c>
      <c r="AW180" s="23">
        <v>0</v>
      </c>
      <c r="AX180" s="23">
        <v>0</v>
      </c>
      <c r="AY180" s="23">
        <v>0</v>
      </c>
      <c r="AZ180" s="23">
        <v>0</v>
      </c>
      <c r="BA180" s="23">
        <v>0</v>
      </c>
      <c r="BB180" s="23">
        <v>0</v>
      </c>
      <c r="BC180" s="23">
        <v>0</v>
      </c>
      <c r="BD180" s="23">
        <v>0</v>
      </c>
      <c r="BE180" s="23">
        <v>0</v>
      </c>
      <c r="BF180" s="23">
        <v>0</v>
      </c>
      <c r="BG180" s="23">
        <v>1</v>
      </c>
      <c r="BH180" s="23">
        <v>1</v>
      </c>
      <c r="BI180" s="23">
        <v>1</v>
      </c>
      <c r="BJ180" s="23">
        <v>1</v>
      </c>
      <c r="BK180" s="23">
        <v>1</v>
      </c>
      <c r="BL180" s="23">
        <v>1</v>
      </c>
      <c r="BM180" s="23">
        <v>1</v>
      </c>
      <c r="BN180" s="23">
        <v>1</v>
      </c>
      <c r="BO180" s="23">
        <v>0</v>
      </c>
      <c r="BP180" s="23">
        <f t="shared" si="70"/>
        <v>0</v>
      </c>
      <c r="BQ180" s="23">
        <f t="shared" si="71"/>
        <v>0</v>
      </c>
      <c r="BR180" s="23">
        <f t="shared" si="72"/>
        <v>0</v>
      </c>
      <c r="BS180" s="23">
        <f t="shared" si="73"/>
        <v>0</v>
      </c>
      <c r="BT180" s="23">
        <f t="shared" si="74"/>
        <v>0</v>
      </c>
      <c r="BU180" s="23">
        <f t="shared" si="75"/>
        <v>0</v>
      </c>
      <c r="BV180" s="23">
        <f t="shared" si="76"/>
        <v>0</v>
      </c>
      <c r="BW180" s="23">
        <f t="shared" si="77"/>
        <v>0</v>
      </c>
      <c r="BX180" s="23">
        <f t="shared" si="78"/>
        <v>0</v>
      </c>
      <c r="BY180" s="23">
        <f t="shared" si="79"/>
        <v>0</v>
      </c>
      <c r="BZ180" s="23">
        <f t="shared" si="80"/>
        <v>0</v>
      </c>
      <c r="CA180" s="23">
        <f t="shared" si="81"/>
        <v>0</v>
      </c>
      <c r="CB180" s="23">
        <f t="shared" si="82"/>
        <v>0</v>
      </c>
      <c r="CC180" s="23">
        <f t="shared" si="83"/>
        <v>0</v>
      </c>
      <c r="CD180" s="23">
        <f t="shared" si="84"/>
        <v>0</v>
      </c>
      <c r="CE180" s="23">
        <f t="shared" si="85"/>
        <v>0</v>
      </c>
      <c r="CF180" s="23">
        <f t="shared" si="86"/>
        <v>0</v>
      </c>
      <c r="CG180" s="23">
        <f t="shared" si="87"/>
        <v>0</v>
      </c>
      <c r="CH180" s="23">
        <f t="shared" si="88"/>
        <v>0</v>
      </c>
      <c r="CI180" s="23">
        <f t="shared" si="89"/>
        <v>0</v>
      </c>
      <c r="CJ180" s="23">
        <f t="shared" si="90"/>
        <v>0</v>
      </c>
      <c r="CK180" s="23">
        <f t="shared" si="91"/>
        <v>0</v>
      </c>
      <c r="CL180" s="23">
        <f t="shared" si="92"/>
        <v>0</v>
      </c>
      <c r="CM180" s="23">
        <f t="shared" si="93"/>
        <v>0</v>
      </c>
      <c r="CN180" s="23">
        <f t="shared" si="94"/>
        <v>1</v>
      </c>
      <c r="CO180" s="23">
        <f t="shared" si="95"/>
        <v>1</v>
      </c>
      <c r="CP180" s="23">
        <f t="shared" si="96"/>
        <v>1</v>
      </c>
      <c r="CQ180" s="23">
        <f t="shared" si="97"/>
        <v>1</v>
      </c>
      <c r="CR180" s="23">
        <f t="shared" si="98"/>
        <v>1</v>
      </c>
      <c r="CS180" s="23">
        <f t="shared" si="99"/>
        <v>1</v>
      </c>
      <c r="CT180" s="23">
        <f t="shared" si="100"/>
        <v>1</v>
      </c>
      <c r="CU180" s="23">
        <f t="shared" si="101"/>
        <v>1</v>
      </c>
      <c r="CV180" s="23">
        <f t="shared" si="102"/>
        <v>0</v>
      </c>
    </row>
    <row r="181" spans="1:100" ht="13.5">
      <c r="A181" s="15">
        <v>135</v>
      </c>
      <c r="B181" s="27" t="s">
        <v>573</v>
      </c>
      <c r="C181" t="s">
        <v>180</v>
      </c>
      <c r="E181" t="s">
        <v>182</v>
      </c>
      <c r="F181" t="s">
        <v>181</v>
      </c>
      <c r="G181" t="s">
        <v>182</v>
      </c>
      <c r="H181" t="s">
        <v>183</v>
      </c>
      <c r="I181" s="6" t="s">
        <v>136</v>
      </c>
      <c r="J181" s="6">
        <v>1</v>
      </c>
      <c r="L181" s="15">
        <v>1</v>
      </c>
      <c r="M181" s="7">
        <v>46036</v>
      </c>
      <c r="N181" s="7">
        <v>46048</v>
      </c>
      <c r="O181" s="7">
        <v>46045</v>
      </c>
      <c r="P181" s="7">
        <v>46045</v>
      </c>
      <c r="S181" s="6" t="s">
        <v>182</v>
      </c>
      <c r="U181" s="6" t="s">
        <v>464</v>
      </c>
      <c r="V181" s="6" t="str">
        <f t="shared" si="69"/>
        <v>26/01</v>
      </c>
      <c r="W181">
        <v>1485</v>
      </c>
      <c r="AB181">
        <v>619</v>
      </c>
      <c r="AD181">
        <v>566</v>
      </c>
      <c r="AI181" s="23">
        <v>0</v>
      </c>
      <c r="AJ181" s="23">
        <v>0</v>
      </c>
      <c r="AK181" s="23">
        <v>0</v>
      </c>
      <c r="AL181" s="23">
        <v>0</v>
      </c>
      <c r="AM181" s="23">
        <v>0</v>
      </c>
      <c r="AN181" s="23">
        <v>0</v>
      </c>
      <c r="AO181" s="23">
        <v>0</v>
      </c>
      <c r="AP181" s="23">
        <v>0</v>
      </c>
      <c r="AQ181" s="23">
        <v>0</v>
      </c>
      <c r="AR181" s="23">
        <v>0</v>
      </c>
      <c r="AS181" s="23">
        <v>0</v>
      </c>
      <c r="AT181" s="23">
        <v>0</v>
      </c>
      <c r="AU181" s="23">
        <v>0</v>
      </c>
      <c r="AV181" s="23">
        <v>0</v>
      </c>
      <c r="AW181" s="23">
        <v>0</v>
      </c>
      <c r="AX181" s="23">
        <v>0</v>
      </c>
      <c r="AY181" s="23">
        <v>0</v>
      </c>
      <c r="AZ181" s="23">
        <v>0</v>
      </c>
      <c r="BA181" s="23">
        <v>0</v>
      </c>
      <c r="BB181" s="23">
        <v>0</v>
      </c>
      <c r="BC181" s="23">
        <v>0</v>
      </c>
      <c r="BD181" s="23">
        <v>0</v>
      </c>
      <c r="BE181" s="23">
        <v>0</v>
      </c>
      <c r="BF181" s="23">
        <v>0</v>
      </c>
      <c r="BG181" s="23">
        <v>1</v>
      </c>
      <c r="BH181" s="23">
        <v>1</v>
      </c>
      <c r="BI181" s="23">
        <v>1</v>
      </c>
      <c r="BJ181" s="23">
        <v>1</v>
      </c>
      <c r="BK181" s="23">
        <v>1</v>
      </c>
      <c r="BL181" s="23">
        <v>1</v>
      </c>
      <c r="BM181" s="23">
        <v>1</v>
      </c>
      <c r="BN181" s="23">
        <v>1</v>
      </c>
      <c r="BO181" s="23">
        <v>0</v>
      </c>
      <c r="BP181" s="23">
        <f t="shared" si="70"/>
        <v>0</v>
      </c>
      <c r="BQ181" s="23">
        <f t="shared" si="71"/>
        <v>0</v>
      </c>
      <c r="BR181" s="23">
        <f t="shared" si="72"/>
        <v>0</v>
      </c>
      <c r="BS181" s="23">
        <f t="shared" si="73"/>
        <v>0</v>
      </c>
      <c r="BT181" s="23">
        <f t="shared" si="74"/>
        <v>0</v>
      </c>
      <c r="BU181" s="23">
        <f t="shared" si="75"/>
        <v>0</v>
      </c>
      <c r="BV181" s="23">
        <f t="shared" si="76"/>
        <v>0</v>
      </c>
      <c r="BW181" s="23">
        <f t="shared" si="77"/>
        <v>0</v>
      </c>
      <c r="BX181" s="23">
        <f t="shared" si="78"/>
        <v>0</v>
      </c>
      <c r="BY181" s="23">
        <f t="shared" si="79"/>
        <v>0</v>
      </c>
      <c r="BZ181" s="23">
        <f t="shared" si="80"/>
        <v>0</v>
      </c>
      <c r="CA181" s="23">
        <f t="shared" si="81"/>
        <v>0</v>
      </c>
      <c r="CB181" s="23">
        <f t="shared" si="82"/>
        <v>0</v>
      </c>
      <c r="CC181" s="23">
        <f t="shared" si="83"/>
        <v>0</v>
      </c>
      <c r="CD181" s="23">
        <f t="shared" si="84"/>
        <v>0</v>
      </c>
      <c r="CE181" s="23">
        <f t="shared" si="85"/>
        <v>0</v>
      </c>
      <c r="CF181" s="23">
        <f t="shared" si="86"/>
        <v>0</v>
      </c>
      <c r="CG181" s="23">
        <f t="shared" si="87"/>
        <v>0</v>
      </c>
      <c r="CH181" s="23">
        <f t="shared" si="88"/>
        <v>0</v>
      </c>
      <c r="CI181" s="23">
        <f t="shared" si="89"/>
        <v>0</v>
      </c>
      <c r="CJ181" s="23">
        <f t="shared" si="90"/>
        <v>0</v>
      </c>
      <c r="CK181" s="23">
        <f t="shared" si="91"/>
        <v>0</v>
      </c>
      <c r="CL181" s="23">
        <f t="shared" si="92"/>
        <v>0</v>
      </c>
      <c r="CM181" s="23">
        <f t="shared" si="93"/>
        <v>0</v>
      </c>
      <c r="CN181" s="23">
        <f t="shared" si="94"/>
        <v>1</v>
      </c>
      <c r="CO181" s="23">
        <f t="shared" si="95"/>
        <v>1</v>
      </c>
      <c r="CP181" s="23">
        <f t="shared" si="96"/>
        <v>1</v>
      </c>
      <c r="CQ181" s="23">
        <f t="shared" si="97"/>
        <v>1</v>
      </c>
      <c r="CR181" s="23">
        <f t="shared" si="98"/>
        <v>1</v>
      </c>
      <c r="CS181" s="23">
        <f t="shared" si="99"/>
        <v>1</v>
      </c>
      <c r="CT181" s="23">
        <f t="shared" si="100"/>
        <v>1</v>
      </c>
      <c r="CU181" s="23">
        <f t="shared" si="101"/>
        <v>1</v>
      </c>
      <c r="CV181" s="23">
        <f t="shared" si="102"/>
        <v>0</v>
      </c>
    </row>
    <row r="182" spans="1:100" ht="13.5">
      <c r="A182" s="15">
        <v>133</v>
      </c>
      <c r="B182" s="27" t="s">
        <v>571</v>
      </c>
      <c r="C182" t="s">
        <v>180</v>
      </c>
      <c r="E182" t="s">
        <v>182</v>
      </c>
      <c r="F182" t="s">
        <v>181</v>
      </c>
      <c r="G182" t="s">
        <v>182</v>
      </c>
      <c r="H182" t="s">
        <v>183</v>
      </c>
      <c r="I182" s="6" t="s">
        <v>136</v>
      </c>
      <c r="J182" s="6">
        <v>1</v>
      </c>
      <c r="L182" s="15">
        <v>1</v>
      </c>
      <c r="M182" s="7">
        <v>46036</v>
      </c>
      <c r="N182" s="7">
        <v>46048</v>
      </c>
      <c r="O182" s="7">
        <v>46045</v>
      </c>
      <c r="P182" s="7">
        <v>46045</v>
      </c>
      <c r="S182" s="6" t="s">
        <v>182</v>
      </c>
      <c r="U182" s="6" t="s">
        <v>464</v>
      </c>
      <c r="V182" s="6" t="str">
        <f t="shared" si="69"/>
        <v>26/01</v>
      </c>
      <c r="W182">
        <v>1486</v>
      </c>
      <c r="AB182">
        <v>620</v>
      </c>
      <c r="AD182">
        <v>567</v>
      </c>
      <c r="AI182" s="23">
        <v>0</v>
      </c>
      <c r="AJ182" s="23">
        <v>0</v>
      </c>
      <c r="AK182" s="23">
        <v>0</v>
      </c>
      <c r="AL182" s="23">
        <v>0</v>
      </c>
      <c r="AM182" s="23">
        <v>0</v>
      </c>
      <c r="AN182" s="23">
        <v>0</v>
      </c>
      <c r="AO182" s="23">
        <v>0</v>
      </c>
      <c r="AP182" s="23">
        <v>0</v>
      </c>
      <c r="AQ182" s="23">
        <v>0</v>
      </c>
      <c r="AR182" s="23">
        <v>0</v>
      </c>
      <c r="AS182" s="23">
        <v>0</v>
      </c>
      <c r="AT182" s="23">
        <v>0</v>
      </c>
      <c r="AU182" s="23">
        <v>0</v>
      </c>
      <c r="AV182" s="23">
        <v>0</v>
      </c>
      <c r="AW182" s="23">
        <v>0</v>
      </c>
      <c r="AX182" s="23">
        <v>0</v>
      </c>
      <c r="AY182" s="23">
        <v>0</v>
      </c>
      <c r="AZ182" s="23">
        <v>0</v>
      </c>
      <c r="BA182" s="23">
        <v>0</v>
      </c>
      <c r="BB182" s="23">
        <v>0</v>
      </c>
      <c r="BC182" s="23">
        <v>0</v>
      </c>
      <c r="BD182" s="23">
        <v>0</v>
      </c>
      <c r="BE182" s="23">
        <v>0</v>
      </c>
      <c r="BF182" s="23">
        <v>0</v>
      </c>
      <c r="BG182" s="23">
        <v>1</v>
      </c>
      <c r="BH182" s="23">
        <v>1</v>
      </c>
      <c r="BI182" s="23">
        <v>1</v>
      </c>
      <c r="BJ182" s="23">
        <v>1</v>
      </c>
      <c r="BK182" s="23">
        <v>1</v>
      </c>
      <c r="BL182" s="23">
        <v>1</v>
      </c>
      <c r="BM182" s="23">
        <v>1</v>
      </c>
      <c r="BN182" s="23">
        <v>1</v>
      </c>
      <c r="BO182" s="23">
        <v>0</v>
      </c>
      <c r="BP182" s="23">
        <f t="shared" si="70"/>
        <v>0</v>
      </c>
      <c r="BQ182" s="23">
        <f t="shared" si="71"/>
        <v>0</v>
      </c>
      <c r="BR182" s="23">
        <f t="shared" si="72"/>
        <v>0</v>
      </c>
      <c r="BS182" s="23">
        <f t="shared" si="73"/>
        <v>0</v>
      </c>
      <c r="BT182" s="23">
        <f t="shared" si="74"/>
        <v>0</v>
      </c>
      <c r="BU182" s="23">
        <f t="shared" si="75"/>
        <v>0</v>
      </c>
      <c r="BV182" s="23">
        <f t="shared" si="76"/>
        <v>0</v>
      </c>
      <c r="BW182" s="23">
        <f t="shared" si="77"/>
        <v>0</v>
      </c>
      <c r="BX182" s="23">
        <f t="shared" si="78"/>
        <v>0</v>
      </c>
      <c r="BY182" s="23">
        <f t="shared" si="79"/>
        <v>0</v>
      </c>
      <c r="BZ182" s="23">
        <f t="shared" si="80"/>
        <v>0</v>
      </c>
      <c r="CA182" s="23">
        <f t="shared" si="81"/>
        <v>0</v>
      </c>
      <c r="CB182" s="23">
        <f t="shared" si="82"/>
        <v>0</v>
      </c>
      <c r="CC182" s="23">
        <f t="shared" si="83"/>
        <v>0</v>
      </c>
      <c r="CD182" s="23">
        <f t="shared" si="84"/>
        <v>0</v>
      </c>
      <c r="CE182" s="23">
        <f t="shared" si="85"/>
        <v>0</v>
      </c>
      <c r="CF182" s="23">
        <f t="shared" si="86"/>
        <v>0</v>
      </c>
      <c r="CG182" s="23">
        <f t="shared" si="87"/>
        <v>0</v>
      </c>
      <c r="CH182" s="23">
        <f t="shared" si="88"/>
        <v>0</v>
      </c>
      <c r="CI182" s="23">
        <f t="shared" si="89"/>
        <v>0</v>
      </c>
      <c r="CJ182" s="23">
        <f t="shared" si="90"/>
        <v>0</v>
      </c>
      <c r="CK182" s="23">
        <f t="shared" si="91"/>
        <v>0</v>
      </c>
      <c r="CL182" s="23">
        <f t="shared" si="92"/>
        <v>0</v>
      </c>
      <c r="CM182" s="23">
        <f t="shared" si="93"/>
        <v>0</v>
      </c>
      <c r="CN182" s="23">
        <f t="shared" si="94"/>
        <v>1</v>
      </c>
      <c r="CO182" s="23">
        <f t="shared" si="95"/>
        <v>1</v>
      </c>
      <c r="CP182" s="23">
        <f t="shared" si="96"/>
        <v>1</v>
      </c>
      <c r="CQ182" s="23">
        <f t="shared" si="97"/>
        <v>1</v>
      </c>
      <c r="CR182" s="23">
        <f t="shared" si="98"/>
        <v>1</v>
      </c>
      <c r="CS182" s="23">
        <f t="shared" si="99"/>
        <v>1</v>
      </c>
      <c r="CT182" s="23">
        <f t="shared" si="100"/>
        <v>1</v>
      </c>
      <c r="CU182" s="23">
        <f t="shared" si="101"/>
        <v>1</v>
      </c>
      <c r="CV182" s="23">
        <f t="shared" si="102"/>
        <v>0</v>
      </c>
    </row>
    <row r="183" spans="1:100" ht="13.5">
      <c r="A183" s="15">
        <v>138</v>
      </c>
      <c r="B183" s="27" t="s">
        <v>574</v>
      </c>
      <c r="C183" t="s">
        <v>180</v>
      </c>
      <c r="E183" t="s">
        <v>182</v>
      </c>
      <c r="F183" t="s">
        <v>181</v>
      </c>
      <c r="G183" t="s">
        <v>182</v>
      </c>
      <c r="H183" t="s">
        <v>183</v>
      </c>
      <c r="I183" s="6" t="s">
        <v>136</v>
      </c>
      <c r="J183" s="6">
        <v>1</v>
      </c>
      <c r="L183" s="15">
        <v>1</v>
      </c>
      <c r="M183" s="7">
        <v>46037</v>
      </c>
      <c r="N183" s="7">
        <v>46049</v>
      </c>
      <c r="O183" s="7">
        <v>46048</v>
      </c>
      <c r="P183" s="7">
        <v>46048</v>
      </c>
      <c r="S183" s="6" t="s">
        <v>182</v>
      </c>
      <c r="U183" s="6" t="s">
        <v>464</v>
      </c>
      <c r="V183" s="6" t="str">
        <f t="shared" si="69"/>
        <v>26/01</v>
      </c>
      <c r="W183">
        <v>1487</v>
      </c>
      <c r="AB183">
        <v>621</v>
      </c>
      <c r="AD183">
        <v>568</v>
      </c>
      <c r="AI183" s="23">
        <v>0</v>
      </c>
      <c r="AJ183" s="23">
        <v>0</v>
      </c>
      <c r="AK183" s="23">
        <v>0</v>
      </c>
      <c r="AL183" s="23">
        <v>0</v>
      </c>
      <c r="AM183" s="23">
        <v>0</v>
      </c>
      <c r="AN183" s="23">
        <v>0</v>
      </c>
      <c r="AO183" s="23">
        <v>0</v>
      </c>
      <c r="AP183" s="23">
        <v>0</v>
      </c>
      <c r="AQ183" s="23">
        <v>0</v>
      </c>
      <c r="AR183" s="23">
        <v>0</v>
      </c>
      <c r="AS183" s="23">
        <v>0</v>
      </c>
      <c r="AT183" s="23">
        <v>0</v>
      </c>
      <c r="AU183" s="23">
        <v>0</v>
      </c>
      <c r="AV183" s="23">
        <v>0</v>
      </c>
      <c r="AW183" s="23">
        <v>0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3">
        <v>0</v>
      </c>
      <c r="BD183" s="23">
        <v>0</v>
      </c>
      <c r="BE183" s="23">
        <v>0</v>
      </c>
      <c r="BF183" s="23">
        <v>0</v>
      </c>
      <c r="BG183" s="23">
        <v>1</v>
      </c>
      <c r="BH183" s="23">
        <v>1</v>
      </c>
      <c r="BI183" s="23">
        <v>1</v>
      </c>
      <c r="BJ183" s="23">
        <v>1</v>
      </c>
      <c r="BK183" s="23">
        <v>1</v>
      </c>
      <c r="BL183" s="23">
        <v>1</v>
      </c>
      <c r="BM183" s="23">
        <v>1</v>
      </c>
      <c r="BN183" s="23">
        <v>1</v>
      </c>
      <c r="BO183" s="23">
        <v>0</v>
      </c>
      <c r="BP183" s="23">
        <f t="shared" si="70"/>
        <v>0</v>
      </c>
      <c r="BQ183" s="23">
        <f t="shared" si="71"/>
        <v>0</v>
      </c>
      <c r="BR183" s="23">
        <f t="shared" si="72"/>
        <v>0</v>
      </c>
      <c r="BS183" s="23">
        <f t="shared" si="73"/>
        <v>0</v>
      </c>
      <c r="BT183" s="23">
        <f t="shared" si="74"/>
        <v>0</v>
      </c>
      <c r="BU183" s="23">
        <f t="shared" si="75"/>
        <v>0</v>
      </c>
      <c r="BV183" s="23">
        <f t="shared" si="76"/>
        <v>0</v>
      </c>
      <c r="BW183" s="23">
        <f t="shared" si="77"/>
        <v>0</v>
      </c>
      <c r="BX183" s="23">
        <f t="shared" si="78"/>
        <v>0</v>
      </c>
      <c r="BY183" s="23">
        <f t="shared" si="79"/>
        <v>0</v>
      </c>
      <c r="BZ183" s="23">
        <f t="shared" si="80"/>
        <v>0</v>
      </c>
      <c r="CA183" s="23">
        <f t="shared" si="81"/>
        <v>0</v>
      </c>
      <c r="CB183" s="23">
        <f t="shared" si="82"/>
        <v>0</v>
      </c>
      <c r="CC183" s="23">
        <f t="shared" si="83"/>
        <v>0</v>
      </c>
      <c r="CD183" s="23">
        <f t="shared" si="84"/>
        <v>0</v>
      </c>
      <c r="CE183" s="23">
        <f t="shared" si="85"/>
        <v>0</v>
      </c>
      <c r="CF183" s="23">
        <f t="shared" si="86"/>
        <v>0</v>
      </c>
      <c r="CG183" s="23">
        <f t="shared" si="87"/>
        <v>0</v>
      </c>
      <c r="CH183" s="23">
        <f t="shared" si="88"/>
        <v>0</v>
      </c>
      <c r="CI183" s="23">
        <f t="shared" si="89"/>
        <v>0</v>
      </c>
      <c r="CJ183" s="23">
        <f t="shared" si="90"/>
        <v>0</v>
      </c>
      <c r="CK183" s="23">
        <f t="shared" si="91"/>
        <v>0</v>
      </c>
      <c r="CL183" s="23">
        <f t="shared" si="92"/>
        <v>0</v>
      </c>
      <c r="CM183" s="23">
        <f t="shared" si="93"/>
        <v>0</v>
      </c>
      <c r="CN183" s="23">
        <f t="shared" si="94"/>
        <v>1</v>
      </c>
      <c r="CO183" s="23">
        <f t="shared" si="95"/>
        <v>1</v>
      </c>
      <c r="CP183" s="23">
        <f t="shared" si="96"/>
        <v>1</v>
      </c>
      <c r="CQ183" s="23">
        <f t="shared" si="97"/>
        <v>1</v>
      </c>
      <c r="CR183" s="23">
        <f t="shared" si="98"/>
        <v>1</v>
      </c>
      <c r="CS183" s="23">
        <f t="shared" si="99"/>
        <v>1</v>
      </c>
      <c r="CT183" s="23">
        <f t="shared" si="100"/>
        <v>1</v>
      </c>
      <c r="CU183" s="23">
        <f t="shared" si="101"/>
        <v>1</v>
      </c>
      <c r="CV183" s="23">
        <f t="shared" si="102"/>
        <v>0</v>
      </c>
    </row>
    <row r="184" spans="1:100" ht="13.5">
      <c r="A184" s="15">
        <v>139</v>
      </c>
      <c r="B184" s="27" t="s">
        <v>575</v>
      </c>
      <c r="C184" t="s">
        <v>180</v>
      </c>
      <c r="E184" t="s">
        <v>182</v>
      </c>
      <c r="F184" t="s">
        <v>181</v>
      </c>
      <c r="G184" t="s">
        <v>182</v>
      </c>
      <c r="H184" t="s">
        <v>183</v>
      </c>
      <c r="I184" s="6" t="s">
        <v>136</v>
      </c>
      <c r="J184" s="6">
        <v>1</v>
      </c>
      <c r="L184" s="15">
        <v>1</v>
      </c>
      <c r="M184" s="7">
        <v>46037</v>
      </c>
      <c r="N184" s="7">
        <v>46049</v>
      </c>
      <c r="O184" s="7">
        <v>46048</v>
      </c>
      <c r="P184" s="7">
        <v>46048</v>
      </c>
      <c r="S184" s="6" t="s">
        <v>182</v>
      </c>
      <c r="U184" s="6" t="s">
        <v>464</v>
      </c>
      <c r="V184" s="6" t="str">
        <f t="shared" si="69"/>
        <v>26/01</v>
      </c>
      <c r="W184">
        <v>1488</v>
      </c>
      <c r="AB184">
        <v>622</v>
      </c>
      <c r="AD184">
        <v>569</v>
      </c>
      <c r="AI184" s="23">
        <v>0</v>
      </c>
      <c r="AJ184" s="23">
        <v>0</v>
      </c>
      <c r="AK184" s="23">
        <v>0</v>
      </c>
      <c r="AL184" s="23">
        <v>0</v>
      </c>
      <c r="AM184" s="23">
        <v>0</v>
      </c>
      <c r="AN184" s="23">
        <v>0</v>
      </c>
      <c r="AO184" s="23">
        <v>0</v>
      </c>
      <c r="AP184" s="23">
        <v>0</v>
      </c>
      <c r="AQ184" s="23">
        <v>0</v>
      </c>
      <c r="AR184" s="23">
        <v>0</v>
      </c>
      <c r="AS184" s="23">
        <v>0</v>
      </c>
      <c r="AT184" s="23">
        <v>0</v>
      </c>
      <c r="AU184" s="23">
        <v>0</v>
      </c>
      <c r="AV184" s="23">
        <v>0</v>
      </c>
      <c r="AW184" s="23">
        <v>0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3">
        <v>0</v>
      </c>
      <c r="BD184" s="23">
        <v>0</v>
      </c>
      <c r="BE184" s="23">
        <v>0</v>
      </c>
      <c r="BF184" s="23">
        <v>0</v>
      </c>
      <c r="BG184" s="23">
        <v>1</v>
      </c>
      <c r="BH184" s="23">
        <v>1</v>
      </c>
      <c r="BI184" s="23">
        <v>1</v>
      </c>
      <c r="BJ184" s="23">
        <v>1</v>
      </c>
      <c r="BK184" s="23">
        <v>1</v>
      </c>
      <c r="BL184" s="23">
        <v>1</v>
      </c>
      <c r="BM184" s="23">
        <v>1</v>
      </c>
      <c r="BN184" s="23">
        <v>1</v>
      </c>
      <c r="BO184" s="23">
        <v>0</v>
      </c>
      <c r="BP184" s="23">
        <f t="shared" si="70"/>
        <v>0</v>
      </c>
      <c r="BQ184" s="23">
        <f t="shared" si="71"/>
        <v>0</v>
      </c>
      <c r="BR184" s="23">
        <f t="shared" si="72"/>
        <v>0</v>
      </c>
      <c r="BS184" s="23">
        <f t="shared" si="73"/>
        <v>0</v>
      </c>
      <c r="BT184" s="23">
        <f t="shared" si="74"/>
        <v>0</v>
      </c>
      <c r="BU184" s="23">
        <f t="shared" si="75"/>
        <v>0</v>
      </c>
      <c r="BV184" s="23">
        <f t="shared" si="76"/>
        <v>0</v>
      </c>
      <c r="BW184" s="23">
        <f t="shared" si="77"/>
        <v>0</v>
      </c>
      <c r="BX184" s="23">
        <f t="shared" si="78"/>
        <v>0</v>
      </c>
      <c r="BY184" s="23">
        <f t="shared" si="79"/>
        <v>0</v>
      </c>
      <c r="BZ184" s="23">
        <f t="shared" si="80"/>
        <v>0</v>
      </c>
      <c r="CA184" s="23">
        <f t="shared" si="81"/>
        <v>0</v>
      </c>
      <c r="CB184" s="23">
        <f t="shared" si="82"/>
        <v>0</v>
      </c>
      <c r="CC184" s="23">
        <f t="shared" si="83"/>
        <v>0</v>
      </c>
      <c r="CD184" s="23">
        <f t="shared" si="84"/>
        <v>0</v>
      </c>
      <c r="CE184" s="23">
        <f t="shared" si="85"/>
        <v>0</v>
      </c>
      <c r="CF184" s="23">
        <f t="shared" si="86"/>
        <v>0</v>
      </c>
      <c r="CG184" s="23">
        <f t="shared" si="87"/>
        <v>0</v>
      </c>
      <c r="CH184" s="23">
        <f t="shared" si="88"/>
        <v>0</v>
      </c>
      <c r="CI184" s="23">
        <f t="shared" si="89"/>
        <v>0</v>
      </c>
      <c r="CJ184" s="23">
        <f t="shared" si="90"/>
        <v>0</v>
      </c>
      <c r="CK184" s="23">
        <f t="shared" si="91"/>
        <v>0</v>
      </c>
      <c r="CL184" s="23">
        <f t="shared" si="92"/>
        <v>0</v>
      </c>
      <c r="CM184" s="23">
        <f t="shared" si="93"/>
        <v>0</v>
      </c>
      <c r="CN184" s="23">
        <f t="shared" si="94"/>
        <v>1</v>
      </c>
      <c r="CO184" s="23">
        <f t="shared" si="95"/>
        <v>1</v>
      </c>
      <c r="CP184" s="23">
        <f t="shared" si="96"/>
        <v>1</v>
      </c>
      <c r="CQ184" s="23">
        <f t="shared" si="97"/>
        <v>1</v>
      </c>
      <c r="CR184" s="23">
        <f t="shared" si="98"/>
        <v>1</v>
      </c>
      <c r="CS184" s="23">
        <f t="shared" si="99"/>
        <v>1</v>
      </c>
      <c r="CT184" s="23">
        <f t="shared" si="100"/>
        <v>1</v>
      </c>
      <c r="CU184" s="23">
        <f t="shared" si="101"/>
        <v>1</v>
      </c>
      <c r="CV184" s="23">
        <f t="shared" si="102"/>
        <v>0</v>
      </c>
    </row>
    <row r="185" spans="1:100" ht="13.5">
      <c r="A185" s="15">
        <v>140</v>
      </c>
      <c r="B185" s="27" t="s">
        <v>576</v>
      </c>
      <c r="C185" t="s">
        <v>180</v>
      </c>
      <c r="E185" t="s">
        <v>182</v>
      </c>
      <c r="F185" t="s">
        <v>181</v>
      </c>
      <c r="G185" t="s">
        <v>182</v>
      </c>
      <c r="H185" t="s">
        <v>183</v>
      </c>
      <c r="I185" s="6" t="s">
        <v>136</v>
      </c>
      <c r="J185" s="6">
        <v>1</v>
      </c>
      <c r="L185" s="15">
        <v>1</v>
      </c>
      <c r="M185" s="7">
        <v>46037</v>
      </c>
      <c r="N185" s="7">
        <v>46049</v>
      </c>
      <c r="O185" s="7">
        <v>46048</v>
      </c>
      <c r="P185" s="7">
        <v>46048</v>
      </c>
      <c r="S185" s="6" t="s">
        <v>182</v>
      </c>
      <c r="U185" s="6" t="s">
        <v>464</v>
      </c>
      <c r="V185" s="6" t="str">
        <f t="shared" si="69"/>
        <v>26/01</v>
      </c>
      <c r="W185">
        <v>1489</v>
      </c>
      <c r="AB185">
        <v>623</v>
      </c>
      <c r="AD185">
        <v>570</v>
      </c>
      <c r="AI185" s="23">
        <v>0</v>
      </c>
      <c r="AJ185" s="23">
        <v>0</v>
      </c>
      <c r="AK185" s="23">
        <v>0</v>
      </c>
      <c r="AL185" s="23">
        <v>0</v>
      </c>
      <c r="AM185" s="23">
        <v>0</v>
      </c>
      <c r="AN185" s="23">
        <v>0</v>
      </c>
      <c r="AO185" s="23">
        <v>0</v>
      </c>
      <c r="AP185" s="23">
        <v>0</v>
      </c>
      <c r="AQ185" s="23">
        <v>0</v>
      </c>
      <c r="AR185" s="23">
        <v>0</v>
      </c>
      <c r="AS185" s="23">
        <v>0</v>
      </c>
      <c r="AT185" s="23">
        <v>0</v>
      </c>
      <c r="AU185" s="23">
        <v>0</v>
      </c>
      <c r="AV185" s="23">
        <v>0</v>
      </c>
      <c r="AW185" s="23">
        <v>0</v>
      </c>
      <c r="AX185" s="23">
        <v>0</v>
      </c>
      <c r="AY185" s="23">
        <v>0</v>
      </c>
      <c r="AZ185" s="23">
        <v>0</v>
      </c>
      <c r="BA185" s="23">
        <v>0</v>
      </c>
      <c r="BB185" s="23">
        <v>0</v>
      </c>
      <c r="BC185" s="23">
        <v>0</v>
      </c>
      <c r="BD185" s="23">
        <v>0</v>
      </c>
      <c r="BE185" s="23">
        <v>0</v>
      </c>
      <c r="BF185" s="23">
        <v>0</v>
      </c>
      <c r="BG185" s="23">
        <v>1</v>
      </c>
      <c r="BH185" s="23">
        <v>1</v>
      </c>
      <c r="BI185" s="23">
        <v>1</v>
      </c>
      <c r="BJ185" s="23">
        <v>1</v>
      </c>
      <c r="BK185" s="23">
        <v>1</v>
      </c>
      <c r="BL185" s="23">
        <v>1</v>
      </c>
      <c r="BM185" s="23">
        <v>1</v>
      </c>
      <c r="BN185" s="23">
        <v>1</v>
      </c>
      <c r="BO185" s="23">
        <v>0</v>
      </c>
      <c r="BP185" s="23">
        <f t="shared" si="70"/>
        <v>0</v>
      </c>
      <c r="BQ185" s="23">
        <f t="shared" si="71"/>
        <v>0</v>
      </c>
      <c r="BR185" s="23">
        <f t="shared" si="72"/>
        <v>0</v>
      </c>
      <c r="BS185" s="23">
        <f t="shared" si="73"/>
        <v>0</v>
      </c>
      <c r="BT185" s="23">
        <f t="shared" si="74"/>
        <v>0</v>
      </c>
      <c r="BU185" s="23">
        <f t="shared" si="75"/>
        <v>0</v>
      </c>
      <c r="BV185" s="23">
        <f t="shared" si="76"/>
        <v>0</v>
      </c>
      <c r="BW185" s="23">
        <f t="shared" si="77"/>
        <v>0</v>
      </c>
      <c r="BX185" s="23">
        <f t="shared" si="78"/>
        <v>0</v>
      </c>
      <c r="BY185" s="23">
        <f t="shared" si="79"/>
        <v>0</v>
      </c>
      <c r="BZ185" s="23">
        <f t="shared" si="80"/>
        <v>0</v>
      </c>
      <c r="CA185" s="23">
        <f t="shared" si="81"/>
        <v>0</v>
      </c>
      <c r="CB185" s="23">
        <f t="shared" si="82"/>
        <v>0</v>
      </c>
      <c r="CC185" s="23">
        <f t="shared" si="83"/>
        <v>0</v>
      </c>
      <c r="CD185" s="23">
        <f t="shared" si="84"/>
        <v>0</v>
      </c>
      <c r="CE185" s="23">
        <f t="shared" si="85"/>
        <v>0</v>
      </c>
      <c r="CF185" s="23">
        <f t="shared" si="86"/>
        <v>0</v>
      </c>
      <c r="CG185" s="23">
        <f t="shared" si="87"/>
        <v>0</v>
      </c>
      <c r="CH185" s="23">
        <f t="shared" si="88"/>
        <v>0</v>
      </c>
      <c r="CI185" s="23">
        <f t="shared" si="89"/>
        <v>0</v>
      </c>
      <c r="CJ185" s="23">
        <f t="shared" si="90"/>
        <v>0</v>
      </c>
      <c r="CK185" s="23">
        <f t="shared" si="91"/>
        <v>0</v>
      </c>
      <c r="CL185" s="23">
        <f t="shared" si="92"/>
        <v>0</v>
      </c>
      <c r="CM185" s="23">
        <f t="shared" si="93"/>
        <v>0</v>
      </c>
      <c r="CN185" s="23">
        <f t="shared" si="94"/>
        <v>1</v>
      </c>
      <c r="CO185" s="23">
        <f t="shared" si="95"/>
        <v>1</v>
      </c>
      <c r="CP185" s="23">
        <f t="shared" si="96"/>
        <v>1</v>
      </c>
      <c r="CQ185" s="23">
        <f t="shared" si="97"/>
        <v>1</v>
      </c>
      <c r="CR185" s="23">
        <f t="shared" si="98"/>
        <v>1</v>
      </c>
      <c r="CS185" s="23">
        <f t="shared" si="99"/>
        <v>1</v>
      </c>
      <c r="CT185" s="23">
        <f t="shared" si="100"/>
        <v>1</v>
      </c>
      <c r="CU185" s="23">
        <f t="shared" si="101"/>
        <v>1</v>
      </c>
      <c r="CV185" s="23">
        <f t="shared" si="102"/>
        <v>0</v>
      </c>
    </row>
    <row r="186" spans="1:100" ht="13.5">
      <c r="A186" s="15">
        <v>142</v>
      </c>
      <c r="B186" s="27" t="s">
        <v>577</v>
      </c>
      <c r="C186" t="s">
        <v>180</v>
      </c>
      <c r="E186" t="s">
        <v>182</v>
      </c>
      <c r="F186" t="s">
        <v>181</v>
      </c>
      <c r="G186" t="s">
        <v>182</v>
      </c>
      <c r="H186" t="s">
        <v>183</v>
      </c>
      <c r="I186" s="6" t="s">
        <v>136</v>
      </c>
      <c r="J186" s="6">
        <v>1</v>
      </c>
      <c r="L186" s="15">
        <v>1</v>
      </c>
      <c r="M186" s="7">
        <v>46038</v>
      </c>
      <c r="N186" s="7">
        <v>46050</v>
      </c>
      <c r="O186" s="7">
        <v>46049</v>
      </c>
      <c r="P186" s="7">
        <v>46049</v>
      </c>
      <c r="S186" s="6" t="s">
        <v>182</v>
      </c>
      <c r="U186" s="6" t="s">
        <v>464</v>
      </c>
      <c r="V186" s="6" t="str">
        <f t="shared" si="69"/>
        <v>26/01</v>
      </c>
      <c r="W186">
        <v>1490</v>
      </c>
      <c r="AB186">
        <v>624</v>
      </c>
      <c r="AD186">
        <v>571</v>
      </c>
      <c r="AI186" s="23">
        <v>0</v>
      </c>
      <c r="AJ186" s="23">
        <v>0</v>
      </c>
      <c r="AK186" s="23">
        <v>0</v>
      </c>
      <c r="AL186" s="23">
        <v>0</v>
      </c>
      <c r="AM186" s="23">
        <v>0</v>
      </c>
      <c r="AN186" s="23">
        <v>0</v>
      </c>
      <c r="AO186" s="23">
        <v>0</v>
      </c>
      <c r="AP186" s="23">
        <v>0</v>
      </c>
      <c r="AQ186" s="23">
        <v>0</v>
      </c>
      <c r="AR186" s="23">
        <v>0</v>
      </c>
      <c r="AS186" s="23">
        <v>0</v>
      </c>
      <c r="AT186" s="23">
        <v>0</v>
      </c>
      <c r="AU186" s="23">
        <v>0</v>
      </c>
      <c r="AV186" s="23">
        <v>0</v>
      </c>
      <c r="AW186" s="23">
        <v>0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3">
        <v>0</v>
      </c>
      <c r="BD186" s="23">
        <v>0</v>
      </c>
      <c r="BE186" s="23">
        <v>0</v>
      </c>
      <c r="BF186" s="23">
        <v>0</v>
      </c>
      <c r="BG186" s="23">
        <v>1</v>
      </c>
      <c r="BH186" s="23">
        <v>1</v>
      </c>
      <c r="BI186" s="23">
        <v>1</v>
      </c>
      <c r="BJ186" s="23">
        <v>1</v>
      </c>
      <c r="BK186" s="23">
        <v>1</v>
      </c>
      <c r="BL186" s="23">
        <v>1</v>
      </c>
      <c r="BM186" s="23">
        <v>1</v>
      </c>
      <c r="BN186" s="23">
        <v>1</v>
      </c>
      <c r="BO186" s="23">
        <v>0</v>
      </c>
      <c r="BP186" s="23">
        <f t="shared" si="70"/>
        <v>0</v>
      </c>
      <c r="BQ186" s="23">
        <f t="shared" si="71"/>
        <v>0</v>
      </c>
      <c r="BR186" s="23">
        <f t="shared" si="72"/>
        <v>0</v>
      </c>
      <c r="BS186" s="23">
        <f t="shared" si="73"/>
        <v>0</v>
      </c>
      <c r="BT186" s="23">
        <f t="shared" si="74"/>
        <v>0</v>
      </c>
      <c r="BU186" s="23">
        <f t="shared" si="75"/>
        <v>0</v>
      </c>
      <c r="BV186" s="23">
        <f t="shared" si="76"/>
        <v>0</v>
      </c>
      <c r="BW186" s="23">
        <f t="shared" si="77"/>
        <v>0</v>
      </c>
      <c r="BX186" s="23">
        <f t="shared" si="78"/>
        <v>0</v>
      </c>
      <c r="BY186" s="23">
        <f t="shared" si="79"/>
        <v>0</v>
      </c>
      <c r="BZ186" s="23">
        <f t="shared" si="80"/>
        <v>0</v>
      </c>
      <c r="CA186" s="23">
        <f t="shared" si="81"/>
        <v>0</v>
      </c>
      <c r="CB186" s="23">
        <f t="shared" si="82"/>
        <v>0</v>
      </c>
      <c r="CC186" s="23">
        <f t="shared" si="83"/>
        <v>0</v>
      </c>
      <c r="CD186" s="23">
        <f t="shared" si="84"/>
        <v>0</v>
      </c>
      <c r="CE186" s="23">
        <f t="shared" si="85"/>
        <v>0</v>
      </c>
      <c r="CF186" s="23">
        <f t="shared" si="86"/>
        <v>0</v>
      </c>
      <c r="CG186" s="23">
        <f t="shared" si="87"/>
        <v>0</v>
      </c>
      <c r="CH186" s="23">
        <f t="shared" si="88"/>
        <v>0</v>
      </c>
      <c r="CI186" s="23">
        <f t="shared" si="89"/>
        <v>0</v>
      </c>
      <c r="CJ186" s="23">
        <f t="shared" si="90"/>
        <v>0</v>
      </c>
      <c r="CK186" s="23">
        <f t="shared" si="91"/>
        <v>0</v>
      </c>
      <c r="CL186" s="23">
        <f t="shared" si="92"/>
        <v>0</v>
      </c>
      <c r="CM186" s="23">
        <f t="shared" si="93"/>
        <v>0</v>
      </c>
      <c r="CN186" s="23">
        <f t="shared" si="94"/>
        <v>1</v>
      </c>
      <c r="CO186" s="23">
        <f t="shared" si="95"/>
        <v>1</v>
      </c>
      <c r="CP186" s="23">
        <f t="shared" si="96"/>
        <v>1</v>
      </c>
      <c r="CQ186" s="23">
        <f t="shared" si="97"/>
        <v>1</v>
      </c>
      <c r="CR186" s="23">
        <f t="shared" si="98"/>
        <v>1</v>
      </c>
      <c r="CS186" s="23">
        <f t="shared" si="99"/>
        <v>1</v>
      </c>
      <c r="CT186" s="23">
        <f t="shared" si="100"/>
        <v>1</v>
      </c>
      <c r="CU186" s="23">
        <f t="shared" si="101"/>
        <v>1</v>
      </c>
      <c r="CV186" s="23">
        <f t="shared" si="102"/>
        <v>0</v>
      </c>
    </row>
    <row r="187" spans="1:100" ht="13.5">
      <c r="A187" s="15">
        <v>143</v>
      </c>
      <c r="B187" s="27" t="s">
        <v>578</v>
      </c>
      <c r="C187" t="s">
        <v>180</v>
      </c>
      <c r="E187" t="s">
        <v>182</v>
      </c>
      <c r="F187" t="s">
        <v>181</v>
      </c>
      <c r="G187" t="s">
        <v>182</v>
      </c>
      <c r="H187" t="s">
        <v>183</v>
      </c>
      <c r="I187" s="6" t="s">
        <v>136</v>
      </c>
      <c r="J187" s="6">
        <v>1</v>
      </c>
      <c r="L187" s="15">
        <v>1</v>
      </c>
      <c r="M187" s="7">
        <v>46038</v>
      </c>
      <c r="N187" s="7">
        <v>46050</v>
      </c>
      <c r="O187" s="7">
        <v>46049</v>
      </c>
      <c r="P187" s="7">
        <v>46049</v>
      </c>
      <c r="S187" s="6" t="s">
        <v>182</v>
      </c>
      <c r="U187" s="6" t="s">
        <v>464</v>
      </c>
      <c r="V187" s="6" t="str">
        <f t="shared" si="69"/>
        <v>26/01</v>
      </c>
      <c r="W187">
        <v>1491</v>
      </c>
      <c r="AB187">
        <v>625</v>
      </c>
      <c r="AD187">
        <v>572</v>
      </c>
      <c r="AI187" s="23">
        <v>0</v>
      </c>
      <c r="AJ187" s="23">
        <v>0</v>
      </c>
      <c r="AK187" s="23">
        <v>0</v>
      </c>
      <c r="AL187" s="23">
        <v>0</v>
      </c>
      <c r="AM187" s="23">
        <v>0</v>
      </c>
      <c r="AN187" s="23">
        <v>0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3">
        <v>0</v>
      </c>
      <c r="BD187" s="23">
        <v>0</v>
      </c>
      <c r="BE187" s="23">
        <v>0</v>
      </c>
      <c r="BF187" s="23">
        <v>0</v>
      </c>
      <c r="BG187" s="23">
        <v>1</v>
      </c>
      <c r="BH187" s="23">
        <v>1</v>
      </c>
      <c r="BI187" s="23">
        <v>1</v>
      </c>
      <c r="BJ187" s="23">
        <v>1</v>
      </c>
      <c r="BK187" s="23">
        <v>1</v>
      </c>
      <c r="BL187" s="23">
        <v>1</v>
      </c>
      <c r="BM187" s="23">
        <v>1</v>
      </c>
      <c r="BN187" s="23">
        <v>1</v>
      </c>
      <c r="BO187" s="23">
        <v>0</v>
      </c>
      <c r="BP187" s="23">
        <f t="shared" si="70"/>
        <v>0</v>
      </c>
      <c r="BQ187" s="23">
        <f t="shared" si="71"/>
        <v>0</v>
      </c>
      <c r="BR187" s="23">
        <f t="shared" si="72"/>
        <v>0</v>
      </c>
      <c r="BS187" s="23">
        <f t="shared" si="73"/>
        <v>0</v>
      </c>
      <c r="BT187" s="23">
        <f t="shared" si="74"/>
        <v>0</v>
      </c>
      <c r="BU187" s="23">
        <f t="shared" si="75"/>
        <v>0</v>
      </c>
      <c r="BV187" s="23">
        <f t="shared" si="76"/>
        <v>0</v>
      </c>
      <c r="BW187" s="23">
        <f t="shared" si="77"/>
        <v>0</v>
      </c>
      <c r="BX187" s="23">
        <f t="shared" si="78"/>
        <v>0</v>
      </c>
      <c r="BY187" s="23">
        <f t="shared" si="79"/>
        <v>0</v>
      </c>
      <c r="BZ187" s="23">
        <f t="shared" si="80"/>
        <v>0</v>
      </c>
      <c r="CA187" s="23">
        <f t="shared" si="81"/>
        <v>0</v>
      </c>
      <c r="CB187" s="23">
        <f t="shared" si="82"/>
        <v>0</v>
      </c>
      <c r="CC187" s="23">
        <f t="shared" si="83"/>
        <v>0</v>
      </c>
      <c r="CD187" s="23">
        <f t="shared" si="84"/>
        <v>0</v>
      </c>
      <c r="CE187" s="23">
        <f t="shared" si="85"/>
        <v>0</v>
      </c>
      <c r="CF187" s="23">
        <f t="shared" si="86"/>
        <v>0</v>
      </c>
      <c r="CG187" s="23">
        <f t="shared" si="87"/>
        <v>0</v>
      </c>
      <c r="CH187" s="23">
        <f t="shared" si="88"/>
        <v>0</v>
      </c>
      <c r="CI187" s="23">
        <f t="shared" si="89"/>
        <v>0</v>
      </c>
      <c r="CJ187" s="23">
        <f t="shared" si="90"/>
        <v>0</v>
      </c>
      <c r="CK187" s="23">
        <f t="shared" si="91"/>
        <v>0</v>
      </c>
      <c r="CL187" s="23">
        <f t="shared" si="92"/>
        <v>0</v>
      </c>
      <c r="CM187" s="23">
        <f t="shared" si="93"/>
        <v>0</v>
      </c>
      <c r="CN187" s="23">
        <f t="shared" si="94"/>
        <v>1</v>
      </c>
      <c r="CO187" s="23">
        <f t="shared" si="95"/>
        <v>1</v>
      </c>
      <c r="CP187" s="23">
        <f t="shared" si="96"/>
        <v>1</v>
      </c>
      <c r="CQ187" s="23">
        <f t="shared" si="97"/>
        <v>1</v>
      </c>
      <c r="CR187" s="23">
        <f t="shared" si="98"/>
        <v>1</v>
      </c>
      <c r="CS187" s="23">
        <f t="shared" si="99"/>
        <v>1</v>
      </c>
      <c r="CT187" s="23">
        <f t="shared" si="100"/>
        <v>1</v>
      </c>
      <c r="CU187" s="23">
        <f t="shared" si="101"/>
        <v>1</v>
      </c>
      <c r="CV187" s="23">
        <f t="shared" si="102"/>
        <v>0</v>
      </c>
    </row>
    <row r="188" spans="1:100" ht="13.5">
      <c r="A188" s="15">
        <v>144</v>
      </c>
      <c r="B188" s="27" t="s">
        <v>579</v>
      </c>
      <c r="C188" t="s">
        <v>180</v>
      </c>
      <c r="E188" t="s">
        <v>182</v>
      </c>
      <c r="F188" t="s">
        <v>181</v>
      </c>
      <c r="G188" t="s">
        <v>182</v>
      </c>
      <c r="H188" t="s">
        <v>183</v>
      </c>
      <c r="I188" s="6" t="s">
        <v>136</v>
      </c>
      <c r="J188" s="6">
        <v>1</v>
      </c>
      <c r="L188" s="15">
        <v>1</v>
      </c>
      <c r="M188" s="7">
        <v>46038</v>
      </c>
      <c r="N188" s="7">
        <v>46050</v>
      </c>
      <c r="O188" s="7">
        <v>46049</v>
      </c>
      <c r="P188" s="7">
        <v>46049</v>
      </c>
      <c r="S188" s="6" t="s">
        <v>182</v>
      </c>
      <c r="U188" s="6" t="s">
        <v>464</v>
      </c>
      <c r="V188" s="6" t="str">
        <f t="shared" si="69"/>
        <v>26/01</v>
      </c>
      <c r="W188">
        <v>1492</v>
      </c>
      <c r="AB188">
        <v>626</v>
      </c>
      <c r="AD188">
        <v>573</v>
      </c>
      <c r="AI188" s="23">
        <v>0</v>
      </c>
      <c r="AJ188" s="23">
        <v>0</v>
      </c>
      <c r="AK188" s="23">
        <v>0</v>
      </c>
      <c r="AL188" s="23">
        <v>0</v>
      </c>
      <c r="AM188" s="23">
        <v>0</v>
      </c>
      <c r="AN188" s="23">
        <v>0</v>
      </c>
      <c r="AO188" s="23">
        <v>0</v>
      </c>
      <c r="AP188" s="23">
        <v>0</v>
      </c>
      <c r="AQ188" s="23">
        <v>0</v>
      </c>
      <c r="AR188" s="23">
        <v>0</v>
      </c>
      <c r="AS188" s="23">
        <v>0</v>
      </c>
      <c r="AT188" s="23">
        <v>0</v>
      </c>
      <c r="AU188" s="23">
        <v>0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3">
        <v>0</v>
      </c>
      <c r="BD188" s="23">
        <v>0</v>
      </c>
      <c r="BE188" s="23">
        <v>0</v>
      </c>
      <c r="BF188" s="23">
        <v>0</v>
      </c>
      <c r="BG188" s="23">
        <v>1</v>
      </c>
      <c r="BH188" s="23">
        <v>1</v>
      </c>
      <c r="BI188" s="23">
        <v>1</v>
      </c>
      <c r="BJ188" s="23">
        <v>1</v>
      </c>
      <c r="BK188" s="23">
        <v>1</v>
      </c>
      <c r="BL188" s="23">
        <v>1</v>
      </c>
      <c r="BM188" s="23">
        <v>1</v>
      </c>
      <c r="BN188" s="23">
        <v>1</v>
      </c>
      <c r="BO188" s="23">
        <v>0</v>
      </c>
      <c r="BP188" s="23">
        <f t="shared" si="70"/>
        <v>0</v>
      </c>
      <c r="BQ188" s="23">
        <f t="shared" si="71"/>
        <v>0</v>
      </c>
      <c r="BR188" s="23">
        <f t="shared" si="72"/>
        <v>0</v>
      </c>
      <c r="BS188" s="23">
        <f t="shared" si="73"/>
        <v>0</v>
      </c>
      <c r="BT188" s="23">
        <f t="shared" si="74"/>
        <v>0</v>
      </c>
      <c r="BU188" s="23">
        <f t="shared" si="75"/>
        <v>0</v>
      </c>
      <c r="BV188" s="23">
        <f t="shared" si="76"/>
        <v>0</v>
      </c>
      <c r="BW188" s="23">
        <f t="shared" si="77"/>
        <v>0</v>
      </c>
      <c r="BX188" s="23">
        <f t="shared" si="78"/>
        <v>0</v>
      </c>
      <c r="BY188" s="23">
        <f t="shared" si="79"/>
        <v>0</v>
      </c>
      <c r="BZ188" s="23">
        <f t="shared" si="80"/>
        <v>0</v>
      </c>
      <c r="CA188" s="23">
        <f t="shared" si="81"/>
        <v>0</v>
      </c>
      <c r="CB188" s="23">
        <f t="shared" si="82"/>
        <v>0</v>
      </c>
      <c r="CC188" s="23">
        <f t="shared" si="83"/>
        <v>0</v>
      </c>
      <c r="CD188" s="23">
        <f t="shared" si="84"/>
        <v>0</v>
      </c>
      <c r="CE188" s="23">
        <f t="shared" si="85"/>
        <v>0</v>
      </c>
      <c r="CF188" s="23">
        <f t="shared" si="86"/>
        <v>0</v>
      </c>
      <c r="CG188" s="23">
        <f t="shared" si="87"/>
        <v>0</v>
      </c>
      <c r="CH188" s="23">
        <f t="shared" si="88"/>
        <v>0</v>
      </c>
      <c r="CI188" s="23">
        <f t="shared" si="89"/>
        <v>0</v>
      </c>
      <c r="CJ188" s="23">
        <f t="shared" si="90"/>
        <v>0</v>
      </c>
      <c r="CK188" s="23">
        <f t="shared" si="91"/>
        <v>0</v>
      </c>
      <c r="CL188" s="23">
        <f t="shared" si="92"/>
        <v>0</v>
      </c>
      <c r="CM188" s="23">
        <f t="shared" si="93"/>
        <v>0</v>
      </c>
      <c r="CN188" s="23">
        <f t="shared" si="94"/>
        <v>1</v>
      </c>
      <c r="CO188" s="23">
        <f t="shared" si="95"/>
        <v>1</v>
      </c>
      <c r="CP188" s="23">
        <f t="shared" si="96"/>
        <v>1</v>
      </c>
      <c r="CQ188" s="23">
        <f t="shared" si="97"/>
        <v>1</v>
      </c>
      <c r="CR188" s="23">
        <f t="shared" si="98"/>
        <v>1</v>
      </c>
      <c r="CS188" s="23">
        <f t="shared" si="99"/>
        <v>1</v>
      </c>
      <c r="CT188" s="23">
        <f t="shared" si="100"/>
        <v>1</v>
      </c>
      <c r="CU188" s="23">
        <f t="shared" si="101"/>
        <v>1</v>
      </c>
      <c r="CV188" s="23">
        <f t="shared" si="102"/>
        <v>0</v>
      </c>
    </row>
    <row r="189" spans="1:100" ht="13.5">
      <c r="A189" s="15">
        <v>145</v>
      </c>
      <c r="B189" s="38" t="s">
        <v>961</v>
      </c>
      <c r="C189" t="s">
        <v>580</v>
      </c>
      <c r="E189" t="s">
        <v>465</v>
      </c>
      <c r="F189" t="s">
        <v>581</v>
      </c>
      <c r="G189" t="s">
        <v>465</v>
      </c>
      <c r="H189" t="s">
        <v>582</v>
      </c>
      <c r="I189" s="6" t="s">
        <v>136</v>
      </c>
      <c r="J189" s="6">
        <v>0</v>
      </c>
      <c r="L189" s="15">
        <v>1</v>
      </c>
      <c r="M189" s="7">
        <v>46042</v>
      </c>
      <c r="N189" s="7">
        <v>46050</v>
      </c>
      <c r="O189" s="7">
        <v>46049</v>
      </c>
      <c r="P189" s="7">
        <v>46049</v>
      </c>
      <c r="S189" s="6" t="s">
        <v>465</v>
      </c>
      <c r="U189" s="6" t="s">
        <v>464</v>
      </c>
      <c r="V189" s="6" t="str">
        <f t="shared" si="69"/>
        <v>26/01</v>
      </c>
      <c r="W189">
        <v>1493</v>
      </c>
      <c r="AA189">
        <v>870</v>
      </c>
      <c r="AC189">
        <v>923</v>
      </c>
      <c r="AI189" s="23">
        <v>0</v>
      </c>
      <c r="AJ189" s="23">
        <v>0</v>
      </c>
      <c r="AK189" s="23">
        <v>0</v>
      </c>
      <c r="AL189" s="23">
        <v>0</v>
      </c>
      <c r="AM189" s="23">
        <v>0</v>
      </c>
      <c r="AN189" s="23">
        <v>0</v>
      </c>
      <c r="AO189" s="23">
        <v>0</v>
      </c>
      <c r="AP189" s="23">
        <v>0</v>
      </c>
      <c r="AQ189" s="23">
        <v>0</v>
      </c>
      <c r="AR189" s="23">
        <v>0</v>
      </c>
      <c r="AS189" s="23">
        <v>0</v>
      </c>
      <c r="AT189" s="23">
        <v>0</v>
      </c>
      <c r="AU189" s="23">
        <v>0</v>
      </c>
      <c r="AV189" s="23">
        <v>0</v>
      </c>
      <c r="AW189" s="23">
        <v>0</v>
      </c>
      <c r="AX189" s="23">
        <v>0</v>
      </c>
      <c r="AY189" s="23">
        <v>0</v>
      </c>
      <c r="AZ189" s="23">
        <v>0</v>
      </c>
      <c r="BA189" s="23">
        <v>0</v>
      </c>
      <c r="BB189" s="23">
        <v>0</v>
      </c>
      <c r="BC189" s="23">
        <v>0</v>
      </c>
      <c r="BD189" s="23">
        <v>0</v>
      </c>
      <c r="BE189" s="23">
        <v>0</v>
      </c>
      <c r="BF189" s="23">
        <v>0</v>
      </c>
      <c r="BG189" s="23">
        <v>1</v>
      </c>
      <c r="BH189" s="23">
        <v>1</v>
      </c>
      <c r="BI189" s="23">
        <v>1</v>
      </c>
      <c r="BJ189" s="23">
        <v>1</v>
      </c>
      <c r="BK189" s="23">
        <v>1</v>
      </c>
      <c r="BL189" s="23">
        <v>1</v>
      </c>
      <c r="BM189" s="23">
        <v>1</v>
      </c>
      <c r="BN189" s="23">
        <v>1</v>
      </c>
      <c r="BO189" s="23">
        <v>1</v>
      </c>
      <c r="BP189" s="23">
        <f t="shared" si="70"/>
        <v>0</v>
      </c>
      <c r="BQ189" s="23">
        <f t="shared" si="71"/>
        <v>0</v>
      </c>
      <c r="BR189" s="23">
        <f t="shared" si="72"/>
        <v>0</v>
      </c>
      <c r="BS189" s="23">
        <f t="shared" si="73"/>
        <v>0</v>
      </c>
      <c r="BT189" s="23">
        <f t="shared" si="74"/>
        <v>0</v>
      </c>
      <c r="BU189" s="23">
        <f t="shared" si="75"/>
        <v>0</v>
      </c>
      <c r="BV189" s="23">
        <f t="shared" si="76"/>
        <v>0</v>
      </c>
      <c r="BW189" s="23">
        <f t="shared" si="77"/>
        <v>0</v>
      </c>
      <c r="BX189" s="23">
        <f t="shared" si="78"/>
        <v>0</v>
      </c>
      <c r="BY189" s="23">
        <f t="shared" si="79"/>
        <v>0</v>
      </c>
      <c r="BZ189" s="23">
        <f t="shared" si="80"/>
        <v>0</v>
      </c>
      <c r="CA189" s="23">
        <f t="shared" si="81"/>
        <v>0</v>
      </c>
      <c r="CB189" s="23">
        <f t="shared" si="82"/>
        <v>0</v>
      </c>
      <c r="CC189" s="23">
        <f t="shared" si="83"/>
        <v>0</v>
      </c>
      <c r="CD189" s="23">
        <f t="shared" si="84"/>
        <v>0</v>
      </c>
      <c r="CE189" s="23">
        <f t="shared" si="85"/>
        <v>0</v>
      </c>
      <c r="CF189" s="23">
        <f t="shared" si="86"/>
        <v>0</v>
      </c>
      <c r="CG189" s="23">
        <f t="shared" si="87"/>
        <v>0</v>
      </c>
      <c r="CH189" s="23">
        <f t="shared" si="88"/>
        <v>0</v>
      </c>
      <c r="CI189" s="23">
        <f t="shared" si="89"/>
        <v>0</v>
      </c>
      <c r="CJ189" s="23">
        <f t="shared" si="90"/>
        <v>0</v>
      </c>
      <c r="CK189" s="23">
        <f t="shared" si="91"/>
        <v>0</v>
      </c>
      <c r="CL189" s="23">
        <f t="shared" si="92"/>
        <v>0</v>
      </c>
      <c r="CM189" s="23">
        <f t="shared" si="93"/>
        <v>0</v>
      </c>
      <c r="CN189" s="23">
        <f t="shared" si="94"/>
        <v>1</v>
      </c>
      <c r="CO189" s="23">
        <f t="shared" si="95"/>
        <v>1</v>
      </c>
      <c r="CP189" s="23">
        <f t="shared" si="96"/>
        <v>1</v>
      </c>
      <c r="CQ189" s="23">
        <f t="shared" si="97"/>
        <v>1</v>
      </c>
      <c r="CR189" s="23">
        <f t="shared" si="98"/>
        <v>1</v>
      </c>
      <c r="CS189" s="23">
        <f t="shared" si="99"/>
        <v>1</v>
      </c>
      <c r="CT189" s="23">
        <f t="shared" si="100"/>
        <v>1</v>
      </c>
      <c r="CU189" s="23">
        <f t="shared" si="101"/>
        <v>1</v>
      </c>
      <c r="CV189" s="23">
        <f t="shared" si="102"/>
        <v>1</v>
      </c>
    </row>
    <row r="190" spans="1:100" ht="13.5">
      <c r="A190" s="15">
        <v>148</v>
      </c>
      <c r="B190" s="27" t="s">
        <v>588</v>
      </c>
      <c r="C190" t="s">
        <v>180</v>
      </c>
      <c r="E190" t="s">
        <v>182</v>
      </c>
      <c r="F190" t="s">
        <v>181</v>
      </c>
      <c r="G190" t="s">
        <v>182</v>
      </c>
      <c r="H190" t="s">
        <v>183</v>
      </c>
      <c r="I190" s="6" t="s">
        <v>136</v>
      </c>
      <c r="J190" s="6">
        <v>1</v>
      </c>
      <c r="L190" s="15">
        <v>1</v>
      </c>
      <c r="M190" s="7">
        <v>46041</v>
      </c>
      <c r="N190" s="7">
        <v>46051</v>
      </c>
      <c r="O190" s="7">
        <v>46050</v>
      </c>
      <c r="P190" s="7">
        <v>46050</v>
      </c>
      <c r="S190" s="6" t="s">
        <v>182</v>
      </c>
      <c r="U190" s="6" t="s">
        <v>464</v>
      </c>
      <c r="V190" s="6" t="str">
        <f t="shared" si="69"/>
        <v>26/01</v>
      </c>
      <c r="W190">
        <v>1494</v>
      </c>
      <c r="AB190">
        <v>627</v>
      </c>
      <c r="AD190">
        <v>574</v>
      </c>
      <c r="AI190" s="23">
        <v>0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3">
        <v>0</v>
      </c>
      <c r="AS190" s="23">
        <v>0</v>
      </c>
      <c r="AT190" s="23">
        <v>0</v>
      </c>
      <c r="AU190" s="23">
        <v>0</v>
      </c>
      <c r="AV190" s="23">
        <v>0</v>
      </c>
      <c r="AW190" s="23">
        <v>0</v>
      </c>
      <c r="AX190" s="23">
        <v>0</v>
      </c>
      <c r="AY190" s="23">
        <v>0</v>
      </c>
      <c r="AZ190" s="23">
        <v>0</v>
      </c>
      <c r="BA190" s="23">
        <v>0</v>
      </c>
      <c r="BB190" s="23">
        <v>0</v>
      </c>
      <c r="BC190" s="23">
        <v>0</v>
      </c>
      <c r="BD190" s="23">
        <v>0</v>
      </c>
      <c r="BE190" s="23">
        <v>0</v>
      </c>
      <c r="BF190" s="23">
        <v>0</v>
      </c>
      <c r="BG190" s="23">
        <v>1</v>
      </c>
      <c r="BH190" s="23">
        <v>1</v>
      </c>
      <c r="BI190" s="23">
        <v>1</v>
      </c>
      <c r="BJ190" s="23">
        <v>1</v>
      </c>
      <c r="BK190" s="23">
        <v>1</v>
      </c>
      <c r="BL190" s="23">
        <v>1</v>
      </c>
      <c r="BM190" s="23">
        <v>1</v>
      </c>
      <c r="BN190" s="23">
        <v>1</v>
      </c>
      <c r="BO190" s="23">
        <v>0</v>
      </c>
      <c r="BP190" s="23">
        <f t="shared" si="70"/>
        <v>0</v>
      </c>
      <c r="BQ190" s="23">
        <f t="shared" si="71"/>
        <v>0</v>
      </c>
      <c r="BR190" s="23">
        <f t="shared" si="72"/>
        <v>0</v>
      </c>
      <c r="BS190" s="23">
        <f t="shared" si="73"/>
        <v>0</v>
      </c>
      <c r="BT190" s="23">
        <f t="shared" si="74"/>
        <v>0</v>
      </c>
      <c r="BU190" s="23">
        <f t="shared" si="75"/>
        <v>0</v>
      </c>
      <c r="BV190" s="23">
        <f t="shared" si="76"/>
        <v>0</v>
      </c>
      <c r="BW190" s="23">
        <f t="shared" si="77"/>
        <v>0</v>
      </c>
      <c r="BX190" s="23">
        <f t="shared" si="78"/>
        <v>0</v>
      </c>
      <c r="BY190" s="23">
        <f t="shared" si="79"/>
        <v>0</v>
      </c>
      <c r="BZ190" s="23">
        <f t="shared" si="80"/>
        <v>0</v>
      </c>
      <c r="CA190" s="23">
        <f t="shared" si="81"/>
        <v>0</v>
      </c>
      <c r="CB190" s="23">
        <f t="shared" si="82"/>
        <v>0</v>
      </c>
      <c r="CC190" s="23">
        <f t="shared" si="83"/>
        <v>0</v>
      </c>
      <c r="CD190" s="23">
        <f t="shared" si="84"/>
        <v>0</v>
      </c>
      <c r="CE190" s="23">
        <f t="shared" si="85"/>
        <v>0</v>
      </c>
      <c r="CF190" s="23">
        <f t="shared" si="86"/>
        <v>0</v>
      </c>
      <c r="CG190" s="23">
        <f t="shared" si="87"/>
        <v>0</v>
      </c>
      <c r="CH190" s="23">
        <f t="shared" si="88"/>
        <v>0</v>
      </c>
      <c r="CI190" s="23">
        <f t="shared" si="89"/>
        <v>0</v>
      </c>
      <c r="CJ190" s="23">
        <f t="shared" si="90"/>
        <v>0</v>
      </c>
      <c r="CK190" s="23">
        <f t="shared" si="91"/>
        <v>0</v>
      </c>
      <c r="CL190" s="23">
        <f t="shared" si="92"/>
        <v>0</v>
      </c>
      <c r="CM190" s="23">
        <f t="shared" si="93"/>
        <v>0</v>
      </c>
      <c r="CN190" s="23">
        <f t="shared" si="94"/>
        <v>1</v>
      </c>
      <c r="CO190" s="23">
        <f t="shared" si="95"/>
        <v>1</v>
      </c>
      <c r="CP190" s="23">
        <f t="shared" si="96"/>
        <v>1</v>
      </c>
      <c r="CQ190" s="23">
        <f t="shared" si="97"/>
        <v>1</v>
      </c>
      <c r="CR190" s="23">
        <f t="shared" si="98"/>
        <v>1</v>
      </c>
      <c r="CS190" s="23">
        <f t="shared" si="99"/>
        <v>1</v>
      </c>
      <c r="CT190" s="23">
        <f t="shared" si="100"/>
        <v>1</v>
      </c>
      <c r="CU190" s="23">
        <f t="shared" si="101"/>
        <v>1</v>
      </c>
      <c r="CV190" s="23">
        <f t="shared" si="102"/>
        <v>0</v>
      </c>
    </row>
    <row r="191" spans="1:100" ht="13.5">
      <c r="A191" s="15">
        <v>149</v>
      </c>
      <c r="B191" s="27" t="s">
        <v>589</v>
      </c>
      <c r="C191" t="s">
        <v>180</v>
      </c>
      <c r="E191" t="s">
        <v>182</v>
      </c>
      <c r="F191" t="s">
        <v>181</v>
      </c>
      <c r="G191" t="s">
        <v>182</v>
      </c>
      <c r="H191" t="s">
        <v>183</v>
      </c>
      <c r="I191" s="6" t="s">
        <v>136</v>
      </c>
      <c r="J191" s="6">
        <v>1</v>
      </c>
      <c r="L191" s="15">
        <v>1</v>
      </c>
      <c r="M191" s="7">
        <v>46041</v>
      </c>
      <c r="N191" s="7">
        <v>46051</v>
      </c>
      <c r="O191" s="7">
        <v>46050</v>
      </c>
      <c r="P191" s="7">
        <v>46050</v>
      </c>
      <c r="S191" s="6" t="s">
        <v>182</v>
      </c>
      <c r="U191" s="6" t="s">
        <v>464</v>
      </c>
      <c r="V191" s="6" t="str">
        <f t="shared" si="69"/>
        <v>26/01</v>
      </c>
      <c r="W191">
        <v>1495</v>
      </c>
      <c r="AB191">
        <v>628</v>
      </c>
      <c r="AD191">
        <v>575</v>
      </c>
      <c r="AI191" s="23">
        <v>0</v>
      </c>
      <c r="AJ191" s="23">
        <v>0</v>
      </c>
      <c r="AK191" s="23">
        <v>0</v>
      </c>
      <c r="AL191" s="23">
        <v>0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0</v>
      </c>
      <c r="AS191" s="23">
        <v>0</v>
      </c>
      <c r="AT191" s="23">
        <v>0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3">
        <v>0</v>
      </c>
      <c r="BD191" s="23">
        <v>0</v>
      </c>
      <c r="BE191" s="23">
        <v>0</v>
      </c>
      <c r="BF191" s="23">
        <v>0</v>
      </c>
      <c r="BG191" s="23">
        <v>1</v>
      </c>
      <c r="BH191" s="23">
        <v>1</v>
      </c>
      <c r="BI191" s="23">
        <v>1</v>
      </c>
      <c r="BJ191" s="23">
        <v>1</v>
      </c>
      <c r="BK191" s="23">
        <v>1</v>
      </c>
      <c r="BL191" s="23">
        <v>1</v>
      </c>
      <c r="BM191" s="23">
        <v>1</v>
      </c>
      <c r="BN191" s="23">
        <v>1</v>
      </c>
      <c r="BO191" s="23">
        <v>0</v>
      </c>
      <c r="BP191" s="23">
        <f t="shared" si="70"/>
        <v>0</v>
      </c>
      <c r="BQ191" s="23">
        <f t="shared" si="71"/>
        <v>0</v>
      </c>
      <c r="BR191" s="23">
        <f t="shared" si="72"/>
        <v>0</v>
      </c>
      <c r="BS191" s="23">
        <f t="shared" si="73"/>
        <v>0</v>
      </c>
      <c r="BT191" s="23">
        <f t="shared" si="74"/>
        <v>0</v>
      </c>
      <c r="BU191" s="23">
        <f t="shared" si="75"/>
        <v>0</v>
      </c>
      <c r="BV191" s="23">
        <f t="shared" si="76"/>
        <v>0</v>
      </c>
      <c r="BW191" s="23">
        <f t="shared" si="77"/>
        <v>0</v>
      </c>
      <c r="BX191" s="23">
        <f t="shared" si="78"/>
        <v>0</v>
      </c>
      <c r="BY191" s="23">
        <f t="shared" si="79"/>
        <v>0</v>
      </c>
      <c r="BZ191" s="23">
        <f t="shared" si="80"/>
        <v>0</v>
      </c>
      <c r="CA191" s="23">
        <f t="shared" si="81"/>
        <v>0</v>
      </c>
      <c r="CB191" s="23">
        <f t="shared" si="82"/>
        <v>0</v>
      </c>
      <c r="CC191" s="23">
        <f t="shared" si="83"/>
        <v>0</v>
      </c>
      <c r="CD191" s="23">
        <f t="shared" si="84"/>
        <v>0</v>
      </c>
      <c r="CE191" s="23">
        <f t="shared" si="85"/>
        <v>0</v>
      </c>
      <c r="CF191" s="23">
        <f t="shared" si="86"/>
        <v>0</v>
      </c>
      <c r="CG191" s="23">
        <f t="shared" si="87"/>
        <v>0</v>
      </c>
      <c r="CH191" s="23">
        <f t="shared" si="88"/>
        <v>0</v>
      </c>
      <c r="CI191" s="23">
        <f t="shared" si="89"/>
        <v>0</v>
      </c>
      <c r="CJ191" s="23">
        <f t="shared" si="90"/>
        <v>0</v>
      </c>
      <c r="CK191" s="23">
        <f t="shared" si="91"/>
        <v>0</v>
      </c>
      <c r="CL191" s="23">
        <f t="shared" si="92"/>
        <v>0</v>
      </c>
      <c r="CM191" s="23">
        <f t="shared" si="93"/>
        <v>0</v>
      </c>
      <c r="CN191" s="23">
        <f t="shared" si="94"/>
        <v>1</v>
      </c>
      <c r="CO191" s="23">
        <f t="shared" si="95"/>
        <v>1</v>
      </c>
      <c r="CP191" s="23">
        <f t="shared" si="96"/>
        <v>1</v>
      </c>
      <c r="CQ191" s="23">
        <f t="shared" si="97"/>
        <v>1</v>
      </c>
      <c r="CR191" s="23">
        <f t="shared" si="98"/>
        <v>1</v>
      </c>
      <c r="CS191" s="23">
        <f t="shared" si="99"/>
        <v>1</v>
      </c>
      <c r="CT191" s="23">
        <f t="shared" si="100"/>
        <v>1</v>
      </c>
      <c r="CU191" s="23">
        <f t="shared" si="101"/>
        <v>1</v>
      </c>
      <c r="CV191" s="23">
        <f t="shared" si="102"/>
        <v>0</v>
      </c>
    </row>
    <row r="192" spans="1:100" ht="13.5">
      <c r="A192" s="15">
        <v>147</v>
      </c>
      <c r="B192" s="27" t="s">
        <v>587</v>
      </c>
      <c r="C192" t="s">
        <v>180</v>
      </c>
      <c r="E192" t="s">
        <v>182</v>
      </c>
      <c r="F192" t="s">
        <v>181</v>
      </c>
      <c r="G192" t="s">
        <v>182</v>
      </c>
      <c r="H192" t="s">
        <v>183</v>
      </c>
      <c r="I192" s="6" t="s">
        <v>136</v>
      </c>
      <c r="J192" s="6">
        <v>1</v>
      </c>
      <c r="L192" s="15">
        <v>1</v>
      </c>
      <c r="M192" s="7">
        <v>46041</v>
      </c>
      <c r="N192" s="7">
        <v>46051</v>
      </c>
      <c r="O192" s="7">
        <v>46050</v>
      </c>
      <c r="P192" s="7">
        <v>46050</v>
      </c>
      <c r="S192" s="6" t="s">
        <v>182</v>
      </c>
      <c r="U192" s="6" t="s">
        <v>464</v>
      </c>
      <c r="V192" s="6" t="str">
        <f t="shared" si="69"/>
        <v>26/01</v>
      </c>
      <c r="W192">
        <v>1496</v>
      </c>
      <c r="AB192">
        <v>629</v>
      </c>
      <c r="AD192">
        <v>576</v>
      </c>
      <c r="AI192" s="23">
        <v>0</v>
      </c>
      <c r="AJ192" s="23">
        <v>0</v>
      </c>
      <c r="AK192" s="23">
        <v>0</v>
      </c>
      <c r="AL192" s="23">
        <v>0</v>
      </c>
      <c r="AM192" s="23">
        <v>0</v>
      </c>
      <c r="AN192" s="23">
        <v>0</v>
      </c>
      <c r="AO192" s="23">
        <v>0</v>
      </c>
      <c r="AP192" s="23">
        <v>0</v>
      </c>
      <c r="AQ192" s="23">
        <v>0</v>
      </c>
      <c r="AR192" s="23">
        <v>0</v>
      </c>
      <c r="AS192" s="23">
        <v>0</v>
      </c>
      <c r="AT192" s="23">
        <v>0</v>
      </c>
      <c r="AU192" s="23">
        <v>0</v>
      </c>
      <c r="AV192" s="23">
        <v>0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3">
        <v>0</v>
      </c>
      <c r="BD192" s="23">
        <v>0</v>
      </c>
      <c r="BE192" s="23">
        <v>0</v>
      </c>
      <c r="BF192" s="23">
        <v>0</v>
      </c>
      <c r="BG192" s="23">
        <v>1</v>
      </c>
      <c r="BH192" s="23">
        <v>1</v>
      </c>
      <c r="BI192" s="23">
        <v>1</v>
      </c>
      <c r="BJ192" s="23">
        <v>1</v>
      </c>
      <c r="BK192" s="23">
        <v>1</v>
      </c>
      <c r="BL192" s="23">
        <v>1</v>
      </c>
      <c r="BM192" s="23">
        <v>1</v>
      </c>
      <c r="BN192" s="23">
        <v>1</v>
      </c>
      <c r="BO192" s="23">
        <v>0</v>
      </c>
      <c r="BP192" s="23">
        <f t="shared" si="70"/>
        <v>0</v>
      </c>
      <c r="BQ192" s="23">
        <f t="shared" si="71"/>
        <v>0</v>
      </c>
      <c r="BR192" s="23">
        <f t="shared" si="72"/>
        <v>0</v>
      </c>
      <c r="BS192" s="23">
        <f t="shared" si="73"/>
        <v>0</v>
      </c>
      <c r="BT192" s="23">
        <f t="shared" si="74"/>
        <v>0</v>
      </c>
      <c r="BU192" s="23">
        <f t="shared" si="75"/>
        <v>0</v>
      </c>
      <c r="BV192" s="23">
        <f t="shared" si="76"/>
        <v>0</v>
      </c>
      <c r="BW192" s="23">
        <f t="shared" si="77"/>
        <v>0</v>
      </c>
      <c r="BX192" s="23">
        <f t="shared" si="78"/>
        <v>0</v>
      </c>
      <c r="BY192" s="23">
        <f t="shared" si="79"/>
        <v>0</v>
      </c>
      <c r="BZ192" s="23">
        <f t="shared" si="80"/>
        <v>0</v>
      </c>
      <c r="CA192" s="23">
        <f t="shared" si="81"/>
        <v>0</v>
      </c>
      <c r="CB192" s="23">
        <f t="shared" si="82"/>
        <v>0</v>
      </c>
      <c r="CC192" s="23">
        <f t="shared" si="83"/>
        <v>0</v>
      </c>
      <c r="CD192" s="23">
        <f t="shared" si="84"/>
        <v>0</v>
      </c>
      <c r="CE192" s="23">
        <f t="shared" si="85"/>
        <v>0</v>
      </c>
      <c r="CF192" s="23">
        <f t="shared" si="86"/>
        <v>0</v>
      </c>
      <c r="CG192" s="23">
        <f t="shared" si="87"/>
        <v>0</v>
      </c>
      <c r="CH192" s="23">
        <f t="shared" si="88"/>
        <v>0</v>
      </c>
      <c r="CI192" s="23">
        <f t="shared" si="89"/>
        <v>0</v>
      </c>
      <c r="CJ192" s="23">
        <f t="shared" si="90"/>
        <v>0</v>
      </c>
      <c r="CK192" s="23">
        <f t="shared" si="91"/>
        <v>0</v>
      </c>
      <c r="CL192" s="23">
        <f t="shared" si="92"/>
        <v>0</v>
      </c>
      <c r="CM192" s="23">
        <f t="shared" si="93"/>
        <v>0</v>
      </c>
      <c r="CN192" s="23">
        <f t="shared" si="94"/>
        <v>1</v>
      </c>
      <c r="CO192" s="23">
        <f t="shared" si="95"/>
        <v>1</v>
      </c>
      <c r="CP192" s="23">
        <f t="shared" si="96"/>
        <v>1</v>
      </c>
      <c r="CQ192" s="23">
        <f t="shared" si="97"/>
        <v>1</v>
      </c>
      <c r="CR192" s="23">
        <f t="shared" si="98"/>
        <v>1</v>
      </c>
      <c r="CS192" s="23">
        <f t="shared" si="99"/>
        <v>1</v>
      </c>
      <c r="CT192" s="23">
        <f t="shared" si="100"/>
        <v>1</v>
      </c>
      <c r="CU192" s="23">
        <f t="shared" si="101"/>
        <v>1</v>
      </c>
      <c r="CV192" s="23">
        <f t="shared" si="102"/>
        <v>0</v>
      </c>
    </row>
    <row r="193" spans="1:100" ht="13.5">
      <c r="A193" s="15">
        <v>159</v>
      </c>
      <c r="B193" s="27" t="s">
        <v>583</v>
      </c>
      <c r="C193" t="s">
        <v>466</v>
      </c>
      <c r="D193" t="s">
        <v>584</v>
      </c>
      <c r="F193" t="s">
        <v>467</v>
      </c>
      <c r="G193" t="s">
        <v>585</v>
      </c>
      <c r="H193" t="s">
        <v>586</v>
      </c>
      <c r="I193" s="6" t="s">
        <v>147</v>
      </c>
      <c r="J193" s="6">
        <v>1</v>
      </c>
      <c r="K193" t="s">
        <v>468</v>
      </c>
      <c r="L193" s="15">
        <v>1</v>
      </c>
      <c r="M193" s="7">
        <v>46041</v>
      </c>
      <c r="N193" s="7">
        <v>46051</v>
      </c>
      <c r="O193" s="7">
        <v>46050</v>
      </c>
      <c r="P193" s="7">
        <v>46055</v>
      </c>
      <c r="S193" s="6" t="s">
        <v>465</v>
      </c>
      <c r="U193" s="6" t="s">
        <v>464</v>
      </c>
      <c r="V193" s="6" t="str">
        <f t="shared" si="69"/>
        <v>26/01</v>
      </c>
      <c r="W193" s="37">
        <v>1497</v>
      </c>
      <c r="AA193" s="37">
        <v>871</v>
      </c>
      <c r="AC193" s="37">
        <v>924</v>
      </c>
      <c r="AI193" s="23">
        <v>0</v>
      </c>
      <c r="AJ193" s="23">
        <v>0</v>
      </c>
      <c r="AK193" s="23">
        <v>0</v>
      </c>
      <c r="AL193" s="23">
        <v>0</v>
      </c>
      <c r="AM193" s="23">
        <v>0</v>
      </c>
      <c r="AN193" s="23">
        <v>0</v>
      </c>
      <c r="AO193" s="23">
        <v>0</v>
      </c>
      <c r="AP193" s="23">
        <v>0</v>
      </c>
      <c r="AQ193" s="23">
        <v>0</v>
      </c>
      <c r="AR193" s="23">
        <v>0</v>
      </c>
      <c r="AS193" s="23">
        <v>0</v>
      </c>
      <c r="AT193" s="23">
        <v>0</v>
      </c>
      <c r="AU193" s="23">
        <v>0</v>
      </c>
      <c r="AV193" s="23">
        <v>0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3">
        <v>0</v>
      </c>
      <c r="BD193" s="23">
        <v>0</v>
      </c>
      <c r="BE193" s="23">
        <v>0</v>
      </c>
      <c r="BF193" s="23">
        <v>0</v>
      </c>
      <c r="BG193" s="23">
        <v>1</v>
      </c>
      <c r="BH193" s="23">
        <v>1</v>
      </c>
      <c r="BI193" s="23">
        <v>1</v>
      </c>
      <c r="BJ193" s="23">
        <v>1</v>
      </c>
      <c r="BK193" s="23">
        <v>1</v>
      </c>
      <c r="BL193" s="23">
        <v>1</v>
      </c>
      <c r="BM193" s="23">
        <v>1</v>
      </c>
      <c r="BN193" s="23">
        <v>1</v>
      </c>
      <c r="BO193" s="23">
        <v>1</v>
      </c>
      <c r="BP193" s="23">
        <f t="shared" si="70"/>
        <v>0</v>
      </c>
      <c r="BQ193" s="23">
        <f t="shared" si="71"/>
        <v>0</v>
      </c>
      <c r="BR193" s="23">
        <f t="shared" si="72"/>
        <v>0</v>
      </c>
      <c r="BS193" s="23">
        <f t="shared" si="73"/>
        <v>0</v>
      </c>
      <c r="BT193" s="23">
        <f t="shared" si="74"/>
        <v>0</v>
      </c>
      <c r="BU193" s="23">
        <f t="shared" si="75"/>
        <v>0</v>
      </c>
      <c r="BV193" s="23">
        <f t="shared" si="76"/>
        <v>0</v>
      </c>
      <c r="BW193" s="23">
        <f t="shared" si="77"/>
        <v>0</v>
      </c>
      <c r="BX193" s="23">
        <f t="shared" si="78"/>
        <v>0</v>
      </c>
      <c r="BY193" s="23">
        <f t="shared" si="79"/>
        <v>0</v>
      </c>
      <c r="BZ193" s="23">
        <f t="shared" si="80"/>
        <v>0</v>
      </c>
      <c r="CA193" s="23">
        <f t="shared" si="81"/>
        <v>0</v>
      </c>
      <c r="CB193" s="23">
        <f t="shared" si="82"/>
        <v>0</v>
      </c>
      <c r="CC193" s="23">
        <f t="shared" si="83"/>
        <v>0</v>
      </c>
      <c r="CD193" s="23">
        <f t="shared" si="84"/>
        <v>0</v>
      </c>
      <c r="CE193" s="23">
        <f t="shared" si="85"/>
        <v>0</v>
      </c>
      <c r="CF193" s="23">
        <f t="shared" si="86"/>
        <v>0</v>
      </c>
      <c r="CG193" s="23">
        <f t="shared" si="87"/>
        <v>0</v>
      </c>
      <c r="CH193" s="23">
        <f t="shared" si="88"/>
        <v>0</v>
      </c>
      <c r="CI193" s="23">
        <f t="shared" si="89"/>
        <v>0</v>
      </c>
      <c r="CJ193" s="23">
        <f t="shared" si="90"/>
        <v>0</v>
      </c>
      <c r="CK193" s="23">
        <f t="shared" si="91"/>
        <v>0</v>
      </c>
      <c r="CL193" s="23">
        <f t="shared" si="92"/>
        <v>0</v>
      </c>
      <c r="CM193" s="23">
        <f t="shared" si="93"/>
        <v>0</v>
      </c>
      <c r="CN193" s="23">
        <f t="shared" si="94"/>
        <v>1</v>
      </c>
      <c r="CO193" s="23">
        <f t="shared" si="95"/>
        <v>1</v>
      </c>
      <c r="CP193" s="23">
        <f t="shared" si="96"/>
        <v>1</v>
      </c>
      <c r="CQ193" s="23">
        <f t="shared" si="97"/>
        <v>1</v>
      </c>
      <c r="CR193" s="23">
        <f t="shared" si="98"/>
        <v>1</v>
      </c>
      <c r="CS193" s="23">
        <f t="shared" si="99"/>
        <v>1</v>
      </c>
      <c r="CT193" s="23">
        <f t="shared" si="100"/>
        <v>1</v>
      </c>
      <c r="CU193" s="23">
        <f t="shared" si="101"/>
        <v>1</v>
      </c>
      <c r="CV193" s="23">
        <f t="shared" si="102"/>
        <v>1</v>
      </c>
    </row>
    <row r="194" spans="1:100" ht="13.5">
      <c r="A194" s="15">
        <v>145</v>
      </c>
      <c r="B194" s="38" t="s">
        <v>963</v>
      </c>
      <c r="C194" t="s">
        <v>580</v>
      </c>
      <c r="E194" t="s">
        <v>465</v>
      </c>
      <c r="F194" t="s">
        <v>581</v>
      </c>
      <c r="G194" t="s">
        <v>465</v>
      </c>
      <c r="H194" t="s">
        <v>582</v>
      </c>
      <c r="I194" s="6" t="s">
        <v>136</v>
      </c>
      <c r="J194" s="6">
        <v>0</v>
      </c>
      <c r="L194" s="15">
        <v>1</v>
      </c>
      <c r="M194" s="7">
        <v>46042</v>
      </c>
      <c r="N194" s="7">
        <v>46051</v>
      </c>
      <c r="O194" s="7">
        <v>46049</v>
      </c>
      <c r="P194" s="7">
        <v>46049</v>
      </c>
      <c r="S194" s="6" t="s">
        <v>465</v>
      </c>
      <c r="U194" s="6" t="s">
        <v>464</v>
      </c>
      <c r="V194" s="6" t="str">
        <f t="shared" si="69"/>
        <v>26/01</v>
      </c>
      <c r="W194" s="37">
        <v>1498</v>
      </c>
      <c r="AA194" s="37">
        <v>872</v>
      </c>
      <c r="AC194" s="37">
        <v>925</v>
      </c>
      <c r="AI194" s="23">
        <v>0</v>
      </c>
      <c r="AJ194" s="23">
        <v>0</v>
      </c>
      <c r="AK194" s="23">
        <v>0</v>
      </c>
      <c r="AL194" s="23">
        <v>0</v>
      </c>
      <c r="AM194" s="23">
        <v>0</v>
      </c>
      <c r="AN194" s="23">
        <v>0</v>
      </c>
      <c r="AO194" s="23">
        <v>0</v>
      </c>
      <c r="AP194" s="23">
        <v>0</v>
      </c>
      <c r="AQ194" s="23">
        <v>0</v>
      </c>
      <c r="AR194" s="23">
        <v>0</v>
      </c>
      <c r="AS194" s="23">
        <v>0</v>
      </c>
      <c r="AT194" s="23">
        <v>0</v>
      </c>
      <c r="AU194" s="23">
        <v>0</v>
      </c>
      <c r="AV194" s="23">
        <v>0</v>
      </c>
      <c r="AW194" s="23">
        <v>0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3">
        <v>0</v>
      </c>
      <c r="BD194" s="23">
        <v>0</v>
      </c>
      <c r="BE194" s="23">
        <v>0</v>
      </c>
      <c r="BF194" s="23">
        <v>0</v>
      </c>
      <c r="BG194" s="23">
        <v>1</v>
      </c>
      <c r="BH194" s="23">
        <v>1</v>
      </c>
      <c r="BI194" s="23">
        <v>1</v>
      </c>
      <c r="BJ194" s="23">
        <v>1</v>
      </c>
      <c r="BK194" s="23">
        <v>1</v>
      </c>
      <c r="BL194" s="23">
        <v>1</v>
      </c>
      <c r="BM194" s="23">
        <v>1</v>
      </c>
      <c r="BN194" s="23">
        <v>1</v>
      </c>
      <c r="BO194" s="23">
        <v>1</v>
      </c>
      <c r="BP194" s="23">
        <f t="shared" si="70"/>
        <v>0</v>
      </c>
      <c r="BQ194" s="23">
        <f t="shared" si="71"/>
        <v>0</v>
      </c>
      <c r="BR194" s="23">
        <f t="shared" si="72"/>
        <v>0</v>
      </c>
      <c r="BS194" s="23">
        <f t="shared" si="73"/>
        <v>0</v>
      </c>
      <c r="BT194" s="23">
        <f t="shared" si="74"/>
        <v>0</v>
      </c>
      <c r="BU194" s="23">
        <f t="shared" si="75"/>
        <v>0</v>
      </c>
      <c r="BV194" s="23">
        <f t="shared" si="76"/>
        <v>0</v>
      </c>
      <c r="BW194" s="23">
        <f t="shared" si="77"/>
        <v>0</v>
      </c>
      <c r="BX194" s="23">
        <f t="shared" si="78"/>
        <v>0</v>
      </c>
      <c r="BY194" s="23">
        <f t="shared" si="79"/>
        <v>0</v>
      </c>
      <c r="BZ194" s="23">
        <f t="shared" si="80"/>
        <v>0</v>
      </c>
      <c r="CA194" s="23">
        <f t="shared" si="81"/>
        <v>0</v>
      </c>
      <c r="CB194" s="23">
        <f t="shared" si="82"/>
        <v>0</v>
      </c>
      <c r="CC194" s="23">
        <f t="shared" si="83"/>
        <v>0</v>
      </c>
      <c r="CD194" s="23">
        <f t="shared" si="84"/>
        <v>0</v>
      </c>
      <c r="CE194" s="23">
        <f t="shared" si="85"/>
        <v>0</v>
      </c>
      <c r="CF194" s="23">
        <f t="shared" si="86"/>
        <v>0</v>
      </c>
      <c r="CG194" s="23">
        <f t="shared" si="87"/>
        <v>0</v>
      </c>
      <c r="CH194" s="23">
        <f t="shared" si="88"/>
        <v>0</v>
      </c>
      <c r="CI194" s="23">
        <f t="shared" si="89"/>
        <v>0</v>
      </c>
      <c r="CJ194" s="23">
        <f t="shared" si="90"/>
        <v>0</v>
      </c>
      <c r="CK194" s="23">
        <f t="shared" si="91"/>
        <v>0</v>
      </c>
      <c r="CL194" s="23">
        <f t="shared" si="92"/>
        <v>0</v>
      </c>
      <c r="CM194" s="23">
        <f t="shared" si="93"/>
        <v>0</v>
      </c>
      <c r="CN194" s="23">
        <f t="shared" si="94"/>
        <v>1</v>
      </c>
      <c r="CO194" s="23">
        <f t="shared" si="95"/>
        <v>1</v>
      </c>
      <c r="CP194" s="23">
        <f t="shared" si="96"/>
        <v>1</v>
      </c>
      <c r="CQ194" s="23">
        <f t="shared" si="97"/>
        <v>1</v>
      </c>
      <c r="CR194" s="23">
        <f t="shared" si="98"/>
        <v>1</v>
      </c>
      <c r="CS194" s="23">
        <f t="shared" si="99"/>
        <v>1</v>
      </c>
      <c r="CT194" s="23">
        <f t="shared" si="100"/>
        <v>1</v>
      </c>
      <c r="CU194" s="23">
        <f t="shared" si="101"/>
        <v>1</v>
      </c>
      <c r="CV194" s="23">
        <f t="shared" si="102"/>
        <v>1</v>
      </c>
    </row>
    <row r="195" spans="1:100" ht="13.5">
      <c r="A195" s="15">
        <v>152</v>
      </c>
      <c r="B195" s="27" t="s">
        <v>591</v>
      </c>
      <c r="C195" t="s">
        <v>180</v>
      </c>
      <c r="E195" t="s">
        <v>182</v>
      </c>
      <c r="F195" t="s">
        <v>181</v>
      </c>
      <c r="G195" t="s">
        <v>182</v>
      </c>
      <c r="H195" t="s">
        <v>183</v>
      </c>
      <c r="I195" s="6" t="s">
        <v>136</v>
      </c>
      <c r="J195" s="6">
        <v>1</v>
      </c>
      <c r="L195" s="15">
        <v>1</v>
      </c>
      <c r="M195" s="7">
        <v>46042</v>
      </c>
      <c r="N195" s="7">
        <v>46052</v>
      </c>
      <c r="O195" s="7">
        <v>46051</v>
      </c>
      <c r="P195" s="7">
        <v>46051</v>
      </c>
      <c r="S195" s="6" t="s">
        <v>182</v>
      </c>
      <c r="U195" s="6" t="s">
        <v>464</v>
      </c>
      <c r="V195" s="6" t="str">
        <f t="shared" si="69"/>
        <v>26/01</v>
      </c>
      <c r="W195">
        <v>1499</v>
      </c>
      <c r="AB195">
        <v>630</v>
      </c>
      <c r="AD195">
        <v>577</v>
      </c>
      <c r="AI195" s="23">
        <v>0</v>
      </c>
      <c r="AJ195" s="23">
        <v>0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0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3">
        <v>0</v>
      </c>
      <c r="BD195" s="23">
        <v>0</v>
      </c>
      <c r="BE195" s="23">
        <v>0</v>
      </c>
      <c r="BF195" s="23">
        <v>0</v>
      </c>
      <c r="BG195" s="23">
        <v>1</v>
      </c>
      <c r="BH195" s="23">
        <v>1</v>
      </c>
      <c r="BI195" s="23">
        <v>1</v>
      </c>
      <c r="BJ195" s="23">
        <v>1</v>
      </c>
      <c r="BK195" s="23">
        <v>1</v>
      </c>
      <c r="BL195" s="23">
        <v>1</v>
      </c>
      <c r="BM195" s="23">
        <v>1</v>
      </c>
      <c r="BN195" s="23">
        <v>1</v>
      </c>
      <c r="BO195" s="23">
        <v>0</v>
      </c>
      <c r="BP195" s="23">
        <f t="shared" si="70"/>
        <v>0</v>
      </c>
      <c r="BQ195" s="23">
        <f t="shared" si="71"/>
        <v>0</v>
      </c>
      <c r="BR195" s="23">
        <f t="shared" si="72"/>
        <v>0</v>
      </c>
      <c r="BS195" s="23">
        <f t="shared" si="73"/>
        <v>0</v>
      </c>
      <c r="BT195" s="23">
        <f t="shared" si="74"/>
        <v>0</v>
      </c>
      <c r="BU195" s="23">
        <f t="shared" si="75"/>
        <v>0</v>
      </c>
      <c r="BV195" s="23">
        <f t="shared" si="76"/>
        <v>0</v>
      </c>
      <c r="BW195" s="23">
        <f t="shared" si="77"/>
        <v>0</v>
      </c>
      <c r="BX195" s="23">
        <f t="shared" si="78"/>
        <v>0</v>
      </c>
      <c r="BY195" s="23">
        <f t="shared" si="79"/>
        <v>0</v>
      </c>
      <c r="BZ195" s="23">
        <f t="shared" si="80"/>
        <v>0</v>
      </c>
      <c r="CA195" s="23">
        <f t="shared" si="81"/>
        <v>0</v>
      </c>
      <c r="CB195" s="23">
        <f t="shared" si="82"/>
        <v>0</v>
      </c>
      <c r="CC195" s="23">
        <f t="shared" si="83"/>
        <v>0</v>
      </c>
      <c r="CD195" s="23">
        <f t="shared" si="84"/>
        <v>0</v>
      </c>
      <c r="CE195" s="23">
        <f t="shared" si="85"/>
        <v>0</v>
      </c>
      <c r="CF195" s="23">
        <f t="shared" si="86"/>
        <v>0</v>
      </c>
      <c r="CG195" s="23">
        <f t="shared" si="87"/>
        <v>0</v>
      </c>
      <c r="CH195" s="23">
        <f t="shared" si="88"/>
        <v>0</v>
      </c>
      <c r="CI195" s="23">
        <f t="shared" si="89"/>
        <v>0</v>
      </c>
      <c r="CJ195" s="23">
        <f t="shared" si="90"/>
        <v>0</v>
      </c>
      <c r="CK195" s="23">
        <f t="shared" si="91"/>
        <v>0</v>
      </c>
      <c r="CL195" s="23">
        <f t="shared" si="92"/>
        <v>0</v>
      </c>
      <c r="CM195" s="23">
        <f t="shared" si="93"/>
        <v>0</v>
      </c>
      <c r="CN195" s="23">
        <f t="shared" si="94"/>
        <v>1</v>
      </c>
      <c r="CO195" s="23">
        <f t="shared" si="95"/>
        <v>1</v>
      </c>
      <c r="CP195" s="23">
        <f t="shared" si="96"/>
        <v>1</v>
      </c>
      <c r="CQ195" s="23">
        <f t="shared" si="97"/>
        <v>1</v>
      </c>
      <c r="CR195" s="23">
        <f t="shared" si="98"/>
        <v>1</v>
      </c>
      <c r="CS195" s="23">
        <f t="shared" si="99"/>
        <v>1</v>
      </c>
      <c r="CT195" s="23">
        <f t="shared" si="100"/>
        <v>1</v>
      </c>
      <c r="CU195" s="23">
        <f t="shared" si="101"/>
        <v>1</v>
      </c>
      <c r="CV195" s="23">
        <f t="shared" si="102"/>
        <v>0</v>
      </c>
    </row>
    <row r="196" spans="1:100" ht="13.5">
      <c r="A196" s="15">
        <v>153</v>
      </c>
      <c r="B196" s="27" t="s">
        <v>592</v>
      </c>
      <c r="C196" t="s">
        <v>180</v>
      </c>
      <c r="E196" t="s">
        <v>182</v>
      </c>
      <c r="F196" t="s">
        <v>181</v>
      </c>
      <c r="G196" t="s">
        <v>182</v>
      </c>
      <c r="H196" t="s">
        <v>183</v>
      </c>
      <c r="I196" s="6" t="s">
        <v>136</v>
      </c>
      <c r="J196" s="6">
        <v>1</v>
      </c>
      <c r="L196" s="15">
        <v>1</v>
      </c>
      <c r="M196" s="7">
        <v>46042</v>
      </c>
      <c r="N196" s="7">
        <v>46052</v>
      </c>
      <c r="O196" s="7">
        <v>46051</v>
      </c>
      <c r="P196" s="7">
        <v>46051</v>
      </c>
      <c r="S196" s="6" t="s">
        <v>182</v>
      </c>
      <c r="U196" s="6" t="s">
        <v>464</v>
      </c>
      <c r="V196" s="6" t="str">
        <f t="shared" si="69"/>
        <v>26/01</v>
      </c>
      <c r="W196">
        <v>1500</v>
      </c>
      <c r="AB196">
        <v>631</v>
      </c>
      <c r="AD196">
        <v>578</v>
      </c>
      <c r="AI196" s="23">
        <v>0</v>
      </c>
      <c r="AJ196" s="23">
        <v>0</v>
      </c>
      <c r="AK196" s="23">
        <v>0</v>
      </c>
      <c r="AL196" s="23">
        <v>0</v>
      </c>
      <c r="AM196" s="23">
        <v>0</v>
      </c>
      <c r="AN196" s="23">
        <v>0</v>
      </c>
      <c r="AO196" s="23">
        <v>0</v>
      </c>
      <c r="AP196" s="23">
        <v>0</v>
      </c>
      <c r="AQ196" s="23">
        <v>0</v>
      </c>
      <c r="AR196" s="23">
        <v>0</v>
      </c>
      <c r="AS196" s="23">
        <v>0</v>
      </c>
      <c r="AT196" s="23">
        <v>0</v>
      </c>
      <c r="AU196" s="23">
        <v>0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3">
        <v>0</v>
      </c>
      <c r="BD196" s="23">
        <v>0</v>
      </c>
      <c r="BE196" s="23">
        <v>0</v>
      </c>
      <c r="BF196" s="23">
        <v>0</v>
      </c>
      <c r="BG196" s="23">
        <v>1</v>
      </c>
      <c r="BH196" s="23">
        <v>1</v>
      </c>
      <c r="BI196" s="23">
        <v>1</v>
      </c>
      <c r="BJ196" s="23">
        <v>1</v>
      </c>
      <c r="BK196" s="23">
        <v>1</v>
      </c>
      <c r="BL196" s="23">
        <v>1</v>
      </c>
      <c r="BM196" s="23">
        <v>1</v>
      </c>
      <c r="BN196" s="23">
        <v>1</v>
      </c>
      <c r="BO196" s="23">
        <v>0</v>
      </c>
      <c r="BP196" s="23">
        <f t="shared" si="70"/>
        <v>0</v>
      </c>
      <c r="BQ196" s="23">
        <f t="shared" si="71"/>
        <v>0</v>
      </c>
      <c r="BR196" s="23">
        <f t="shared" si="72"/>
        <v>0</v>
      </c>
      <c r="BS196" s="23">
        <f t="shared" si="73"/>
        <v>0</v>
      </c>
      <c r="BT196" s="23">
        <f t="shared" si="74"/>
        <v>0</v>
      </c>
      <c r="BU196" s="23">
        <f t="shared" si="75"/>
        <v>0</v>
      </c>
      <c r="BV196" s="23">
        <f t="shared" si="76"/>
        <v>0</v>
      </c>
      <c r="BW196" s="23">
        <f t="shared" si="77"/>
        <v>0</v>
      </c>
      <c r="BX196" s="23">
        <f t="shared" si="78"/>
        <v>0</v>
      </c>
      <c r="BY196" s="23">
        <f t="shared" si="79"/>
        <v>0</v>
      </c>
      <c r="BZ196" s="23">
        <f t="shared" si="80"/>
        <v>0</v>
      </c>
      <c r="CA196" s="23">
        <f t="shared" si="81"/>
        <v>0</v>
      </c>
      <c r="CB196" s="23">
        <f t="shared" si="82"/>
        <v>0</v>
      </c>
      <c r="CC196" s="23">
        <f t="shared" si="83"/>
        <v>0</v>
      </c>
      <c r="CD196" s="23">
        <f t="shared" si="84"/>
        <v>0</v>
      </c>
      <c r="CE196" s="23">
        <f t="shared" si="85"/>
        <v>0</v>
      </c>
      <c r="CF196" s="23">
        <f t="shared" si="86"/>
        <v>0</v>
      </c>
      <c r="CG196" s="23">
        <f t="shared" si="87"/>
        <v>0</v>
      </c>
      <c r="CH196" s="23">
        <f t="shared" si="88"/>
        <v>0</v>
      </c>
      <c r="CI196" s="23">
        <f t="shared" si="89"/>
        <v>0</v>
      </c>
      <c r="CJ196" s="23">
        <f t="shared" si="90"/>
        <v>0</v>
      </c>
      <c r="CK196" s="23">
        <f t="shared" si="91"/>
        <v>0</v>
      </c>
      <c r="CL196" s="23">
        <f t="shared" si="92"/>
        <v>0</v>
      </c>
      <c r="CM196" s="23">
        <f t="shared" si="93"/>
        <v>0</v>
      </c>
      <c r="CN196" s="23">
        <f t="shared" si="94"/>
        <v>1</v>
      </c>
      <c r="CO196" s="23">
        <f t="shared" si="95"/>
        <v>1</v>
      </c>
      <c r="CP196" s="23">
        <f t="shared" si="96"/>
        <v>1</v>
      </c>
      <c r="CQ196" s="23">
        <f t="shared" si="97"/>
        <v>1</v>
      </c>
      <c r="CR196" s="23">
        <f t="shared" si="98"/>
        <v>1</v>
      </c>
      <c r="CS196" s="23">
        <f t="shared" si="99"/>
        <v>1</v>
      </c>
      <c r="CT196" s="23">
        <f t="shared" si="100"/>
        <v>1</v>
      </c>
      <c r="CU196" s="23">
        <f t="shared" si="101"/>
        <v>1</v>
      </c>
      <c r="CV196" s="23">
        <f t="shared" si="102"/>
        <v>0</v>
      </c>
    </row>
    <row r="197" spans="1:100" ht="13.5">
      <c r="A197" s="15">
        <v>151</v>
      </c>
      <c r="B197" s="27" t="s">
        <v>590</v>
      </c>
      <c r="C197" t="s">
        <v>180</v>
      </c>
      <c r="E197" t="s">
        <v>182</v>
      </c>
      <c r="F197" t="s">
        <v>181</v>
      </c>
      <c r="G197" t="s">
        <v>182</v>
      </c>
      <c r="H197" t="s">
        <v>183</v>
      </c>
      <c r="I197" s="6" t="s">
        <v>136</v>
      </c>
      <c r="J197" s="6">
        <v>1</v>
      </c>
      <c r="L197" s="15">
        <v>1</v>
      </c>
      <c r="M197" s="7">
        <v>46042</v>
      </c>
      <c r="N197" s="7">
        <v>46052</v>
      </c>
      <c r="O197" s="7">
        <v>46051</v>
      </c>
      <c r="P197" s="7">
        <v>46051</v>
      </c>
      <c r="S197" s="6" t="s">
        <v>182</v>
      </c>
      <c r="U197" s="6" t="s">
        <v>464</v>
      </c>
      <c r="V197" s="6" t="str">
        <f t="shared" ref="V197:V260" si="103">TEXT(N197,"YY/MM")</f>
        <v>26/01</v>
      </c>
      <c r="W197">
        <v>1501</v>
      </c>
      <c r="AB197">
        <v>632</v>
      </c>
      <c r="AD197">
        <v>579</v>
      </c>
      <c r="AI197" s="23">
        <v>0</v>
      </c>
      <c r="AJ197" s="23">
        <v>0</v>
      </c>
      <c r="AK197" s="23">
        <v>0</v>
      </c>
      <c r="AL197" s="23">
        <v>0</v>
      </c>
      <c r="AM197" s="23">
        <v>0</v>
      </c>
      <c r="AN197" s="23">
        <v>0</v>
      </c>
      <c r="AO197" s="23">
        <v>0</v>
      </c>
      <c r="AP197" s="23">
        <v>0</v>
      </c>
      <c r="AQ197" s="23">
        <v>0</v>
      </c>
      <c r="AR197" s="23">
        <v>0</v>
      </c>
      <c r="AS197" s="23">
        <v>0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3">
        <v>0</v>
      </c>
      <c r="BD197" s="23">
        <v>0</v>
      </c>
      <c r="BE197" s="23">
        <v>0</v>
      </c>
      <c r="BF197" s="23">
        <v>0</v>
      </c>
      <c r="BG197" s="23">
        <v>1</v>
      </c>
      <c r="BH197" s="23">
        <v>1</v>
      </c>
      <c r="BI197" s="23">
        <v>1</v>
      </c>
      <c r="BJ197" s="23">
        <v>1</v>
      </c>
      <c r="BK197" s="23">
        <v>1</v>
      </c>
      <c r="BL197" s="23">
        <v>1</v>
      </c>
      <c r="BM197" s="23">
        <v>1</v>
      </c>
      <c r="BN197" s="23">
        <v>1</v>
      </c>
      <c r="BO197" s="23">
        <v>0</v>
      </c>
      <c r="BP197" s="23">
        <f t="shared" ref="BP197:BP260" si="104">$L197*AI197</f>
        <v>0</v>
      </c>
      <c r="BQ197" s="23">
        <f t="shared" ref="BQ197:BQ260" si="105">$L197*AJ197</f>
        <v>0</v>
      </c>
      <c r="BR197" s="23">
        <f t="shared" ref="BR197:BR260" si="106">$L197*AK197</f>
        <v>0</v>
      </c>
      <c r="BS197" s="23">
        <f t="shared" ref="BS197:BS260" si="107">$L197*AL197</f>
        <v>0</v>
      </c>
      <c r="BT197" s="23">
        <f t="shared" ref="BT197:BT260" si="108">$L197*AM197</f>
        <v>0</v>
      </c>
      <c r="BU197" s="23">
        <f t="shared" ref="BU197:BU260" si="109">$L197*AN197</f>
        <v>0</v>
      </c>
      <c r="BV197" s="23">
        <f t="shared" ref="BV197:BV260" si="110">$L197*AO197</f>
        <v>0</v>
      </c>
      <c r="BW197" s="23">
        <f t="shared" ref="BW197:BW260" si="111">$L197*AP197</f>
        <v>0</v>
      </c>
      <c r="BX197" s="23">
        <f t="shared" ref="BX197:BX260" si="112">$L197*AQ197</f>
        <v>0</v>
      </c>
      <c r="BY197" s="23">
        <f t="shared" ref="BY197:BY260" si="113">$L197*AR197</f>
        <v>0</v>
      </c>
      <c r="BZ197" s="23">
        <f t="shared" ref="BZ197:BZ260" si="114">$L197*AS197</f>
        <v>0</v>
      </c>
      <c r="CA197" s="23">
        <f t="shared" ref="CA197:CA260" si="115">$L197*AT197</f>
        <v>0</v>
      </c>
      <c r="CB197" s="23">
        <f t="shared" ref="CB197:CB260" si="116">$L197*AU197</f>
        <v>0</v>
      </c>
      <c r="CC197" s="23">
        <f t="shared" ref="CC197:CC260" si="117">$L197*AV197</f>
        <v>0</v>
      </c>
      <c r="CD197" s="23">
        <f t="shared" ref="CD197:CD260" si="118">$L197*AW197</f>
        <v>0</v>
      </c>
      <c r="CE197" s="23">
        <f t="shared" ref="CE197:CE260" si="119">$L197*AX197</f>
        <v>0</v>
      </c>
      <c r="CF197" s="23">
        <f t="shared" ref="CF197:CF260" si="120">$L197*AY197</f>
        <v>0</v>
      </c>
      <c r="CG197" s="23">
        <f t="shared" ref="CG197:CG260" si="121">$L197*AZ197</f>
        <v>0</v>
      </c>
      <c r="CH197" s="23">
        <f t="shared" ref="CH197:CH260" si="122">$L197*BA197</f>
        <v>0</v>
      </c>
      <c r="CI197" s="23">
        <f t="shared" ref="CI197:CI260" si="123">$L197*BB197</f>
        <v>0</v>
      </c>
      <c r="CJ197" s="23">
        <f t="shared" ref="CJ197:CJ260" si="124">$L197*BC197</f>
        <v>0</v>
      </c>
      <c r="CK197" s="23">
        <f t="shared" ref="CK197:CK260" si="125">$L197*BD197</f>
        <v>0</v>
      </c>
      <c r="CL197" s="23">
        <f t="shared" ref="CL197:CL260" si="126">$L197*BE197</f>
        <v>0</v>
      </c>
      <c r="CM197" s="23">
        <f t="shared" ref="CM197:CM260" si="127">$L197*BF197</f>
        <v>0</v>
      </c>
      <c r="CN197" s="23">
        <f t="shared" ref="CN197:CN260" si="128">$L197*BG197</f>
        <v>1</v>
      </c>
      <c r="CO197" s="23">
        <f t="shared" ref="CO197:CO260" si="129">$L197*BH197</f>
        <v>1</v>
      </c>
      <c r="CP197" s="23">
        <f t="shared" ref="CP197:CP260" si="130">$L197*BI197</f>
        <v>1</v>
      </c>
      <c r="CQ197" s="23">
        <f t="shared" ref="CQ197:CQ260" si="131">$L197*BJ197</f>
        <v>1</v>
      </c>
      <c r="CR197" s="23">
        <f t="shared" ref="CR197:CR260" si="132">$L197*BK197</f>
        <v>1</v>
      </c>
      <c r="CS197" s="23">
        <f t="shared" ref="CS197:CS260" si="133">$L197*BL197</f>
        <v>1</v>
      </c>
      <c r="CT197" s="23">
        <f t="shared" ref="CT197:CT260" si="134">$L197*BM197</f>
        <v>1</v>
      </c>
      <c r="CU197" s="23">
        <f t="shared" ref="CU197:CU260" si="135">$L197*BN197</f>
        <v>1</v>
      </c>
      <c r="CV197" s="23">
        <f t="shared" ref="CV197:CV260" si="136">$L197*BO197</f>
        <v>0</v>
      </c>
    </row>
    <row r="198" spans="1:100" ht="13.5">
      <c r="A198" s="15">
        <v>145</v>
      </c>
      <c r="B198" s="38" t="s">
        <v>964</v>
      </c>
      <c r="C198" t="s">
        <v>580</v>
      </c>
      <c r="E198" t="s">
        <v>465</v>
      </c>
      <c r="F198" t="s">
        <v>581</v>
      </c>
      <c r="G198" t="s">
        <v>465</v>
      </c>
      <c r="H198" t="s">
        <v>582</v>
      </c>
      <c r="I198" s="6" t="s">
        <v>136</v>
      </c>
      <c r="J198" s="6">
        <v>0</v>
      </c>
      <c r="L198" s="15">
        <v>1</v>
      </c>
      <c r="M198" s="7">
        <v>46042</v>
      </c>
      <c r="N198" s="7">
        <v>46052</v>
      </c>
      <c r="O198" s="7">
        <v>46049</v>
      </c>
      <c r="P198" s="7">
        <v>46049</v>
      </c>
      <c r="S198" s="6" t="s">
        <v>465</v>
      </c>
      <c r="U198" s="6" t="s">
        <v>464</v>
      </c>
      <c r="V198" s="6" t="str">
        <f t="shared" si="103"/>
        <v>26/01</v>
      </c>
      <c r="W198">
        <v>1502</v>
      </c>
      <c r="AA198">
        <v>873</v>
      </c>
      <c r="AC198">
        <v>926</v>
      </c>
      <c r="AI198" s="23">
        <v>0</v>
      </c>
      <c r="AJ198" s="23">
        <v>0</v>
      </c>
      <c r="AK198" s="23">
        <v>0</v>
      </c>
      <c r="AL198" s="23">
        <v>0</v>
      </c>
      <c r="AM198" s="23">
        <v>0</v>
      </c>
      <c r="AN198" s="23">
        <v>0</v>
      </c>
      <c r="AO198" s="23">
        <v>0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3">
        <v>0</v>
      </c>
      <c r="BD198" s="23">
        <v>0</v>
      </c>
      <c r="BE198" s="23">
        <v>0</v>
      </c>
      <c r="BF198" s="23">
        <v>0</v>
      </c>
      <c r="BG198" s="23">
        <v>1</v>
      </c>
      <c r="BH198" s="23">
        <v>1</v>
      </c>
      <c r="BI198" s="23">
        <v>1</v>
      </c>
      <c r="BJ198" s="23">
        <v>1</v>
      </c>
      <c r="BK198" s="23">
        <v>1</v>
      </c>
      <c r="BL198" s="23">
        <v>1</v>
      </c>
      <c r="BM198" s="23">
        <v>1</v>
      </c>
      <c r="BN198" s="23">
        <v>1</v>
      </c>
      <c r="BO198" s="23">
        <v>1</v>
      </c>
      <c r="BP198" s="23">
        <f t="shared" si="104"/>
        <v>0</v>
      </c>
      <c r="BQ198" s="23">
        <f t="shared" si="105"/>
        <v>0</v>
      </c>
      <c r="BR198" s="23">
        <f t="shared" si="106"/>
        <v>0</v>
      </c>
      <c r="BS198" s="23">
        <f t="shared" si="107"/>
        <v>0</v>
      </c>
      <c r="BT198" s="23">
        <f t="shared" si="108"/>
        <v>0</v>
      </c>
      <c r="BU198" s="23">
        <f t="shared" si="109"/>
        <v>0</v>
      </c>
      <c r="BV198" s="23">
        <f t="shared" si="110"/>
        <v>0</v>
      </c>
      <c r="BW198" s="23">
        <f t="shared" si="111"/>
        <v>0</v>
      </c>
      <c r="BX198" s="23">
        <f t="shared" si="112"/>
        <v>0</v>
      </c>
      <c r="BY198" s="23">
        <f t="shared" si="113"/>
        <v>0</v>
      </c>
      <c r="BZ198" s="23">
        <f t="shared" si="114"/>
        <v>0</v>
      </c>
      <c r="CA198" s="23">
        <f t="shared" si="115"/>
        <v>0</v>
      </c>
      <c r="CB198" s="23">
        <f t="shared" si="116"/>
        <v>0</v>
      </c>
      <c r="CC198" s="23">
        <f t="shared" si="117"/>
        <v>0</v>
      </c>
      <c r="CD198" s="23">
        <f t="shared" si="118"/>
        <v>0</v>
      </c>
      <c r="CE198" s="23">
        <f t="shared" si="119"/>
        <v>0</v>
      </c>
      <c r="CF198" s="23">
        <f t="shared" si="120"/>
        <v>0</v>
      </c>
      <c r="CG198" s="23">
        <f t="shared" si="121"/>
        <v>0</v>
      </c>
      <c r="CH198" s="23">
        <f t="shared" si="122"/>
        <v>0</v>
      </c>
      <c r="CI198" s="23">
        <f t="shared" si="123"/>
        <v>0</v>
      </c>
      <c r="CJ198" s="23">
        <f t="shared" si="124"/>
        <v>0</v>
      </c>
      <c r="CK198" s="23">
        <f t="shared" si="125"/>
        <v>0</v>
      </c>
      <c r="CL198" s="23">
        <f t="shared" si="126"/>
        <v>0</v>
      </c>
      <c r="CM198" s="23">
        <f t="shared" si="127"/>
        <v>0</v>
      </c>
      <c r="CN198" s="23">
        <f t="shared" si="128"/>
        <v>1</v>
      </c>
      <c r="CO198" s="23">
        <f t="shared" si="129"/>
        <v>1</v>
      </c>
      <c r="CP198" s="23">
        <f t="shared" si="130"/>
        <v>1</v>
      </c>
      <c r="CQ198" s="23">
        <f t="shared" si="131"/>
        <v>1</v>
      </c>
      <c r="CR198" s="23">
        <f t="shared" si="132"/>
        <v>1</v>
      </c>
      <c r="CS198" s="23">
        <f t="shared" si="133"/>
        <v>1</v>
      </c>
      <c r="CT198" s="23">
        <f t="shared" si="134"/>
        <v>1</v>
      </c>
      <c r="CU198" s="23">
        <f t="shared" si="135"/>
        <v>1</v>
      </c>
      <c r="CV198" s="23">
        <f t="shared" si="136"/>
        <v>1</v>
      </c>
    </row>
    <row r="199" spans="1:100" ht="13.5">
      <c r="A199" s="15">
        <v>154</v>
      </c>
      <c r="B199" s="27" t="s">
        <v>593</v>
      </c>
      <c r="C199" t="s">
        <v>180</v>
      </c>
      <c r="E199" t="s">
        <v>182</v>
      </c>
      <c r="F199" t="s">
        <v>181</v>
      </c>
      <c r="G199" t="s">
        <v>182</v>
      </c>
      <c r="H199" t="s">
        <v>183</v>
      </c>
      <c r="I199" s="6" t="s">
        <v>136</v>
      </c>
      <c r="J199" s="6">
        <v>1</v>
      </c>
      <c r="L199" s="15">
        <v>1</v>
      </c>
      <c r="M199" s="7">
        <v>46043</v>
      </c>
      <c r="N199" s="7">
        <v>46055</v>
      </c>
      <c r="O199" s="7">
        <v>46052</v>
      </c>
      <c r="P199" s="7">
        <v>46052</v>
      </c>
      <c r="S199" s="6" t="s">
        <v>182</v>
      </c>
      <c r="U199" s="6" t="s">
        <v>464</v>
      </c>
      <c r="V199" s="6" t="str">
        <f t="shared" si="103"/>
        <v>26/02</v>
      </c>
      <c r="W199">
        <v>1503</v>
      </c>
      <c r="AB199">
        <v>633</v>
      </c>
      <c r="AD199">
        <v>580</v>
      </c>
      <c r="AI199" s="23">
        <v>0</v>
      </c>
      <c r="AJ199" s="23">
        <v>0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3">
        <v>0</v>
      </c>
      <c r="BD199" s="23">
        <v>0</v>
      </c>
      <c r="BE199" s="23">
        <v>0</v>
      </c>
      <c r="BF199" s="23">
        <v>0</v>
      </c>
      <c r="BG199" s="23">
        <v>1</v>
      </c>
      <c r="BH199" s="23">
        <v>1</v>
      </c>
      <c r="BI199" s="23">
        <v>1</v>
      </c>
      <c r="BJ199" s="23">
        <v>1</v>
      </c>
      <c r="BK199" s="23">
        <v>1</v>
      </c>
      <c r="BL199" s="23">
        <v>1</v>
      </c>
      <c r="BM199" s="23">
        <v>1</v>
      </c>
      <c r="BN199" s="23">
        <v>1</v>
      </c>
      <c r="BO199" s="23">
        <v>0</v>
      </c>
      <c r="BP199" s="23">
        <f t="shared" si="104"/>
        <v>0</v>
      </c>
      <c r="BQ199" s="23">
        <f t="shared" si="105"/>
        <v>0</v>
      </c>
      <c r="BR199" s="23">
        <f t="shared" si="106"/>
        <v>0</v>
      </c>
      <c r="BS199" s="23">
        <f t="shared" si="107"/>
        <v>0</v>
      </c>
      <c r="BT199" s="23">
        <f t="shared" si="108"/>
        <v>0</v>
      </c>
      <c r="BU199" s="23">
        <f t="shared" si="109"/>
        <v>0</v>
      </c>
      <c r="BV199" s="23">
        <f t="shared" si="110"/>
        <v>0</v>
      </c>
      <c r="BW199" s="23">
        <f t="shared" si="111"/>
        <v>0</v>
      </c>
      <c r="BX199" s="23">
        <f t="shared" si="112"/>
        <v>0</v>
      </c>
      <c r="BY199" s="23">
        <f t="shared" si="113"/>
        <v>0</v>
      </c>
      <c r="BZ199" s="23">
        <f t="shared" si="114"/>
        <v>0</v>
      </c>
      <c r="CA199" s="23">
        <f t="shared" si="115"/>
        <v>0</v>
      </c>
      <c r="CB199" s="23">
        <f t="shared" si="116"/>
        <v>0</v>
      </c>
      <c r="CC199" s="23">
        <f t="shared" si="117"/>
        <v>0</v>
      </c>
      <c r="CD199" s="23">
        <f t="shared" si="118"/>
        <v>0</v>
      </c>
      <c r="CE199" s="23">
        <f t="shared" si="119"/>
        <v>0</v>
      </c>
      <c r="CF199" s="23">
        <f t="shared" si="120"/>
        <v>0</v>
      </c>
      <c r="CG199" s="23">
        <f t="shared" si="121"/>
        <v>0</v>
      </c>
      <c r="CH199" s="23">
        <f t="shared" si="122"/>
        <v>0</v>
      </c>
      <c r="CI199" s="23">
        <f t="shared" si="123"/>
        <v>0</v>
      </c>
      <c r="CJ199" s="23">
        <f t="shared" si="124"/>
        <v>0</v>
      </c>
      <c r="CK199" s="23">
        <f t="shared" si="125"/>
        <v>0</v>
      </c>
      <c r="CL199" s="23">
        <f t="shared" si="126"/>
        <v>0</v>
      </c>
      <c r="CM199" s="23">
        <f t="shared" si="127"/>
        <v>0</v>
      </c>
      <c r="CN199" s="23">
        <f t="shared" si="128"/>
        <v>1</v>
      </c>
      <c r="CO199" s="23">
        <f t="shared" si="129"/>
        <v>1</v>
      </c>
      <c r="CP199" s="23">
        <f t="shared" si="130"/>
        <v>1</v>
      </c>
      <c r="CQ199" s="23">
        <f t="shared" si="131"/>
        <v>1</v>
      </c>
      <c r="CR199" s="23">
        <f t="shared" si="132"/>
        <v>1</v>
      </c>
      <c r="CS199" s="23">
        <f t="shared" si="133"/>
        <v>1</v>
      </c>
      <c r="CT199" s="23">
        <f t="shared" si="134"/>
        <v>1</v>
      </c>
      <c r="CU199" s="23">
        <f t="shared" si="135"/>
        <v>1</v>
      </c>
      <c r="CV199" s="23">
        <f t="shared" si="136"/>
        <v>0</v>
      </c>
    </row>
    <row r="200" spans="1:100" ht="13.5">
      <c r="A200" s="15">
        <v>145</v>
      </c>
      <c r="B200" s="38" t="s">
        <v>965</v>
      </c>
      <c r="C200" t="s">
        <v>580</v>
      </c>
      <c r="E200" t="s">
        <v>465</v>
      </c>
      <c r="F200" t="s">
        <v>581</v>
      </c>
      <c r="G200" t="s">
        <v>465</v>
      </c>
      <c r="H200" t="s">
        <v>582</v>
      </c>
      <c r="I200" s="6" t="s">
        <v>136</v>
      </c>
      <c r="J200" s="6">
        <v>0</v>
      </c>
      <c r="L200" s="15">
        <v>1</v>
      </c>
      <c r="M200" s="7">
        <v>46042</v>
      </c>
      <c r="N200" s="7">
        <v>46055</v>
      </c>
      <c r="O200" s="7">
        <v>46049</v>
      </c>
      <c r="P200" s="7">
        <v>46049</v>
      </c>
      <c r="S200" s="6" t="s">
        <v>465</v>
      </c>
      <c r="U200" s="6" t="s">
        <v>464</v>
      </c>
      <c r="V200" s="6" t="str">
        <f t="shared" si="103"/>
        <v>26/02</v>
      </c>
      <c r="W200">
        <v>1504</v>
      </c>
      <c r="AA200">
        <v>874</v>
      </c>
      <c r="AC200">
        <v>927</v>
      </c>
      <c r="AI200" s="23">
        <v>0</v>
      </c>
      <c r="AJ200" s="23">
        <v>0</v>
      </c>
      <c r="AK200" s="23">
        <v>0</v>
      </c>
      <c r="AL200" s="23">
        <v>0</v>
      </c>
      <c r="AM200" s="23">
        <v>0</v>
      </c>
      <c r="AN200" s="23">
        <v>0</v>
      </c>
      <c r="AO200" s="23">
        <v>0</v>
      </c>
      <c r="AP200" s="23">
        <v>0</v>
      </c>
      <c r="AQ200" s="23">
        <v>0</v>
      </c>
      <c r="AR200" s="23">
        <v>0</v>
      </c>
      <c r="AS200" s="23">
        <v>0</v>
      </c>
      <c r="AT200" s="23">
        <v>0</v>
      </c>
      <c r="AU200" s="23">
        <v>0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3">
        <v>0</v>
      </c>
      <c r="BD200" s="23">
        <v>0</v>
      </c>
      <c r="BE200" s="23">
        <v>0</v>
      </c>
      <c r="BF200" s="23">
        <v>0</v>
      </c>
      <c r="BG200" s="23">
        <v>1</v>
      </c>
      <c r="BH200" s="23">
        <v>1</v>
      </c>
      <c r="BI200" s="23">
        <v>1</v>
      </c>
      <c r="BJ200" s="23">
        <v>1</v>
      </c>
      <c r="BK200" s="23">
        <v>1</v>
      </c>
      <c r="BL200" s="23">
        <v>1</v>
      </c>
      <c r="BM200" s="23">
        <v>1</v>
      </c>
      <c r="BN200" s="23">
        <v>1</v>
      </c>
      <c r="BO200" s="23">
        <v>1</v>
      </c>
      <c r="BP200" s="23">
        <f t="shared" si="104"/>
        <v>0</v>
      </c>
      <c r="BQ200" s="23">
        <f t="shared" si="105"/>
        <v>0</v>
      </c>
      <c r="BR200" s="23">
        <f t="shared" si="106"/>
        <v>0</v>
      </c>
      <c r="BS200" s="23">
        <f t="shared" si="107"/>
        <v>0</v>
      </c>
      <c r="BT200" s="23">
        <f t="shared" si="108"/>
        <v>0</v>
      </c>
      <c r="BU200" s="23">
        <f t="shared" si="109"/>
        <v>0</v>
      </c>
      <c r="BV200" s="23">
        <f t="shared" si="110"/>
        <v>0</v>
      </c>
      <c r="BW200" s="23">
        <f t="shared" si="111"/>
        <v>0</v>
      </c>
      <c r="BX200" s="23">
        <f t="shared" si="112"/>
        <v>0</v>
      </c>
      <c r="BY200" s="23">
        <f t="shared" si="113"/>
        <v>0</v>
      </c>
      <c r="BZ200" s="23">
        <f t="shared" si="114"/>
        <v>0</v>
      </c>
      <c r="CA200" s="23">
        <f t="shared" si="115"/>
        <v>0</v>
      </c>
      <c r="CB200" s="23">
        <f t="shared" si="116"/>
        <v>0</v>
      </c>
      <c r="CC200" s="23">
        <f t="shared" si="117"/>
        <v>0</v>
      </c>
      <c r="CD200" s="23">
        <f t="shared" si="118"/>
        <v>0</v>
      </c>
      <c r="CE200" s="23">
        <f t="shared" si="119"/>
        <v>0</v>
      </c>
      <c r="CF200" s="23">
        <f t="shared" si="120"/>
        <v>0</v>
      </c>
      <c r="CG200" s="23">
        <f t="shared" si="121"/>
        <v>0</v>
      </c>
      <c r="CH200" s="23">
        <f t="shared" si="122"/>
        <v>0</v>
      </c>
      <c r="CI200" s="23">
        <f t="shared" si="123"/>
        <v>0</v>
      </c>
      <c r="CJ200" s="23">
        <f t="shared" si="124"/>
        <v>0</v>
      </c>
      <c r="CK200" s="23">
        <f t="shared" si="125"/>
        <v>0</v>
      </c>
      <c r="CL200" s="23">
        <f t="shared" si="126"/>
        <v>0</v>
      </c>
      <c r="CM200" s="23">
        <f t="shared" si="127"/>
        <v>0</v>
      </c>
      <c r="CN200" s="23">
        <f t="shared" si="128"/>
        <v>1</v>
      </c>
      <c r="CO200" s="23">
        <f t="shared" si="129"/>
        <v>1</v>
      </c>
      <c r="CP200" s="23">
        <f t="shared" si="130"/>
        <v>1</v>
      </c>
      <c r="CQ200" s="23">
        <f t="shared" si="131"/>
        <v>1</v>
      </c>
      <c r="CR200" s="23">
        <f t="shared" si="132"/>
        <v>1</v>
      </c>
      <c r="CS200" s="23">
        <f t="shared" si="133"/>
        <v>1</v>
      </c>
      <c r="CT200" s="23">
        <f t="shared" si="134"/>
        <v>1</v>
      </c>
      <c r="CU200" s="23">
        <f t="shared" si="135"/>
        <v>1</v>
      </c>
      <c r="CV200" s="23">
        <f t="shared" si="136"/>
        <v>1</v>
      </c>
    </row>
    <row r="201" spans="1:100" ht="13.5">
      <c r="A201" s="15">
        <v>145</v>
      </c>
      <c r="B201" s="38" t="s">
        <v>966</v>
      </c>
      <c r="C201" t="s">
        <v>580</v>
      </c>
      <c r="E201" t="s">
        <v>465</v>
      </c>
      <c r="F201" t="s">
        <v>581</v>
      </c>
      <c r="G201" t="s">
        <v>465</v>
      </c>
      <c r="H201" t="s">
        <v>582</v>
      </c>
      <c r="I201" s="6" t="s">
        <v>136</v>
      </c>
      <c r="J201" s="6">
        <v>0</v>
      </c>
      <c r="L201" s="15">
        <v>1</v>
      </c>
      <c r="M201" s="7">
        <v>46042</v>
      </c>
      <c r="N201" s="7">
        <v>46055</v>
      </c>
      <c r="O201" s="7">
        <v>46049</v>
      </c>
      <c r="P201" s="7">
        <v>46049</v>
      </c>
      <c r="S201" s="6" t="s">
        <v>465</v>
      </c>
      <c r="U201" s="6" t="s">
        <v>464</v>
      </c>
      <c r="V201" s="6" t="str">
        <f t="shared" si="103"/>
        <v>26/02</v>
      </c>
      <c r="W201">
        <v>1505</v>
      </c>
      <c r="AA201">
        <v>875</v>
      </c>
      <c r="AC201">
        <v>928</v>
      </c>
      <c r="AI201" s="23">
        <v>0</v>
      </c>
      <c r="AJ201" s="23">
        <v>0</v>
      </c>
      <c r="AK201" s="23">
        <v>0</v>
      </c>
      <c r="AL201" s="23">
        <v>0</v>
      </c>
      <c r="AM201" s="23">
        <v>0</v>
      </c>
      <c r="AN201" s="23">
        <v>0</v>
      </c>
      <c r="AO201" s="23">
        <v>0</v>
      </c>
      <c r="AP201" s="23">
        <v>0</v>
      </c>
      <c r="AQ201" s="23">
        <v>0</v>
      </c>
      <c r="AR201" s="23">
        <v>0</v>
      </c>
      <c r="AS201" s="23">
        <v>0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3">
        <v>0</v>
      </c>
      <c r="BD201" s="23">
        <v>0</v>
      </c>
      <c r="BE201" s="23">
        <v>0</v>
      </c>
      <c r="BF201" s="23">
        <v>0</v>
      </c>
      <c r="BG201" s="23">
        <v>1</v>
      </c>
      <c r="BH201" s="23">
        <v>1</v>
      </c>
      <c r="BI201" s="23">
        <v>1</v>
      </c>
      <c r="BJ201" s="23">
        <v>1</v>
      </c>
      <c r="BK201" s="23">
        <v>1</v>
      </c>
      <c r="BL201" s="23">
        <v>1</v>
      </c>
      <c r="BM201" s="23">
        <v>1</v>
      </c>
      <c r="BN201" s="23">
        <v>1</v>
      </c>
      <c r="BO201" s="23">
        <v>1</v>
      </c>
      <c r="BP201" s="23">
        <f t="shared" si="104"/>
        <v>0</v>
      </c>
      <c r="BQ201" s="23">
        <f t="shared" si="105"/>
        <v>0</v>
      </c>
      <c r="BR201" s="23">
        <f t="shared" si="106"/>
        <v>0</v>
      </c>
      <c r="BS201" s="23">
        <f t="shared" si="107"/>
        <v>0</v>
      </c>
      <c r="BT201" s="23">
        <f t="shared" si="108"/>
        <v>0</v>
      </c>
      <c r="BU201" s="23">
        <f t="shared" si="109"/>
        <v>0</v>
      </c>
      <c r="BV201" s="23">
        <f t="shared" si="110"/>
        <v>0</v>
      </c>
      <c r="BW201" s="23">
        <f t="shared" si="111"/>
        <v>0</v>
      </c>
      <c r="BX201" s="23">
        <f t="shared" si="112"/>
        <v>0</v>
      </c>
      <c r="BY201" s="23">
        <f t="shared" si="113"/>
        <v>0</v>
      </c>
      <c r="BZ201" s="23">
        <f t="shared" si="114"/>
        <v>0</v>
      </c>
      <c r="CA201" s="23">
        <f t="shared" si="115"/>
        <v>0</v>
      </c>
      <c r="CB201" s="23">
        <f t="shared" si="116"/>
        <v>0</v>
      </c>
      <c r="CC201" s="23">
        <f t="shared" si="117"/>
        <v>0</v>
      </c>
      <c r="CD201" s="23">
        <f t="shared" si="118"/>
        <v>0</v>
      </c>
      <c r="CE201" s="23">
        <f t="shared" si="119"/>
        <v>0</v>
      </c>
      <c r="CF201" s="23">
        <f t="shared" si="120"/>
        <v>0</v>
      </c>
      <c r="CG201" s="23">
        <f t="shared" si="121"/>
        <v>0</v>
      </c>
      <c r="CH201" s="23">
        <f t="shared" si="122"/>
        <v>0</v>
      </c>
      <c r="CI201" s="23">
        <f t="shared" si="123"/>
        <v>0</v>
      </c>
      <c r="CJ201" s="23">
        <f t="shared" si="124"/>
        <v>0</v>
      </c>
      <c r="CK201" s="23">
        <f t="shared" si="125"/>
        <v>0</v>
      </c>
      <c r="CL201" s="23">
        <f t="shared" si="126"/>
        <v>0</v>
      </c>
      <c r="CM201" s="23">
        <f t="shared" si="127"/>
        <v>0</v>
      </c>
      <c r="CN201" s="23">
        <f t="shared" si="128"/>
        <v>1</v>
      </c>
      <c r="CO201" s="23">
        <f t="shared" si="129"/>
        <v>1</v>
      </c>
      <c r="CP201" s="23">
        <f t="shared" si="130"/>
        <v>1</v>
      </c>
      <c r="CQ201" s="23">
        <f t="shared" si="131"/>
        <v>1</v>
      </c>
      <c r="CR201" s="23">
        <f t="shared" si="132"/>
        <v>1</v>
      </c>
      <c r="CS201" s="23">
        <f t="shared" si="133"/>
        <v>1</v>
      </c>
      <c r="CT201" s="23">
        <f t="shared" si="134"/>
        <v>1</v>
      </c>
      <c r="CU201" s="23">
        <f t="shared" si="135"/>
        <v>1</v>
      </c>
      <c r="CV201" s="23">
        <f t="shared" si="136"/>
        <v>1</v>
      </c>
    </row>
    <row r="202" spans="1:100" ht="13.5">
      <c r="A202" s="15">
        <v>157</v>
      </c>
      <c r="B202" s="27" t="s">
        <v>594</v>
      </c>
      <c r="C202" t="s">
        <v>595</v>
      </c>
      <c r="E202" t="s">
        <v>596</v>
      </c>
      <c r="F202" t="s">
        <v>181</v>
      </c>
      <c r="G202" t="s">
        <v>596</v>
      </c>
      <c r="H202" t="s">
        <v>597</v>
      </c>
      <c r="I202" s="6" t="s">
        <v>136</v>
      </c>
      <c r="J202" s="6">
        <v>0</v>
      </c>
      <c r="L202" s="15">
        <v>1</v>
      </c>
      <c r="M202" s="7">
        <v>46044</v>
      </c>
      <c r="N202" s="7">
        <v>46056</v>
      </c>
      <c r="O202" s="7">
        <v>46055</v>
      </c>
      <c r="P202" s="7">
        <v>46055</v>
      </c>
      <c r="S202" s="6" t="s">
        <v>465</v>
      </c>
      <c r="U202" s="6" t="s">
        <v>464</v>
      </c>
      <c r="V202" s="6" t="str">
        <f t="shared" si="103"/>
        <v>26/02</v>
      </c>
      <c r="W202">
        <v>1506</v>
      </c>
      <c r="AA202">
        <v>876</v>
      </c>
      <c r="AC202">
        <v>929</v>
      </c>
      <c r="AI202" s="23">
        <v>0</v>
      </c>
      <c r="AJ202" s="23">
        <v>0</v>
      </c>
      <c r="AK202" s="23">
        <v>0</v>
      </c>
      <c r="AL202" s="23">
        <v>0</v>
      </c>
      <c r="AM202" s="23">
        <v>0</v>
      </c>
      <c r="AN202" s="23">
        <v>0</v>
      </c>
      <c r="AO202" s="23">
        <v>0</v>
      </c>
      <c r="AP202" s="23">
        <v>0</v>
      </c>
      <c r="AQ202" s="23">
        <v>0</v>
      </c>
      <c r="AR202" s="23">
        <v>0</v>
      </c>
      <c r="AS202" s="23">
        <v>0</v>
      </c>
      <c r="AT202" s="23">
        <v>0</v>
      </c>
      <c r="AU202" s="23">
        <v>0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3">
        <v>0</v>
      </c>
      <c r="BD202" s="23">
        <v>0</v>
      </c>
      <c r="BE202" s="23">
        <v>0</v>
      </c>
      <c r="BF202" s="23">
        <v>0</v>
      </c>
      <c r="BG202" s="23">
        <v>1</v>
      </c>
      <c r="BH202" s="23">
        <v>1</v>
      </c>
      <c r="BI202" s="23">
        <v>1</v>
      </c>
      <c r="BJ202" s="23">
        <v>1</v>
      </c>
      <c r="BK202" s="23">
        <v>1</v>
      </c>
      <c r="BL202" s="23">
        <v>1</v>
      </c>
      <c r="BM202" s="23">
        <v>1</v>
      </c>
      <c r="BN202" s="23">
        <v>1</v>
      </c>
      <c r="BO202" s="23">
        <v>1</v>
      </c>
      <c r="BP202" s="23">
        <f t="shared" si="104"/>
        <v>0</v>
      </c>
      <c r="BQ202" s="23">
        <f t="shared" si="105"/>
        <v>0</v>
      </c>
      <c r="BR202" s="23">
        <f t="shared" si="106"/>
        <v>0</v>
      </c>
      <c r="BS202" s="23">
        <f t="shared" si="107"/>
        <v>0</v>
      </c>
      <c r="BT202" s="23">
        <f t="shared" si="108"/>
        <v>0</v>
      </c>
      <c r="BU202" s="23">
        <f t="shared" si="109"/>
        <v>0</v>
      </c>
      <c r="BV202" s="23">
        <f t="shared" si="110"/>
        <v>0</v>
      </c>
      <c r="BW202" s="23">
        <f t="shared" si="111"/>
        <v>0</v>
      </c>
      <c r="BX202" s="23">
        <f t="shared" si="112"/>
        <v>0</v>
      </c>
      <c r="BY202" s="23">
        <f t="shared" si="113"/>
        <v>0</v>
      </c>
      <c r="BZ202" s="23">
        <f t="shared" si="114"/>
        <v>0</v>
      </c>
      <c r="CA202" s="23">
        <f t="shared" si="115"/>
        <v>0</v>
      </c>
      <c r="CB202" s="23">
        <f t="shared" si="116"/>
        <v>0</v>
      </c>
      <c r="CC202" s="23">
        <f t="shared" si="117"/>
        <v>0</v>
      </c>
      <c r="CD202" s="23">
        <f t="shared" si="118"/>
        <v>0</v>
      </c>
      <c r="CE202" s="23">
        <f t="shared" si="119"/>
        <v>0</v>
      </c>
      <c r="CF202" s="23">
        <f t="shared" si="120"/>
        <v>0</v>
      </c>
      <c r="CG202" s="23">
        <f t="shared" si="121"/>
        <v>0</v>
      </c>
      <c r="CH202" s="23">
        <f t="shared" si="122"/>
        <v>0</v>
      </c>
      <c r="CI202" s="23">
        <f t="shared" si="123"/>
        <v>0</v>
      </c>
      <c r="CJ202" s="23">
        <f t="shared" si="124"/>
        <v>0</v>
      </c>
      <c r="CK202" s="23">
        <f t="shared" si="125"/>
        <v>0</v>
      </c>
      <c r="CL202" s="23">
        <f t="shared" si="126"/>
        <v>0</v>
      </c>
      <c r="CM202" s="23">
        <f t="shared" si="127"/>
        <v>0</v>
      </c>
      <c r="CN202" s="23">
        <f t="shared" si="128"/>
        <v>1</v>
      </c>
      <c r="CO202" s="23">
        <f t="shared" si="129"/>
        <v>1</v>
      </c>
      <c r="CP202" s="23">
        <f t="shared" si="130"/>
        <v>1</v>
      </c>
      <c r="CQ202" s="23">
        <f t="shared" si="131"/>
        <v>1</v>
      </c>
      <c r="CR202" s="23">
        <f t="shared" si="132"/>
        <v>1</v>
      </c>
      <c r="CS202" s="23">
        <f t="shared" si="133"/>
        <v>1</v>
      </c>
      <c r="CT202" s="23">
        <f t="shared" si="134"/>
        <v>1</v>
      </c>
      <c r="CU202" s="23">
        <f t="shared" si="135"/>
        <v>1</v>
      </c>
      <c r="CV202" s="23">
        <f t="shared" si="136"/>
        <v>1</v>
      </c>
    </row>
    <row r="203" spans="1:100" ht="13.5">
      <c r="A203" s="15">
        <v>158</v>
      </c>
      <c r="B203" s="27" t="s">
        <v>598</v>
      </c>
      <c r="C203" t="s">
        <v>180</v>
      </c>
      <c r="E203" t="s">
        <v>182</v>
      </c>
      <c r="F203" t="s">
        <v>181</v>
      </c>
      <c r="G203" t="s">
        <v>182</v>
      </c>
      <c r="H203" t="s">
        <v>183</v>
      </c>
      <c r="I203" s="6" t="s">
        <v>136</v>
      </c>
      <c r="J203" s="6">
        <v>1</v>
      </c>
      <c r="L203" s="15">
        <v>1</v>
      </c>
      <c r="M203" s="7">
        <v>46044</v>
      </c>
      <c r="N203" s="7">
        <v>46056</v>
      </c>
      <c r="O203" s="7">
        <v>46055</v>
      </c>
      <c r="P203" s="7">
        <v>46055</v>
      </c>
      <c r="S203" s="6" t="s">
        <v>182</v>
      </c>
      <c r="U203" s="6" t="s">
        <v>464</v>
      </c>
      <c r="V203" s="6" t="str">
        <f t="shared" si="103"/>
        <v>26/02</v>
      </c>
      <c r="W203">
        <v>1507</v>
      </c>
      <c r="AB203">
        <v>634</v>
      </c>
      <c r="AD203">
        <v>581</v>
      </c>
      <c r="AI203" s="23">
        <v>0</v>
      </c>
      <c r="AJ203" s="23">
        <v>0</v>
      </c>
      <c r="AK203" s="23">
        <v>0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0</v>
      </c>
      <c r="BA203" s="23">
        <v>0</v>
      </c>
      <c r="BB203" s="23">
        <v>0</v>
      </c>
      <c r="BC203" s="23">
        <v>0</v>
      </c>
      <c r="BD203" s="23">
        <v>0</v>
      </c>
      <c r="BE203" s="23">
        <v>0</v>
      </c>
      <c r="BF203" s="23">
        <v>0</v>
      </c>
      <c r="BG203" s="23">
        <v>1</v>
      </c>
      <c r="BH203" s="23">
        <v>1</v>
      </c>
      <c r="BI203" s="23">
        <v>1</v>
      </c>
      <c r="BJ203" s="23">
        <v>1</v>
      </c>
      <c r="BK203" s="23">
        <v>1</v>
      </c>
      <c r="BL203" s="23">
        <v>1</v>
      </c>
      <c r="BM203" s="23">
        <v>1</v>
      </c>
      <c r="BN203" s="23">
        <v>1</v>
      </c>
      <c r="BO203" s="23">
        <v>0</v>
      </c>
      <c r="BP203" s="23">
        <f t="shared" si="104"/>
        <v>0</v>
      </c>
      <c r="BQ203" s="23">
        <f t="shared" si="105"/>
        <v>0</v>
      </c>
      <c r="BR203" s="23">
        <f t="shared" si="106"/>
        <v>0</v>
      </c>
      <c r="BS203" s="23">
        <f t="shared" si="107"/>
        <v>0</v>
      </c>
      <c r="BT203" s="23">
        <f t="shared" si="108"/>
        <v>0</v>
      </c>
      <c r="BU203" s="23">
        <f t="shared" si="109"/>
        <v>0</v>
      </c>
      <c r="BV203" s="23">
        <f t="shared" si="110"/>
        <v>0</v>
      </c>
      <c r="BW203" s="23">
        <f t="shared" si="111"/>
        <v>0</v>
      </c>
      <c r="BX203" s="23">
        <f t="shared" si="112"/>
        <v>0</v>
      </c>
      <c r="BY203" s="23">
        <f t="shared" si="113"/>
        <v>0</v>
      </c>
      <c r="BZ203" s="23">
        <f t="shared" si="114"/>
        <v>0</v>
      </c>
      <c r="CA203" s="23">
        <f t="shared" si="115"/>
        <v>0</v>
      </c>
      <c r="CB203" s="23">
        <f t="shared" si="116"/>
        <v>0</v>
      </c>
      <c r="CC203" s="23">
        <f t="shared" si="117"/>
        <v>0</v>
      </c>
      <c r="CD203" s="23">
        <f t="shared" si="118"/>
        <v>0</v>
      </c>
      <c r="CE203" s="23">
        <f t="shared" si="119"/>
        <v>0</v>
      </c>
      <c r="CF203" s="23">
        <f t="shared" si="120"/>
        <v>0</v>
      </c>
      <c r="CG203" s="23">
        <f t="shared" si="121"/>
        <v>0</v>
      </c>
      <c r="CH203" s="23">
        <f t="shared" si="122"/>
        <v>0</v>
      </c>
      <c r="CI203" s="23">
        <f t="shared" si="123"/>
        <v>0</v>
      </c>
      <c r="CJ203" s="23">
        <f t="shared" si="124"/>
        <v>0</v>
      </c>
      <c r="CK203" s="23">
        <f t="shared" si="125"/>
        <v>0</v>
      </c>
      <c r="CL203" s="23">
        <f t="shared" si="126"/>
        <v>0</v>
      </c>
      <c r="CM203" s="23">
        <f t="shared" si="127"/>
        <v>0</v>
      </c>
      <c r="CN203" s="23">
        <f t="shared" si="128"/>
        <v>1</v>
      </c>
      <c r="CO203" s="23">
        <f t="shared" si="129"/>
        <v>1</v>
      </c>
      <c r="CP203" s="23">
        <f t="shared" si="130"/>
        <v>1</v>
      </c>
      <c r="CQ203" s="23">
        <f t="shared" si="131"/>
        <v>1</v>
      </c>
      <c r="CR203" s="23">
        <f t="shared" si="132"/>
        <v>1</v>
      </c>
      <c r="CS203" s="23">
        <f t="shared" si="133"/>
        <v>1</v>
      </c>
      <c r="CT203" s="23">
        <f t="shared" si="134"/>
        <v>1</v>
      </c>
      <c r="CU203" s="23">
        <f t="shared" si="135"/>
        <v>1</v>
      </c>
      <c r="CV203" s="23">
        <f t="shared" si="136"/>
        <v>0</v>
      </c>
    </row>
    <row r="204" spans="1:100" ht="13.5">
      <c r="A204" s="15">
        <v>145</v>
      </c>
      <c r="B204" s="38" t="s">
        <v>967</v>
      </c>
      <c r="C204" t="s">
        <v>580</v>
      </c>
      <c r="E204" t="s">
        <v>465</v>
      </c>
      <c r="F204" t="s">
        <v>581</v>
      </c>
      <c r="G204" t="s">
        <v>465</v>
      </c>
      <c r="H204" t="s">
        <v>582</v>
      </c>
      <c r="I204" s="6" t="s">
        <v>136</v>
      </c>
      <c r="J204" s="6">
        <v>0</v>
      </c>
      <c r="L204" s="15">
        <v>1</v>
      </c>
      <c r="M204" s="7">
        <v>46042</v>
      </c>
      <c r="N204" s="7">
        <v>46056</v>
      </c>
      <c r="O204" s="7">
        <v>46049</v>
      </c>
      <c r="P204" s="7">
        <v>46049</v>
      </c>
      <c r="S204" s="6" t="s">
        <v>465</v>
      </c>
      <c r="U204" s="6" t="s">
        <v>464</v>
      </c>
      <c r="V204" s="6" t="str">
        <f t="shared" si="103"/>
        <v>26/02</v>
      </c>
      <c r="W204">
        <v>1508</v>
      </c>
      <c r="AA204">
        <v>877</v>
      </c>
      <c r="AC204">
        <v>930</v>
      </c>
      <c r="AI204" s="23">
        <v>0</v>
      </c>
      <c r="AJ204" s="23">
        <v>0</v>
      </c>
      <c r="AK204" s="23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3">
        <v>0</v>
      </c>
      <c r="BD204" s="23">
        <v>0</v>
      </c>
      <c r="BE204" s="23">
        <v>0</v>
      </c>
      <c r="BF204" s="23">
        <v>0</v>
      </c>
      <c r="BG204" s="23">
        <v>1</v>
      </c>
      <c r="BH204" s="23">
        <v>1</v>
      </c>
      <c r="BI204" s="23">
        <v>1</v>
      </c>
      <c r="BJ204" s="23">
        <v>1</v>
      </c>
      <c r="BK204" s="23">
        <v>1</v>
      </c>
      <c r="BL204" s="23">
        <v>1</v>
      </c>
      <c r="BM204" s="23">
        <v>1</v>
      </c>
      <c r="BN204" s="23">
        <v>1</v>
      </c>
      <c r="BO204" s="23">
        <v>1</v>
      </c>
      <c r="BP204" s="23">
        <f t="shared" si="104"/>
        <v>0</v>
      </c>
      <c r="BQ204" s="23">
        <f t="shared" si="105"/>
        <v>0</v>
      </c>
      <c r="BR204" s="23">
        <f t="shared" si="106"/>
        <v>0</v>
      </c>
      <c r="BS204" s="23">
        <f t="shared" si="107"/>
        <v>0</v>
      </c>
      <c r="BT204" s="23">
        <f t="shared" si="108"/>
        <v>0</v>
      </c>
      <c r="BU204" s="23">
        <f t="shared" si="109"/>
        <v>0</v>
      </c>
      <c r="BV204" s="23">
        <f t="shared" si="110"/>
        <v>0</v>
      </c>
      <c r="BW204" s="23">
        <f t="shared" si="111"/>
        <v>0</v>
      </c>
      <c r="BX204" s="23">
        <f t="shared" si="112"/>
        <v>0</v>
      </c>
      <c r="BY204" s="23">
        <f t="shared" si="113"/>
        <v>0</v>
      </c>
      <c r="BZ204" s="23">
        <f t="shared" si="114"/>
        <v>0</v>
      </c>
      <c r="CA204" s="23">
        <f t="shared" si="115"/>
        <v>0</v>
      </c>
      <c r="CB204" s="23">
        <f t="shared" si="116"/>
        <v>0</v>
      </c>
      <c r="CC204" s="23">
        <f t="shared" si="117"/>
        <v>0</v>
      </c>
      <c r="CD204" s="23">
        <f t="shared" si="118"/>
        <v>0</v>
      </c>
      <c r="CE204" s="23">
        <f t="shared" si="119"/>
        <v>0</v>
      </c>
      <c r="CF204" s="23">
        <f t="shared" si="120"/>
        <v>0</v>
      </c>
      <c r="CG204" s="23">
        <f t="shared" si="121"/>
        <v>0</v>
      </c>
      <c r="CH204" s="23">
        <f t="shared" si="122"/>
        <v>0</v>
      </c>
      <c r="CI204" s="23">
        <f t="shared" si="123"/>
        <v>0</v>
      </c>
      <c r="CJ204" s="23">
        <f t="shared" si="124"/>
        <v>0</v>
      </c>
      <c r="CK204" s="23">
        <f t="shared" si="125"/>
        <v>0</v>
      </c>
      <c r="CL204" s="23">
        <f t="shared" si="126"/>
        <v>0</v>
      </c>
      <c r="CM204" s="23">
        <f t="shared" si="127"/>
        <v>0</v>
      </c>
      <c r="CN204" s="23">
        <f t="shared" si="128"/>
        <v>1</v>
      </c>
      <c r="CO204" s="23">
        <f t="shared" si="129"/>
        <v>1</v>
      </c>
      <c r="CP204" s="23">
        <f t="shared" si="130"/>
        <v>1</v>
      </c>
      <c r="CQ204" s="23">
        <f t="shared" si="131"/>
        <v>1</v>
      </c>
      <c r="CR204" s="23">
        <f t="shared" si="132"/>
        <v>1</v>
      </c>
      <c r="CS204" s="23">
        <f t="shared" si="133"/>
        <v>1</v>
      </c>
      <c r="CT204" s="23">
        <f t="shared" si="134"/>
        <v>1</v>
      </c>
      <c r="CU204" s="23">
        <f t="shared" si="135"/>
        <v>1</v>
      </c>
      <c r="CV204" s="23">
        <f t="shared" si="136"/>
        <v>1</v>
      </c>
    </row>
    <row r="205" spans="1:100" ht="13.5">
      <c r="A205" s="15">
        <v>160</v>
      </c>
      <c r="B205" s="27" t="s">
        <v>599</v>
      </c>
      <c r="C205" t="s">
        <v>180</v>
      </c>
      <c r="E205" t="s">
        <v>182</v>
      </c>
      <c r="F205" t="s">
        <v>181</v>
      </c>
      <c r="G205" t="s">
        <v>182</v>
      </c>
      <c r="H205" t="s">
        <v>183</v>
      </c>
      <c r="I205" s="6" t="s">
        <v>136</v>
      </c>
      <c r="J205" s="6">
        <v>1</v>
      </c>
      <c r="L205" s="15">
        <v>1</v>
      </c>
      <c r="M205" s="7">
        <v>46045</v>
      </c>
      <c r="N205" s="7">
        <v>46057</v>
      </c>
      <c r="O205" s="7">
        <v>46056</v>
      </c>
      <c r="P205" s="7">
        <v>46056</v>
      </c>
      <c r="S205" s="6" t="s">
        <v>182</v>
      </c>
      <c r="U205" s="6" t="s">
        <v>464</v>
      </c>
      <c r="V205" s="6" t="str">
        <f t="shared" si="103"/>
        <v>26/02</v>
      </c>
      <c r="W205">
        <v>1509</v>
      </c>
      <c r="AB205">
        <v>635</v>
      </c>
      <c r="AD205">
        <v>582</v>
      </c>
      <c r="AI205" s="23">
        <v>0</v>
      </c>
      <c r="AJ205" s="23">
        <v>0</v>
      </c>
      <c r="AK205" s="23">
        <v>0</v>
      </c>
      <c r="AL205" s="23">
        <v>0</v>
      </c>
      <c r="AM205" s="23">
        <v>0</v>
      </c>
      <c r="AN205" s="23">
        <v>0</v>
      </c>
      <c r="AO205" s="23">
        <v>0</v>
      </c>
      <c r="AP205" s="23">
        <v>0</v>
      </c>
      <c r="AQ205" s="23">
        <v>0</v>
      </c>
      <c r="AR205" s="23">
        <v>0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3">
        <v>0</v>
      </c>
      <c r="BD205" s="23">
        <v>0</v>
      </c>
      <c r="BE205" s="23">
        <v>0</v>
      </c>
      <c r="BF205" s="23">
        <v>0</v>
      </c>
      <c r="BG205" s="23">
        <v>1</v>
      </c>
      <c r="BH205" s="23">
        <v>1</v>
      </c>
      <c r="BI205" s="23">
        <v>1</v>
      </c>
      <c r="BJ205" s="23">
        <v>1</v>
      </c>
      <c r="BK205" s="23">
        <v>1</v>
      </c>
      <c r="BL205" s="23">
        <v>1</v>
      </c>
      <c r="BM205" s="23">
        <v>1</v>
      </c>
      <c r="BN205" s="23">
        <v>1</v>
      </c>
      <c r="BO205" s="23">
        <v>0</v>
      </c>
      <c r="BP205" s="23">
        <f t="shared" si="104"/>
        <v>0</v>
      </c>
      <c r="BQ205" s="23">
        <f t="shared" si="105"/>
        <v>0</v>
      </c>
      <c r="BR205" s="23">
        <f t="shared" si="106"/>
        <v>0</v>
      </c>
      <c r="BS205" s="23">
        <f t="shared" si="107"/>
        <v>0</v>
      </c>
      <c r="BT205" s="23">
        <f t="shared" si="108"/>
        <v>0</v>
      </c>
      <c r="BU205" s="23">
        <f t="shared" si="109"/>
        <v>0</v>
      </c>
      <c r="BV205" s="23">
        <f t="shared" si="110"/>
        <v>0</v>
      </c>
      <c r="BW205" s="23">
        <f t="shared" si="111"/>
        <v>0</v>
      </c>
      <c r="BX205" s="23">
        <f t="shared" si="112"/>
        <v>0</v>
      </c>
      <c r="BY205" s="23">
        <f t="shared" si="113"/>
        <v>0</v>
      </c>
      <c r="BZ205" s="23">
        <f t="shared" si="114"/>
        <v>0</v>
      </c>
      <c r="CA205" s="23">
        <f t="shared" si="115"/>
        <v>0</v>
      </c>
      <c r="CB205" s="23">
        <f t="shared" si="116"/>
        <v>0</v>
      </c>
      <c r="CC205" s="23">
        <f t="shared" si="117"/>
        <v>0</v>
      </c>
      <c r="CD205" s="23">
        <f t="shared" si="118"/>
        <v>0</v>
      </c>
      <c r="CE205" s="23">
        <f t="shared" si="119"/>
        <v>0</v>
      </c>
      <c r="CF205" s="23">
        <f t="shared" si="120"/>
        <v>0</v>
      </c>
      <c r="CG205" s="23">
        <f t="shared" si="121"/>
        <v>0</v>
      </c>
      <c r="CH205" s="23">
        <f t="shared" si="122"/>
        <v>0</v>
      </c>
      <c r="CI205" s="23">
        <f t="shared" si="123"/>
        <v>0</v>
      </c>
      <c r="CJ205" s="23">
        <f t="shared" si="124"/>
        <v>0</v>
      </c>
      <c r="CK205" s="23">
        <f t="shared" si="125"/>
        <v>0</v>
      </c>
      <c r="CL205" s="23">
        <f t="shared" si="126"/>
        <v>0</v>
      </c>
      <c r="CM205" s="23">
        <f t="shared" si="127"/>
        <v>0</v>
      </c>
      <c r="CN205" s="23">
        <f t="shared" si="128"/>
        <v>1</v>
      </c>
      <c r="CO205" s="23">
        <f t="shared" si="129"/>
        <v>1</v>
      </c>
      <c r="CP205" s="23">
        <f t="shared" si="130"/>
        <v>1</v>
      </c>
      <c r="CQ205" s="23">
        <f t="shared" si="131"/>
        <v>1</v>
      </c>
      <c r="CR205" s="23">
        <f t="shared" si="132"/>
        <v>1</v>
      </c>
      <c r="CS205" s="23">
        <f t="shared" si="133"/>
        <v>1</v>
      </c>
      <c r="CT205" s="23">
        <f t="shared" si="134"/>
        <v>1</v>
      </c>
      <c r="CU205" s="23">
        <f t="shared" si="135"/>
        <v>1</v>
      </c>
      <c r="CV205" s="23">
        <f t="shared" si="136"/>
        <v>0</v>
      </c>
    </row>
    <row r="206" spans="1:100" ht="13.5">
      <c r="A206" s="15">
        <v>161</v>
      </c>
      <c r="B206" s="27" t="s">
        <v>600</v>
      </c>
      <c r="C206" t="s">
        <v>180</v>
      </c>
      <c r="E206" t="s">
        <v>182</v>
      </c>
      <c r="F206" t="s">
        <v>181</v>
      </c>
      <c r="G206" t="s">
        <v>182</v>
      </c>
      <c r="H206" t="s">
        <v>183</v>
      </c>
      <c r="I206" s="6" t="s">
        <v>136</v>
      </c>
      <c r="J206" s="6">
        <v>1</v>
      </c>
      <c r="L206" s="15">
        <v>1</v>
      </c>
      <c r="M206" s="7">
        <v>46045</v>
      </c>
      <c r="N206" s="7">
        <v>46057</v>
      </c>
      <c r="O206" s="7">
        <v>46056</v>
      </c>
      <c r="P206" s="7">
        <v>46056</v>
      </c>
      <c r="S206" s="6" t="s">
        <v>182</v>
      </c>
      <c r="U206" s="6" t="s">
        <v>464</v>
      </c>
      <c r="V206" s="6" t="str">
        <f t="shared" si="103"/>
        <v>26/02</v>
      </c>
      <c r="W206">
        <v>1510</v>
      </c>
      <c r="AB206">
        <v>636</v>
      </c>
      <c r="AD206">
        <v>583</v>
      </c>
      <c r="AI206" s="23">
        <v>0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0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3">
        <v>0</v>
      </c>
      <c r="BD206" s="23">
        <v>0</v>
      </c>
      <c r="BE206" s="23">
        <v>0</v>
      </c>
      <c r="BF206" s="23">
        <v>0</v>
      </c>
      <c r="BG206" s="23">
        <v>1</v>
      </c>
      <c r="BH206" s="23">
        <v>1</v>
      </c>
      <c r="BI206" s="23">
        <v>1</v>
      </c>
      <c r="BJ206" s="23">
        <v>1</v>
      </c>
      <c r="BK206" s="23">
        <v>1</v>
      </c>
      <c r="BL206" s="23">
        <v>1</v>
      </c>
      <c r="BM206" s="23">
        <v>1</v>
      </c>
      <c r="BN206" s="23">
        <v>1</v>
      </c>
      <c r="BO206" s="23">
        <v>0</v>
      </c>
      <c r="BP206" s="23">
        <f t="shared" si="104"/>
        <v>0</v>
      </c>
      <c r="BQ206" s="23">
        <f t="shared" si="105"/>
        <v>0</v>
      </c>
      <c r="BR206" s="23">
        <f t="shared" si="106"/>
        <v>0</v>
      </c>
      <c r="BS206" s="23">
        <f t="shared" si="107"/>
        <v>0</v>
      </c>
      <c r="BT206" s="23">
        <f t="shared" si="108"/>
        <v>0</v>
      </c>
      <c r="BU206" s="23">
        <f t="shared" si="109"/>
        <v>0</v>
      </c>
      <c r="BV206" s="23">
        <f t="shared" si="110"/>
        <v>0</v>
      </c>
      <c r="BW206" s="23">
        <f t="shared" si="111"/>
        <v>0</v>
      </c>
      <c r="BX206" s="23">
        <f t="shared" si="112"/>
        <v>0</v>
      </c>
      <c r="BY206" s="23">
        <f t="shared" si="113"/>
        <v>0</v>
      </c>
      <c r="BZ206" s="23">
        <f t="shared" si="114"/>
        <v>0</v>
      </c>
      <c r="CA206" s="23">
        <f t="shared" si="115"/>
        <v>0</v>
      </c>
      <c r="CB206" s="23">
        <f t="shared" si="116"/>
        <v>0</v>
      </c>
      <c r="CC206" s="23">
        <f t="shared" si="117"/>
        <v>0</v>
      </c>
      <c r="CD206" s="23">
        <f t="shared" si="118"/>
        <v>0</v>
      </c>
      <c r="CE206" s="23">
        <f t="shared" si="119"/>
        <v>0</v>
      </c>
      <c r="CF206" s="23">
        <f t="shared" si="120"/>
        <v>0</v>
      </c>
      <c r="CG206" s="23">
        <f t="shared" si="121"/>
        <v>0</v>
      </c>
      <c r="CH206" s="23">
        <f t="shared" si="122"/>
        <v>0</v>
      </c>
      <c r="CI206" s="23">
        <f t="shared" si="123"/>
        <v>0</v>
      </c>
      <c r="CJ206" s="23">
        <f t="shared" si="124"/>
        <v>0</v>
      </c>
      <c r="CK206" s="23">
        <f t="shared" si="125"/>
        <v>0</v>
      </c>
      <c r="CL206" s="23">
        <f t="shared" si="126"/>
        <v>0</v>
      </c>
      <c r="CM206" s="23">
        <f t="shared" si="127"/>
        <v>0</v>
      </c>
      <c r="CN206" s="23">
        <f t="shared" si="128"/>
        <v>1</v>
      </c>
      <c r="CO206" s="23">
        <f t="shared" si="129"/>
        <v>1</v>
      </c>
      <c r="CP206" s="23">
        <f t="shared" si="130"/>
        <v>1</v>
      </c>
      <c r="CQ206" s="23">
        <f t="shared" si="131"/>
        <v>1</v>
      </c>
      <c r="CR206" s="23">
        <f t="shared" si="132"/>
        <v>1</v>
      </c>
      <c r="CS206" s="23">
        <f t="shared" si="133"/>
        <v>1</v>
      </c>
      <c r="CT206" s="23">
        <f t="shared" si="134"/>
        <v>1</v>
      </c>
      <c r="CU206" s="23">
        <f t="shared" si="135"/>
        <v>1</v>
      </c>
      <c r="CV206" s="23">
        <f t="shared" si="136"/>
        <v>0</v>
      </c>
    </row>
    <row r="207" spans="1:100" ht="13.5">
      <c r="A207" s="15">
        <v>163</v>
      </c>
      <c r="B207" s="27" t="s">
        <v>602</v>
      </c>
      <c r="C207" t="s">
        <v>180</v>
      </c>
      <c r="E207" t="s">
        <v>182</v>
      </c>
      <c r="F207" t="s">
        <v>181</v>
      </c>
      <c r="G207" t="s">
        <v>182</v>
      </c>
      <c r="H207" t="s">
        <v>183</v>
      </c>
      <c r="I207" s="6" t="s">
        <v>136</v>
      </c>
      <c r="J207" s="6">
        <v>1</v>
      </c>
      <c r="L207" s="15">
        <v>1</v>
      </c>
      <c r="M207" s="7">
        <v>46048</v>
      </c>
      <c r="N207" s="7">
        <v>46058</v>
      </c>
      <c r="O207" s="7">
        <v>46057</v>
      </c>
      <c r="P207" s="7">
        <v>46057</v>
      </c>
      <c r="S207" s="6" t="s">
        <v>182</v>
      </c>
      <c r="U207" s="6" t="s">
        <v>464</v>
      </c>
      <c r="V207" s="6" t="str">
        <f t="shared" si="103"/>
        <v>26/02</v>
      </c>
      <c r="W207">
        <v>1511</v>
      </c>
      <c r="AB207">
        <v>637</v>
      </c>
      <c r="AD207">
        <v>584</v>
      </c>
      <c r="AI207" s="23">
        <v>0</v>
      </c>
      <c r="AJ207" s="23">
        <v>0</v>
      </c>
      <c r="AK207" s="23">
        <v>0</v>
      </c>
      <c r="AL207" s="23">
        <v>0</v>
      </c>
      <c r="AM207" s="23">
        <v>0</v>
      </c>
      <c r="AN207" s="23">
        <v>0</v>
      </c>
      <c r="AO207" s="23">
        <v>0</v>
      </c>
      <c r="AP207" s="23">
        <v>0</v>
      </c>
      <c r="AQ207" s="23">
        <v>0</v>
      </c>
      <c r="AR207" s="23">
        <v>0</v>
      </c>
      <c r="AS207" s="23">
        <v>0</v>
      </c>
      <c r="AT207" s="23">
        <v>0</v>
      </c>
      <c r="AU207" s="23">
        <v>0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3">
        <v>0</v>
      </c>
      <c r="BD207" s="23">
        <v>0</v>
      </c>
      <c r="BE207" s="23">
        <v>0</v>
      </c>
      <c r="BF207" s="23">
        <v>0</v>
      </c>
      <c r="BG207" s="23">
        <v>1</v>
      </c>
      <c r="BH207" s="23">
        <v>1</v>
      </c>
      <c r="BI207" s="23">
        <v>1</v>
      </c>
      <c r="BJ207" s="23">
        <v>1</v>
      </c>
      <c r="BK207" s="23">
        <v>1</v>
      </c>
      <c r="BL207" s="23">
        <v>1</v>
      </c>
      <c r="BM207" s="23">
        <v>1</v>
      </c>
      <c r="BN207" s="23">
        <v>1</v>
      </c>
      <c r="BO207" s="23">
        <v>0</v>
      </c>
      <c r="BP207" s="23">
        <f t="shared" si="104"/>
        <v>0</v>
      </c>
      <c r="BQ207" s="23">
        <f t="shared" si="105"/>
        <v>0</v>
      </c>
      <c r="BR207" s="23">
        <f t="shared" si="106"/>
        <v>0</v>
      </c>
      <c r="BS207" s="23">
        <f t="shared" si="107"/>
        <v>0</v>
      </c>
      <c r="BT207" s="23">
        <f t="shared" si="108"/>
        <v>0</v>
      </c>
      <c r="BU207" s="23">
        <f t="shared" si="109"/>
        <v>0</v>
      </c>
      <c r="BV207" s="23">
        <f t="shared" si="110"/>
        <v>0</v>
      </c>
      <c r="BW207" s="23">
        <f t="shared" si="111"/>
        <v>0</v>
      </c>
      <c r="BX207" s="23">
        <f t="shared" si="112"/>
        <v>0</v>
      </c>
      <c r="BY207" s="23">
        <f t="shared" si="113"/>
        <v>0</v>
      </c>
      <c r="BZ207" s="23">
        <f t="shared" si="114"/>
        <v>0</v>
      </c>
      <c r="CA207" s="23">
        <f t="shared" si="115"/>
        <v>0</v>
      </c>
      <c r="CB207" s="23">
        <f t="shared" si="116"/>
        <v>0</v>
      </c>
      <c r="CC207" s="23">
        <f t="shared" si="117"/>
        <v>0</v>
      </c>
      <c r="CD207" s="23">
        <f t="shared" si="118"/>
        <v>0</v>
      </c>
      <c r="CE207" s="23">
        <f t="shared" si="119"/>
        <v>0</v>
      </c>
      <c r="CF207" s="23">
        <f t="shared" si="120"/>
        <v>0</v>
      </c>
      <c r="CG207" s="23">
        <f t="shared" si="121"/>
        <v>0</v>
      </c>
      <c r="CH207" s="23">
        <f t="shared" si="122"/>
        <v>0</v>
      </c>
      <c r="CI207" s="23">
        <f t="shared" si="123"/>
        <v>0</v>
      </c>
      <c r="CJ207" s="23">
        <f t="shared" si="124"/>
        <v>0</v>
      </c>
      <c r="CK207" s="23">
        <f t="shared" si="125"/>
        <v>0</v>
      </c>
      <c r="CL207" s="23">
        <f t="shared" si="126"/>
        <v>0</v>
      </c>
      <c r="CM207" s="23">
        <f t="shared" si="127"/>
        <v>0</v>
      </c>
      <c r="CN207" s="23">
        <f t="shared" si="128"/>
        <v>1</v>
      </c>
      <c r="CO207" s="23">
        <f t="shared" si="129"/>
        <v>1</v>
      </c>
      <c r="CP207" s="23">
        <f t="shared" si="130"/>
        <v>1</v>
      </c>
      <c r="CQ207" s="23">
        <f t="shared" si="131"/>
        <v>1</v>
      </c>
      <c r="CR207" s="23">
        <f t="shared" si="132"/>
        <v>1</v>
      </c>
      <c r="CS207" s="23">
        <f t="shared" si="133"/>
        <v>1</v>
      </c>
      <c r="CT207" s="23">
        <f t="shared" si="134"/>
        <v>1</v>
      </c>
      <c r="CU207" s="23">
        <f t="shared" si="135"/>
        <v>1</v>
      </c>
      <c r="CV207" s="23">
        <f t="shared" si="136"/>
        <v>0</v>
      </c>
    </row>
    <row r="208" spans="1:100" ht="13.5">
      <c r="A208" s="15">
        <v>162</v>
      </c>
      <c r="B208" s="27" t="s">
        <v>601</v>
      </c>
      <c r="C208" t="s">
        <v>180</v>
      </c>
      <c r="E208" t="s">
        <v>182</v>
      </c>
      <c r="F208" t="s">
        <v>181</v>
      </c>
      <c r="G208" t="s">
        <v>182</v>
      </c>
      <c r="H208" t="s">
        <v>183</v>
      </c>
      <c r="I208" s="6" t="s">
        <v>136</v>
      </c>
      <c r="J208" s="6">
        <v>1</v>
      </c>
      <c r="L208" s="15">
        <v>1</v>
      </c>
      <c r="M208" s="7">
        <v>46048</v>
      </c>
      <c r="N208" s="7">
        <v>46058</v>
      </c>
      <c r="O208" s="7">
        <v>46057</v>
      </c>
      <c r="P208" s="7">
        <v>46057</v>
      </c>
      <c r="S208" s="6" t="s">
        <v>182</v>
      </c>
      <c r="U208" s="6" t="s">
        <v>464</v>
      </c>
      <c r="V208" s="6" t="str">
        <f t="shared" si="103"/>
        <v>26/02</v>
      </c>
      <c r="W208">
        <v>1512</v>
      </c>
      <c r="AB208">
        <v>638</v>
      </c>
      <c r="AD208">
        <v>585</v>
      </c>
      <c r="AI208" s="23">
        <v>0</v>
      </c>
      <c r="AJ208" s="23">
        <v>0</v>
      </c>
      <c r="AK208" s="23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3">
        <v>0</v>
      </c>
      <c r="AS208" s="23">
        <v>0</v>
      </c>
      <c r="AT208" s="23">
        <v>0</v>
      </c>
      <c r="AU208" s="23">
        <v>0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3">
        <v>0</v>
      </c>
      <c r="BD208" s="23">
        <v>0</v>
      </c>
      <c r="BE208" s="23">
        <v>0</v>
      </c>
      <c r="BF208" s="23">
        <v>0</v>
      </c>
      <c r="BG208" s="23">
        <v>1</v>
      </c>
      <c r="BH208" s="23">
        <v>1</v>
      </c>
      <c r="BI208" s="23">
        <v>1</v>
      </c>
      <c r="BJ208" s="23">
        <v>1</v>
      </c>
      <c r="BK208" s="23">
        <v>1</v>
      </c>
      <c r="BL208" s="23">
        <v>1</v>
      </c>
      <c r="BM208" s="23">
        <v>1</v>
      </c>
      <c r="BN208" s="23">
        <v>1</v>
      </c>
      <c r="BO208" s="23">
        <v>0</v>
      </c>
      <c r="BP208" s="23">
        <f t="shared" si="104"/>
        <v>0</v>
      </c>
      <c r="BQ208" s="23">
        <f t="shared" si="105"/>
        <v>0</v>
      </c>
      <c r="BR208" s="23">
        <f t="shared" si="106"/>
        <v>0</v>
      </c>
      <c r="BS208" s="23">
        <f t="shared" si="107"/>
        <v>0</v>
      </c>
      <c r="BT208" s="23">
        <f t="shared" si="108"/>
        <v>0</v>
      </c>
      <c r="BU208" s="23">
        <f t="shared" si="109"/>
        <v>0</v>
      </c>
      <c r="BV208" s="23">
        <f t="shared" si="110"/>
        <v>0</v>
      </c>
      <c r="BW208" s="23">
        <f t="shared" si="111"/>
        <v>0</v>
      </c>
      <c r="BX208" s="23">
        <f t="shared" si="112"/>
        <v>0</v>
      </c>
      <c r="BY208" s="23">
        <f t="shared" si="113"/>
        <v>0</v>
      </c>
      <c r="BZ208" s="23">
        <f t="shared" si="114"/>
        <v>0</v>
      </c>
      <c r="CA208" s="23">
        <f t="shared" si="115"/>
        <v>0</v>
      </c>
      <c r="CB208" s="23">
        <f t="shared" si="116"/>
        <v>0</v>
      </c>
      <c r="CC208" s="23">
        <f t="shared" si="117"/>
        <v>0</v>
      </c>
      <c r="CD208" s="23">
        <f t="shared" si="118"/>
        <v>0</v>
      </c>
      <c r="CE208" s="23">
        <f t="shared" si="119"/>
        <v>0</v>
      </c>
      <c r="CF208" s="23">
        <f t="shared" si="120"/>
        <v>0</v>
      </c>
      <c r="CG208" s="23">
        <f t="shared" si="121"/>
        <v>0</v>
      </c>
      <c r="CH208" s="23">
        <f t="shared" si="122"/>
        <v>0</v>
      </c>
      <c r="CI208" s="23">
        <f t="shared" si="123"/>
        <v>0</v>
      </c>
      <c r="CJ208" s="23">
        <f t="shared" si="124"/>
        <v>0</v>
      </c>
      <c r="CK208" s="23">
        <f t="shared" si="125"/>
        <v>0</v>
      </c>
      <c r="CL208" s="23">
        <f t="shared" si="126"/>
        <v>0</v>
      </c>
      <c r="CM208" s="23">
        <f t="shared" si="127"/>
        <v>0</v>
      </c>
      <c r="CN208" s="23">
        <f t="shared" si="128"/>
        <v>1</v>
      </c>
      <c r="CO208" s="23">
        <f t="shared" si="129"/>
        <v>1</v>
      </c>
      <c r="CP208" s="23">
        <f t="shared" si="130"/>
        <v>1</v>
      </c>
      <c r="CQ208" s="23">
        <f t="shared" si="131"/>
        <v>1</v>
      </c>
      <c r="CR208" s="23">
        <f t="shared" si="132"/>
        <v>1</v>
      </c>
      <c r="CS208" s="23">
        <f t="shared" si="133"/>
        <v>1</v>
      </c>
      <c r="CT208" s="23">
        <f t="shared" si="134"/>
        <v>1</v>
      </c>
      <c r="CU208" s="23">
        <f t="shared" si="135"/>
        <v>1</v>
      </c>
      <c r="CV208" s="23">
        <f t="shared" si="136"/>
        <v>0</v>
      </c>
    </row>
    <row r="209" spans="1:100" ht="13.5">
      <c r="A209" s="15">
        <v>165</v>
      </c>
      <c r="B209" s="27" t="s">
        <v>604</v>
      </c>
      <c r="C209" t="s">
        <v>180</v>
      </c>
      <c r="E209" t="s">
        <v>182</v>
      </c>
      <c r="F209" t="s">
        <v>181</v>
      </c>
      <c r="G209" t="s">
        <v>182</v>
      </c>
      <c r="H209" t="s">
        <v>183</v>
      </c>
      <c r="I209" s="6" t="s">
        <v>136</v>
      </c>
      <c r="J209" s="6">
        <v>1</v>
      </c>
      <c r="L209" s="15">
        <v>1</v>
      </c>
      <c r="M209" s="7">
        <v>46049</v>
      </c>
      <c r="N209" s="7">
        <v>46059</v>
      </c>
      <c r="O209" s="7">
        <v>46058</v>
      </c>
      <c r="P209" s="7">
        <v>46058</v>
      </c>
      <c r="S209" s="6" t="s">
        <v>182</v>
      </c>
      <c r="U209" s="6" t="s">
        <v>464</v>
      </c>
      <c r="V209" s="6" t="str">
        <f t="shared" si="103"/>
        <v>26/02</v>
      </c>
      <c r="W209">
        <v>1513</v>
      </c>
      <c r="AB209">
        <v>639</v>
      </c>
      <c r="AD209">
        <v>586</v>
      </c>
      <c r="AI209" s="23">
        <v>0</v>
      </c>
      <c r="AJ209" s="23">
        <v>0</v>
      </c>
      <c r="AK209" s="23">
        <v>0</v>
      </c>
      <c r="AL209" s="23">
        <v>0</v>
      </c>
      <c r="AM209" s="23">
        <v>0</v>
      </c>
      <c r="AN209" s="23">
        <v>0</v>
      </c>
      <c r="AO209" s="23">
        <v>0</v>
      </c>
      <c r="AP209" s="23">
        <v>0</v>
      </c>
      <c r="AQ209" s="23">
        <v>0</v>
      </c>
      <c r="AR209" s="23">
        <v>0</v>
      </c>
      <c r="AS209" s="23">
        <v>0</v>
      </c>
      <c r="AT209" s="23">
        <v>0</v>
      </c>
      <c r="AU209" s="23">
        <v>0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3">
        <v>0</v>
      </c>
      <c r="BD209" s="23">
        <v>0</v>
      </c>
      <c r="BE209" s="23">
        <v>0</v>
      </c>
      <c r="BF209" s="23">
        <v>0</v>
      </c>
      <c r="BG209" s="23">
        <v>1</v>
      </c>
      <c r="BH209" s="23">
        <v>1</v>
      </c>
      <c r="BI209" s="23">
        <v>1</v>
      </c>
      <c r="BJ209" s="23">
        <v>1</v>
      </c>
      <c r="BK209" s="23">
        <v>1</v>
      </c>
      <c r="BL209" s="23">
        <v>1</v>
      </c>
      <c r="BM209" s="23">
        <v>1</v>
      </c>
      <c r="BN209" s="23">
        <v>1</v>
      </c>
      <c r="BO209" s="23">
        <v>0</v>
      </c>
      <c r="BP209" s="23">
        <f t="shared" si="104"/>
        <v>0</v>
      </c>
      <c r="BQ209" s="23">
        <f t="shared" si="105"/>
        <v>0</v>
      </c>
      <c r="BR209" s="23">
        <f t="shared" si="106"/>
        <v>0</v>
      </c>
      <c r="BS209" s="23">
        <f t="shared" si="107"/>
        <v>0</v>
      </c>
      <c r="BT209" s="23">
        <f t="shared" si="108"/>
        <v>0</v>
      </c>
      <c r="BU209" s="23">
        <f t="shared" si="109"/>
        <v>0</v>
      </c>
      <c r="BV209" s="23">
        <f t="shared" si="110"/>
        <v>0</v>
      </c>
      <c r="BW209" s="23">
        <f t="shared" si="111"/>
        <v>0</v>
      </c>
      <c r="BX209" s="23">
        <f t="shared" si="112"/>
        <v>0</v>
      </c>
      <c r="BY209" s="23">
        <f t="shared" si="113"/>
        <v>0</v>
      </c>
      <c r="BZ209" s="23">
        <f t="shared" si="114"/>
        <v>0</v>
      </c>
      <c r="CA209" s="23">
        <f t="shared" si="115"/>
        <v>0</v>
      </c>
      <c r="CB209" s="23">
        <f t="shared" si="116"/>
        <v>0</v>
      </c>
      <c r="CC209" s="23">
        <f t="shared" si="117"/>
        <v>0</v>
      </c>
      <c r="CD209" s="23">
        <f t="shared" si="118"/>
        <v>0</v>
      </c>
      <c r="CE209" s="23">
        <f t="shared" si="119"/>
        <v>0</v>
      </c>
      <c r="CF209" s="23">
        <f t="shared" si="120"/>
        <v>0</v>
      </c>
      <c r="CG209" s="23">
        <f t="shared" si="121"/>
        <v>0</v>
      </c>
      <c r="CH209" s="23">
        <f t="shared" si="122"/>
        <v>0</v>
      </c>
      <c r="CI209" s="23">
        <f t="shared" si="123"/>
        <v>0</v>
      </c>
      <c r="CJ209" s="23">
        <f t="shared" si="124"/>
        <v>0</v>
      </c>
      <c r="CK209" s="23">
        <f t="shared" si="125"/>
        <v>0</v>
      </c>
      <c r="CL209" s="23">
        <f t="shared" si="126"/>
        <v>0</v>
      </c>
      <c r="CM209" s="23">
        <f t="shared" si="127"/>
        <v>0</v>
      </c>
      <c r="CN209" s="23">
        <f t="shared" si="128"/>
        <v>1</v>
      </c>
      <c r="CO209" s="23">
        <f t="shared" si="129"/>
        <v>1</v>
      </c>
      <c r="CP209" s="23">
        <f t="shared" si="130"/>
        <v>1</v>
      </c>
      <c r="CQ209" s="23">
        <f t="shared" si="131"/>
        <v>1</v>
      </c>
      <c r="CR209" s="23">
        <f t="shared" si="132"/>
        <v>1</v>
      </c>
      <c r="CS209" s="23">
        <f t="shared" si="133"/>
        <v>1</v>
      </c>
      <c r="CT209" s="23">
        <f t="shared" si="134"/>
        <v>1</v>
      </c>
      <c r="CU209" s="23">
        <f t="shared" si="135"/>
        <v>1</v>
      </c>
      <c r="CV209" s="23">
        <f t="shared" si="136"/>
        <v>0</v>
      </c>
    </row>
    <row r="210" spans="1:100" ht="13.5">
      <c r="A210" s="15">
        <v>164</v>
      </c>
      <c r="B210" s="27" t="s">
        <v>603</v>
      </c>
      <c r="C210" t="s">
        <v>180</v>
      </c>
      <c r="E210" t="s">
        <v>182</v>
      </c>
      <c r="F210" t="s">
        <v>181</v>
      </c>
      <c r="G210" t="s">
        <v>182</v>
      </c>
      <c r="H210" t="s">
        <v>183</v>
      </c>
      <c r="I210" s="6" t="s">
        <v>136</v>
      </c>
      <c r="J210" s="6">
        <v>1</v>
      </c>
      <c r="L210" s="15">
        <v>1</v>
      </c>
      <c r="M210" s="7">
        <v>46049</v>
      </c>
      <c r="N210" s="7">
        <v>46059</v>
      </c>
      <c r="O210" s="7">
        <v>46058</v>
      </c>
      <c r="P210" s="7">
        <v>46058</v>
      </c>
      <c r="S210" s="6" t="s">
        <v>182</v>
      </c>
      <c r="U210" s="6" t="s">
        <v>464</v>
      </c>
      <c r="V210" s="6" t="str">
        <f t="shared" si="103"/>
        <v>26/02</v>
      </c>
      <c r="W210">
        <v>1514</v>
      </c>
      <c r="AB210">
        <v>640</v>
      </c>
      <c r="AD210">
        <v>587</v>
      </c>
      <c r="AI210" s="23">
        <v>0</v>
      </c>
      <c r="AJ210" s="23">
        <v>0</v>
      </c>
      <c r="AK210" s="23">
        <v>0</v>
      </c>
      <c r="AL210" s="23">
        <v>0</v>
      </c>
      <c r="AM210" s="23">
        <v>0</v>
      </c>
      <c r="AN210" s="23">
        <v>0</v>
      </c>
      <c r="AO210" s="23">
        <v>0</v>
      </c>
      <c r="AP210" s="23">
        <v>0</v>
      </c>
      <c r="AQ210" s="23">
        <v>0</v>
      </c>
      <c r="AR210" s="23">
        <v>0</v>
      </c>
      <c r="AS210" s="23">
        <v>0</v>
      </c>
      <c r="AT210" s="23">
        <v>0</v>
      </c>
      <c r="AU210" s="23">
        <v>0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3">
        <v>0</v>
      </c>
      <c r="BD210" s="23">
        <v>0</v>
      </c>
      <c r="BE210" s="23">
        <v>0</v>
      </c>
      <c r="BF210" s="23">
        <v>0</v>
      </c>
      <c r="BG210" s="23">
        <v>1</v>
      </c>
      <c r="BH210" s="23">
        <v>1</v>
      </c>
      <c r="BI210" s="23">
        <v>1</v>
      </c>
      <c r="BJ210" s="23">
        <v>1</v>
      </c>
      <c r="BK210" s="23">
        <v>1</v>
      </c>
      <c r="BL210" s="23">
        <v>1</v>
      </c>
      <c r="BM210" s="23">
        <v>1</v>
      </c>
      <c r="BN210" s="23">
        <v>1</v>
      </c>
      <c r="BO210" s="23">
        <v>0</v>
      </c>
      <c r="BP210" s="23">
        <f t="shared" si="104"/>
        <v>0</v>
      </c>
      <c r="BQ210" s="23">
        <f t="shared" si="105"/>
        <v>0</v>
      </c>
      <c r="BR210" s="23">
        <f t="shared" si="106"/>
        <v>0</v>
      </c>
      <c r="BS210" s="23">
        <f t="shared" si="107"/>
        <v>0</v>
      </c>
      <c r="BT210" s="23">
        <f t="shared" si="108"/>
        <v>0</v>
      </c>
      <c r="BU210" s="23">
        <f t="shared" si="109"/>
        <v>0</v>
      </c>
      <c r="BV210" s="23">
        <f t="shared" si="110"/>
        <v>0</v>
      </c>
      <c r="BW210" s="23">
        <f t="shared" si="111"/>
        <v>0</v>
      </c>
      <c r="BX210" s="23">
        <f t="shared" si="112"/>
        <v>0</v>
      </c>
      <c r="BY210" s="23">
        <f t="shared" si="113"/>
        <v>0</v>
      </c>
      <c r="BZ210" s="23">
        <f t="shared" si="114"/>
        <v>0</v>
      </c>
      <c r="CA210" s="23">
        <f t="shared" si="115"/>
        <v>0</v>
      </c>
      <c r="CB210" s="23">
        <f t="shared" si="116"/>
        <v>0</v>
      </c>
      <c r="CC210" s="23">
        <f t="shared" si="117"/>
        <v>0</v>
      </c>
      <c r="CD210" s="23">
        <f t="shared" si="118"/>
        <v>0</v>
      </c>
      <c r="CE210" s="23">
        <f t="shared" si="119"/>
        <v>0</v>
      </c>
      <c r="CF210" s="23">
        <f t="shared" si="120"/>
        <v>0</v>
      </c>
      <c r="CG210" s="23">
        <f t="shared" si="121"/>
        <v>0</v>
      </c>
      <c r="CH210" s="23">
        <f t="shared" si="122"/>
        <v>0</v>
      </c>
      <c r="CI210" s="23">
        <f t="shared" si="123"/>
        <v>0</v>
      </c>
      <c r="CJ210" s="23">
        <f t="shared" si="124"/>
        <v>0</v>
      </c>
      <c r="CK210" s="23">
        <f t="shared" si="125"/>
        <v>0</v>
      </c>
      <c r="CL210" s="23">
        <f t="shared" si="126"/>
        <v>0</v>
      </c>
      <c r="CM210" s="23">
        <f t="shared" si="127"/>
        <v>0</v>
      </c>
      <c r="CN210" s="23">
        <f t="shared" si="128"/>
        <v>1</v>
      </c>
      <c r="CO210" s="23">
        <f t="shared" si="129"/>
        <v>1</v>
      </c>
      <c r="CP210" s="23">
        <f t="shared" si="130"/>
        <v>1</v>
      </c>
      <c r="CQ210" s="23">
        <f t="shared" si="131"/>
        <v>1</v>
      </c>
      <c r="CR210" s="23">
        <f t="shared" si="132"/>
        <v>1</v>
      </c>
      <c r="CS210" s="23">
        <f t="shared" si="133"/>
        <v>1</v>
      </c>
      <c r="CT210" s="23">
        <f t="shared" si="134"/>
        <v>1</v>
      </c>
      <c r="CU210" s="23">
        <f t="shared" si="135"/>
        <v>1</v>
      </c>
      <c r="CV210" s="23">
        <f t="shared" si="136"/>
        <v>0</v>
      </c>
    </row>
    <row r="211" spans="1:100" ht="13.5">
      <c r="A211" s="15">
        <v>168</v>
      </c>
      <c r="B211" s="27" t="s">
        <v>606</v>
      </c>
      <c r="C211" t="s">
        <v>180</v>
      </c>
      <c r="E211" t="s">
        <v>182</v>
      </c>
      <c r="F211" t="s">
        <v>181</v>
      </c>
      <c r="G211" t="s">
        <v>182</v>
      </c>
      <c r="H211" t="s">
        <v>183</v>
      </c>
      <c r="I211" s="6" t="s">
        <v>136</v>
      </c>
      <c r="J211" s="6">
        <v>1</v>
      </c>
      <c r="L211" s="15">
        <v>1</v>
      </c>
      <c r="M211" s="7">
        <v>46050</v>
      </c>
      <c r="N211" s="7">
        <v>46062</v>
      </c>
      <c r="O211" s="7">
        <v>46059</v>
      </c>
      <c r="P211" s="7">
        <v>46059</v>
      </c>
      <c r="S211" s="6" t="s">
        <v>182</v>
      </c>
      <c r="U211" s="6" t="s">
        <v>464</v>
      </c>
      <c r="V211" s="6" t="str">
        <f t="shared" si="103"/>
        <v>26/02</v>
      </c>
      <c r="W211">
        <v>1515</v>
      </c>
      <c r="AB211">
        <v>641</v>
      </c>
      <c r="AD211">
        <v>588</v>
      </c>
      <c r="AI211" s="23">
        <v>0</v>
      </c>
      <c r="AJ211" s="23">
        <v>0</v>
      </c>
      <c r="AK211" s="23">
        <v>0</v>
      </c>
      <c r="AL211" s="23">
        <v>0</v>
      </c>
      <c r="AM211" s="23">
        <v>0</v>
      </c>
      <c r="AN211" s="23">
        <v>0</v>
      </c>
      <c r="AO211" s="23">
        <v>0</v>
      </c>
      <c r="AP211" s="23">
        <v>0</v>
      </c>
      <c r="AQ211" s="23">
        <v>0</v>
      </c>
      <c r="AR211" s="23">
        <v>0</v>
      </c>
      <c r="AS211" s="23">
        <v>0</v>
      </c>
      <c r="AT211" s="23">
        <v>0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3">
        <v>0</v>
      </c>
      <c r="BD211" s="23">
        <v>0</v>
      </c>
      <c r="BE211" s="23">
        <v>0</v>
      </c>
      <c r="BF211" s="23">
        <v>0</v>
      </c>
      <c r="BG211" s="23">
        <v>1</v>
      </c>
      <c r="BH211" s="23">
        <v>1</v>
      </c>
      <c r="BI211" s="23">
        <v>1</v>
      </c>
      <c r="BJ211" s="23">
        <v>1</v>
      </c>
      <c r="BK211" s="23">
        <v>1</v>
      </c>
      <c r="BL211" s="23">
        <v>1</v>
      </c>
      <c r="BM211" s="23">
        <v>1</v>
      </c>
      <c r="BN211" s="23">
        <v>1</v>
      </c>
      <c r="BO211" s="23">
        <v>0</v>
      </c>
      <c r="BP211" s="23">
        <f t="shared" si="104"/>
        <v>0</v>
      </c>
      <c r="BQ211" s="23">
        <f t="shared" si="105"/>
        <v>0</v>
      </c>
      <c r="BR211" s="23">
        <f t="shared" si="106"/>
        <v>0</v>
      </c>
      <c r="BS211" s="23">
        <f t="shared" si="107"/>
        <v>0</v>
      </c>
      <c r="BT211" s="23">
        <f t="shared" si="108"/>
        <v>0</v>
      </c>
      <c r="BU211" s="23">
        <f t="shared" si="109"/>
        <v>0</v>
      </c>
      <c r="BV211" s="23">
        <f t="shared" si="110"/>
        <v>0</v>
      </c>
      <c r="BW211" s="23">
        <f t="shared" si="111"/>
        <v>0</v>
      </c>
      <c r="BX211" s="23">
        <f t="shared" si="112"/>
        <v>0</v>
      </c>
      <c r="BY211" s="23">
        <f t="shared" si="113"/>
        <v>0</v>
      </c>
      <c r="BZ211" s="23">
        <f t="shared" si="114"/>
        <v>0</v>
      </c>
      <c r="CA211" s="23">
        <f t="shared" si="115"/>
        <v>0</v>
      </c>
      <c r="CB211" s="23">
        <f t="shared" si="116"/>
        <v>0</v>
      </c>
      <c r="CC211" s="23">
        <f t="shared" si="117"/>
        <v>0</v>
      </c>
      <c r="CD211" s="23">
        <f t="shared" si="118"/>
        <v>0</v>
      </c>
      <c r="CE211" s="23">
        <f t="shared" si="119"/>
        <v>0</v>
      </c>
      <c r="CF211" s="23">
        <f t="shared" si="120"/>
        <v>0</v>
      </c>
      <c r="CG211" s="23">
        <f t="shared" si="121"/>
        <v>0</v>
      </c>
      <c r="CH211" s="23">
        <f t="shared" si="122"/>
        <v>0</v>
      </c>
      <c r="CI211" s="23">
        <f t="shared" si="123"/>
        <v>0</v>
      </c>
      <c r="CJ211" s="23">
        <f t="shared" si="124"/>
        <v>0</v>
      </c>
      <c r="CK211" s="23">
        <f t="shared" si="125"/>
        <v>0</v>
      </c>
      <c r="CL211" s="23">
        <f t="shared" si="126"/>
        <v>0</v>
      </c>
      <c r="CM211" s="23">
        <f t="shared" si="127"/>
        <v>0</v>
      </c>
      <c r="CN211" s="23">
        <f t="shared" si="128"/>
        <v>1</v>
      </c>
      <c r="CO211" s="23">
        <f t="shared" si="129"/>
        <v>1</v>
      </c>
      <c r="CP211" s="23">
        <f t="shared" si="130"/>
        <v>1</v>
      </c>
      <c r="CQ211" s="23">
        <f t="shared" si="131"/>
        <v>1</v>
      </c>
      <c r="CR211" s="23">
        <f t="shared" si="132"/>
        <v>1</v>
      </c>
      <c r="CS211" s="23">
        <f t="shared" si="133"/>
        <v>1</v>
      </c>
      <c r="CT211" s="23">
        <f t="shared" si="134"/>
        <v>1</v>
      </c>
      <c r="CU211" s="23">
        <f t="shared" si="135"/>
        <v>1</v>
      </c>
      <c r="CV211" s="23">
        <f t="shared" si="136"/>
        <v>0</v>
      </c>
    </row>
    <row r="212" spans="1:100" ht="13.5">
      <c r="A212" s="15">
        <v>167</v>
      </c>
      <c r="B212" s="27" t="s">
        <v>605</v>
      </c>
      <c r="C212" t="s">
        <v>180</v>
      </c>
      <c r="E212" t="s">
        <v>182</v>
      </c>
      <c r="F212" t="s">
        <v>181</v>
      </c>
      <c r="G212" t="s">
        <v>182</v>
      </c>
      <c r="H212" t="s">
        <v>183</v>
      </c>
      <c r="I212" s="6" t="s">
        <v>136</v>
      </c>
      <c r="J212" s="6">
        <v>1</v>
      </c>
      <c r="L212" s="15">
        <v>1</v>
      </c>
      <c r="M212" s="7">
        <v>46050</v>
      </c>
      <c r="N212" s="7">
        <v>46062</v>
      </c>
      <c r="O212" s="7">
        <v>46059</v>
      </c>
      <c r="P212" s="7">
        <v>46059</v>
      </c>
      <c r="S212" s="6" t="s">
        <v>182</v>
      </c>
      <c r="U212" s="6" t="s">
        <v>464</v>
      </c>
      <c r="V212" s="6" t="str">
        <f t="shared" si="103"/>
        <v>26/02</v>
      </c>
      <c r="W212">
        <v>1516</v>
      </c>
      <c r="AB212">
        <v>642</v>
      </c>
      <c r="AD212">
        <v>589</v>
      </c>
      <c r="AI212" s="23">
        <v>0</v>
      </c>
      <c r="AJ212" s="23">
        <v>0</v>
      </c>
      <c r="AK212" s="23">
        <v>0</v>
      </c>
      <c r="AL212" s="23">
        <v>0</v>
      </c>
      <c r="AM212" s="23">
        <v>0</v>
      </c>
      <c r="AN212" s="23">
        <v>0</v>
      </c>
      <c r="AO212" s="23">
        <v>0</v>
      </c>
      <c r="AP212" s="23">
        <v>0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3">
        <v>0</v>
      </c>
      <c r="BD212" s="23">
        <v>0</v>
      </c>
      <c r="BE212" s="23">
        <v>0</v>
      </c>
      <c r="BF212" s="23">
        <v>0</v>
      </c>
      <c r="BG212" s="23">
        <v>1</v>
      </c>
      <c r="BH212" s="23">
        <v>1</v>
      </c>
      <c r="BI212" s="23">
        <v>1</v>
      </c>
      <c r="BJ212" s="23">
        <v>1</v>
      </c>
      <c r="BK212" s="23">
        <v>1</v>
      </c>
      <c r="BL212" s="23">
        <v>1</v>
      </c>
      <c r="BM212" s="23">
        <v>1</v>
      </c>
      <c r="BN212" s="23">
        <v>1</v>
      </c>
      <c r="BO212" s="23">
        <v>0</v>
      </c>
      <c r="BP212" s="23">
        <f t="shared" si="104"/>
        <v>0</v>
      </c>
      <c r="BQ212" s="23">
        <f t="shared" si="105"/>
        <v>0</v>
      </c>
      <c r="BR212" s="23">
        <f t="shared" si="106"/>
        <v>0</v>
      </c>
      <c r="BS212" s="23">
        <f t="shared" si="107"/>
        <v>0</v>
      </c>
      <c r="BT212" s="23">
        <f t="shared" si="108"/>
        <v>0</v>
      </c>
      <c r="BU212" s="23">
        <f t="shared" si="109"/>
        <v>0</v>
      </c>
      <c r="BV212" s="23">
        <f t="shared" si="110"/>
        <v>0</v>
      </c>
      <c r="BW212" s="23">
        <f t="shared" si="111"/>
        <v>0</v>
      </c>
      <c r="BX212" s="23">
        <f t="shared" si="112"/>
        <v>0</v>
      </c>
      <c r="BY212" s="23">
        <f t="shared" si="113"/>
        <v>0</v>
      </c>
      <c r="BZ212" s="23">
        <f t="shared" si="114"/>
        <v>0</v>
      </c>
      <c r="CA212" s="23">
        <f t="shared" si="115"/>
        <v>0</v>
      </c>
      <c r="CB212" s="23">
        <f t="shared" si="116"/>
        <v>0</v>
      </c>
      <c r="CC212" s="23">
        <f t="shared" si="117"/>
        <v>0</v>
      </c>
      <c r="CD212" s="23">
        <f t="shared" si="118"/>
        <v>0</v>
      </c>
      <c r="CE212" s="23">
        <f t="shared" si="119"/>
        <v>0</v>
      </c>
      <c r="CF212" s="23">
        <f t="shared" si="120"/>
        <v>0</v>
      </c>
      <c r="CG212" s="23">
        <f t="shared" si="121"/>
        <v>0</v>
      </c>
      <c r="CH212" s="23">
        <f t="shared" si="122"/>
        <v>0</v>
      </c>
      <c r="CI212" s="23">
        <f t="shared" si="123"/>
        <v>0</v>
      </c>
      <c r="CJ212" s="23">
        <f t="shared" si="124"/>
        <v>0</v>
      </c>
      <c r="CK212" s="23">
        <f t="shared" si="125"/>
        <v>0</v>
      </c>
      <c r="CL212" s="23">
        <f t="shared" si="126"/>
        <v>0</v>
      </c>
      <c r="CM212" s="23">
        <f t="shared" si="127"/>
        <v>0</v>
      </c>
      <c r="CN212" s="23">
        <f t="shared" si="128"/>
        <v>1</v>
      </c>
      <c r="CO212" s="23">
        <f t="shared" si="129"/>
        <v>1</v>
      </c>
      <c r="CP212" s="23">
        <f t="shared" si="130"/>
        <v>1</v>
      </c>
      <c r="CQ212" s="23">
        <f t="shared" si="131"/>
        <v>1</v>
      </c>
      <c r="CR212" s="23">
        <f t="shared" si="132"/>
        <v>1</v>
      </c>
      <c r="CS212" s="23">
        <f t="shared" si="133"/>
        <v>1</v>
      </c>
      <c r="CT212" s="23">
        <f t="shared" si="134"/>
        <v>1</v>
      </c>
      <c r="CU212" s="23">
        <f t="shared" si="135"/>
        <v>1</v>
      </c>
      <c r="CV212" s="23">
        <f t="shared" si="136"/>
        <v>0</v>
      </c>
    </row>
    <row r="213" spans="1:100" ht="13.5">
      <c r="A213" s="15">
        <v>169</v>
      </c>
      <c r="B213" s="27" t="s">
        <v>607</v>
      </c>
      <c r="C213" t="s">
        <v>180</v>
      </c>
      <c r="E213" t="s">
        <v>182</v>
      </c>
      <c r="F213" t="s">
        <v>181</v>
      </c>
      <c r="G213" t="s">
        <v>182</v>
      </c>
      <c r="H213" t="s">
        <v>183</v>
      </c>
      <c r="I213" s="6" t="s">
        <v>136</v>
      </c>
      <c r="J213" s="6">
        <v>1</v>
      </c>
      <c r="L213" s="15">
        <v>1</v>
      </c>
      <c r="M213" s="7">
        <v>46051</v>
      </c>
      <c r="N213" s="7">
        <v>46063</v>
      </c>
      <c r="O213" s="7">
        <v>46062</v>
      </c>
      <c r="P213" s="7">
        <v>46062</v>
      </c>
      <c r="S213" s="6" t="s">
        <v>182</v>
      </c>
      <c r="U213" s="6" t="s">
        <v>464</v>
      </c>
      <c r="V213" s="6" t="str">
        <f t="shared" si="103"/>
        <v>26/02</v>
      </c>
      <c r="W213">
        <v>1517</v>
      </c>
      <c r="AB213">
        <v>643</v>
      </c>
      <c r="AD213">
        <v>590</v>
      </c>
      <c r="AI213" s="23">
        <v>0</v>
      </c>
      <c r="AJ213" s="23">
        <v>0</v>
      </c>
      <c r="AK213" s="23">
        <v>0</v>
      </c>
      <c r="AL213" s="23">
        <v>0</v>
      </c>
      <c r="AM213" s="23">
        <v>0</v>
      </c>
      <c r="AN213" s="23">
        <v>0</v>
      </c>
      <c r="AO213" s="23">
        <v>0</v>
      </c>
      <c r="AP213" s="23">
        <v>0</v>
      </c>
      <c r="AQ213" s="23">
        <v>0</v>
      </c>
      <c r="AR213" s="23">
        <v>0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3">
        <v>0</v>
      </c>
      <c r="BD213" s="23">
        <v>0</v>
      </c>
      <c r="BE213" s="23">
        <v>0</v>
      </c>
      <c r="BF213" s="23">
        <v>0</v>
      </c>
      <c r="BG213" s="23">
        <v>1</v>
      </c>
      <c r="BH213" s="23">
        <v>1</v>
      </c>
      <c r="BI213" s="23">
        <v>1</v>
      </c>
      <c r="BJ213" s="23">
        <v>1</v>
      </c>
      <c r="BK213" s="23">
        <v>1</v>
      </c>
      <c r="BL213" s="23">
        <v>1</v>
      </c>
      <c r="BM213" s="23">
        <v>1</v>
      </c>
      <c r="BN213" s="23">
        <v>1</v>
      </c>
      <c r="BO213" s="23">
        <v>0</v>
      </c>
      <c r="BP213" s="23">
        <f t="shared" si="104"/>
        <v>0</v>
      </c>
      <c r="BQ213" s="23">
        <f t="shared" si="105"/>
        <v>0</v>
      </c>
      <c r="BR213" s="23">
        <f t="shared" si="106"/>
        <v>0</v>
      </c>
      <c r="BS213" s="23">
        <f t="shared" si="107"/>
        <v>0</v>
      </c>
      <c r="BT213" s="23">
        <f t="shared" si="108"/>
        <v>0</v>
      </c>
      <c r="BU213" s="23">
        <f t="shared" si="109"/>
        <v>0</v>
      </c>
      <c r="BV213" s="23">
        <f t="shared" si="110"/>
        <v>0</v>
      </c>
      <c r="BW213" s="23">
        <f t="shared" si="111"/>
        <v>0</v>
      </c>
      <c r="BX213" s="23">
        <f t="shared" si="112"/>
        <v>0</v>
      </c>
      <c r="BY213" s="23">
        <f t="shared" si="113"/>
        <v>0</v>
      </c>
      <c r="BZ213" s="23">
        <f t="shared" si="114"/>
        <v>0</v>
      </c>
      <c r="CA213" s="23">
        <f t="shared" si="115"/>
        <v>0</v>
      </c>
      <c r="CB213" s="23">
        <f t="shared" si="116"/>
        <v>0</v>
      </c>
      <c r="CC213" s="23">
        <f t="shared" si="117"/>
        <v>0</v>
      </c>
      <c r="CD213" s="23">
        <f t="shared" si="118"/>
        <v>0</v>
      </c>
      <c r="CE213" s="23">
        <f t="shared" si="119"/>
        <v>0</v>
      </c>
      <c r="CF213" s="23">
        <f t="shared" si="120"/>
        <v>0</v>
      </c>
      <c r="CG213" s="23">
        <f t="shared" si="121"/>
        <v>0</v>
      </c>
      <c r="CH213" s="23">
        <f t="shared" si="122"/>
        <v>0</v>
      </c>
      <c r="CI213" s="23">
        <f t="shared" si="123"/>
        <v>0</v>
      </c>
      <c r="CJ213" s="23">
        <f t="shared" si="124"/>
        <v>0</v>
      </c>
      <c r="CK213" s="23">
        <f t="shared" si="125"/>
        <v>0</v>
      </c>
      <c r="CL213" s="23">
        <f t="shared" si="126"/>
        <v>0</v>
      </c>
      <c r="CM213" s="23">
        <f t="shared" si="127"/>
        <v>0</v>
      </c>
      <c r="CN213" s="23">
        <f t="shared" si="128"/>
        <v>1</v>
      </c>
      <c r="CO213" s="23">
        <f t="shared" si="129"/>
        <v>1</v>
      </c>
      <c r="CP213" s="23">
        <f t="shared" si="130"/>
        <v>1</v>
      </c>
      <c r="CQ213" s="23">
        <f t="shared" si="131"/>
        <v>1</v>
      </c>
      <c r="CR213" s="23">
        <f t="shared" si="132"/>
        <v>1</v>
      </c>
      <c r="CS213" s="23">
        <f t="shared" si="133"/>
        <v>1</v>
      </c>
      <c r="CT213" s="23">
        <f t="shared" si="134"/>
        <v>1</v>
      </c>
      <c r="CU213" s="23">
        <f t="shared" si="135"/>
        <v>1</v>
      </c>
      <c r="CV213" s="23">
        <f t="shared" si="136"/>
        <v>0</v>
      </c>
    </row>
    <row r="214" spans="1:100" ht="13.5">
      <c r="A214" s="15">
        <v>170</v>
      </c>
      <c r="B214" s="27" t="s">
        <v>608</v>
      </c>
      <c r="C214" t="s">
        <v>180</v>
      </c>
      <c r="E214" t="s">
        <v>182</v>
      </c>
      <c r="F214" t="s">
        <v>181</v>
      </c>
      <c r="G214" t="s">
        <v>182</v>
      </c>
      <c r="H214" t="s">
        <v>183</v>
      </c>
      <c r="I214" s="6" t="s">
        <v>136</v>
      </c>
      <c r="J214" s="6">
        <v>1</v>
      </c>
      <c r="L214" s="15">
        <v>1</v>
      </c>
      <c r="M214" s="7">
        <v>46051</v>
      </c>
      <c r="N214" s="7">
        <v>46063</v>
      </c>
      <c r="O214" s="7">
        <v>46062</v>
      </c>
      <c r="P214" s="7">
        <v>46062</v>
      </c>
      <c r="S214" s="6" t="s">
        <v>182</v>
      </c>
      <c r="U214" s="6" t="s">
        <v>464</v>
      </c>
      <c r="V214" s="6" t="str">
        <f t="shared" si="103"/>
        <v>26/02</v>
      </c>
      <c r="W214">
        <v>1518</v>
      </c>
      <c r="AB214">
        <v>644</v>
      </c>
      <c r="AD214">
        <v>591</v>
      </c>
      <c r="AI214" s="23">
        <v>0</v>
      </c>
      <c r="AJ214" s="23">
        <v>0</v>
      </c>
      <c r="AK214" s="23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3">
        <v>0</v>
      </c>
      <c r="BD214" s="23">
        <v>0</v>
      </c>
      <c r="BE214" s="23">
        <v>0</v>
      </c>
      <c r="BF214" s="23">
        <v>0</v>
      </c>
      <c r="BG214" s="23">
        <v>1</v>
      </c>
      <c r="BH214" s="23">
        <v>1</v>
      </c>
      <c r="BI214" s="23">
        <v>1</v>
      </c>
      <c r="BJ214" s="23">
        <v>1</v>
      </c>
      <c r="BK214" s="23">
        <v>1</v>
      </c>
      <c r="BL214" s="23">
        <v>1</v>
      </c>
      <c r="BM214" s="23">
        <v>1</v>
      </c>
      <c r="BN214" s="23">
        <v>1</v>
      </c>
      <c r="BO214" s="23">
        <v>0</v>
      </c>
      <c r="BP214" s="23">
        <f t="shared" si="104"/>
        <v>0</v>
      </c>
      <c r="BQ214" s="23">
        <f t="shared" si="105"/>
        <v>0</v>
      </c>
      <c r="BR214" s="23">
        <f t="shared" si="106"/>
        <v>0</v>
      </c>
      <c r="BS214" s="23">
        <f t="shared" si="107"/>
        <v>0</v>
      </c>
      <c r="BT214" s="23">
        <f t="shared" si="108"/>
        <v>0</v>
      </c>
      <c r="BU214" s="23">
        <f t="shared" si="109"/>
        <v>0</v>
      </c>
      <c r="BV214" s="23">
        <f t="shared" si="110"/>
        <v>0</v>
      </c>
      <c r="BW214" s="23">
        <f t="shared" si="111"/>
        <v>0</v>
      </c>
      <c r="BX214" s="23">
        <f t="shared" si="112"/>
        <v>0</v>
      </c>
      <c r="BY214" s="23">
        <f t="shared" si="113"/>
        <v>0</v>
      </c>
      <c r="BZ214" s="23">
        <f t="shared" si="114"/>
        <v>0</v>
      </c>
      <c r="CA214" s="23">
        <f t="shared" si="115"/>
        <v>0</v>
      </c>
      <c r="CB214" s="23">
        <f t="shared" si="116"/>
        <v>0</v>
      </c>
      <c r="CC214" s="23">
        <f t="shared" si="117"/>
        <v>0</v>
      </c>
      <c r="CD214" s="23">
        <f t="shared" si="118"/>
        <v>0</v>
      </c>
      <c r="CE214" s="23">
        <f t="shared" si="119"/>
        <v>0</v>
      </c>
      <c r="CF214" s="23">
        <f t="shared" si="120"/>
        <v>0</v>
      </c>
      <c r="CG214" s="23">
        <f t="shared" si="121"/>
        <v>0</v>
      </c>
      <c r="CH214" s="23">
        <f t="shared" si="122"/>
        <v>0</v>
      </c>
      <c r="CI214" s="23">
        <f t="shared" si="123"/>
        <v>0</v>
      </c>
      <c r="CJ214" s="23">
        <f t="shared" si="124"/>
        <v>0</v>
      </c>
      <c r="CK214" s="23">
        <f t="shared" si="125"/>
        <v>0</v>
      </c>
      <c r="CL214" s="23">
        <f t="shared" si="126"/>
        <v>0</v>
      </c>
      <c r="CM214" s="23">
        <f t="shared" si="127"/>
        <v>0</v>
      </c>
      <c r="CN214" s="23">
        <f t="shared" si="128"/>
        <v>1</v>
      </c>
      <c r="CO214" s="23">
        <f t="shared" si="129"/>
        <v>1</v>
      </c>
      <c r="CP214" s="23">
        <f t="shared" si="130"/>
        <v>1</v>
      </c>
      <c r="CQ214" s="23">
        <f t="shared" si="131"/>
        <v>1</v>
      </c>
      <c r="CR214" s="23">
        <f t="shared" si="132"/>
        <v>1</v>
      </c>
      <c r="CS214" s="23">
        <f t="shared" si="133"/>
        <v>1</v>
      </c>
      <c r="CT214" s="23">
        <f t="shared" si="134"/>
        <v>1</v>
      </c>
      <c r="CU214" s="23">
        <f t="shared" si="135"/>
        <v>1</v>
      </c>
      <c r="CV214" s="23">
        <f t="shared" si="136"/>
        <v>0</v>
      </c>
    </row>
    <row r="215" spans="1:100" ht="13.5">
      <c r="A215" s="15">
        <v>172</v>
      </c>
      <c r="B215" s="27" t="s">
        <v>610</v>
      </c>
      <c r="C215" t="s">
        <v>180</v>
      </c>
      <c r="E215" t="s">
        <v>182</v>
      </c>
      <c r="F215" t="s">
        <v>181</v>
      </c>
      <c r="G215" t="s">
        <v>182</v>
      </c>
      <c r="H215" t="s">
        <v>183</v>
      </c>
      <c r="I215" s="6" t="s">
        <v>136</v>
      </c>
      <c r="J215" s="6">
        <v>1</v>
      </c>
      <c r="L215" s="15">
        <v>1</v>
      </c>
      <c r="M215" s="7">
        <v>46052</v>
      </c>
      <c r="N215" s="7">
        <v>46065</v>
      </c>
      <c r="O215" s="7">
        <v>46063</v>
      </c>
      <c r="P215" s="7">
        <v>46063</v>
      </c>
      <c r="S215" s="6" t="s">
        <v>182</v>
      </c>
      <c r="U215" s="6" t="s">
        <v>464</v>
      </c>
      <c r="V215" s="6" t="str">
        <f t="shared" si="103"/>
        <v>26/02</v>
      </c>
      <c r="W215">
        <v>1519</v>
      </c>
      <c r="AB215">
        <v>645</v>
      </c>
      <c r="AD215">
        <v>592</v>
      </c>
      <c r="AI215" s="23">
        <v>0</v>
      </c>
      <c r="AJ215" s="23">
        <v>0</v>
      </c>
      <c r="AK215" s="23">
        <v>0</v>
      </c>
      <c r="AL215" s="23">
        <v>0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3">
        <v>0</v>
      </c>
      <c r="AS215" s="23">
        <v>0</v>
      </c>
      <c r="AT215" s="23">
        <v>0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3">
        <v>0</v>
      </c>
      <c r="BD215" s="23">
        <v>0</v>
      </c>
      <c r="BE215" s="23">
        <v>0</v>
      </c>
      <c r="BF215" s="23">
        <v>0</v>
      </c>
      <c r="BG215" s="23">
        <v>1</v>
      </c>
      <c r="BH215" s="23">
        <v>1</v>
      </c>
      <c r="BI215" s="23">
        <v>1</v>
      </c>
      <c r="BJ215" s="23">
        <v>1</v>
      </c>
      <c r="BK215" s="23">
        <v>1</v>
      </c>
      <c r="BL215" s="23">
        <v>1</v>
      </c>
      <c r="BM215" s="23">
        <v>1</v>
      </c>
      <c r="BN215" s="23">
        <v>1</v>
      </c>
      <c r="BO215" s="23">
        <v>0</v>
      </c>
      <c r="BP215" s="23">
        <f t="shared" si="104"/>
        <v>0</v>
      </c>
      <c r="BQ215" s="23">
        <f t="shared" si="105"/>
        <v>0</v>
      </c>
      <c r="BR215" s="23">
        <f t="shared" si="106"/>
        <v>0</v>
      </c>
      <c r="BS215" s="23">
        <f t="shared" si="107"/>
        <v>0</v>
      </c>
      <c r="BT215" s="23">
        <f t="shared" si="108"/>
        <v>0</v>
      </c>
      <c r="BU215" s="23">
        <f t="shared" si="109"/>
        <v>0</v>
      </c>
      <c r="BV215" s="23">
        <f t="shared" si="110"/>
        <v>0</v>
      </c>
      <c r="BW215" s="23">
        <f t="shared" si="111"/>
        <v>0</v>
      </c>
      <c r="BX215" s="23">
        <f t="shared" si="112"/>
        <v>0</v>
      </c>
      <c r="BY215" s="23">
        <f t="shared" si="113"/>
        <v>0</v>
      </c>
      <c r="BZ215" s="23">
        <f t="shared" si="114"/>
        <v>0</v>
      </c>
      <c r="CA215" s="23">
        <f t="shared" si="115"/>
        <v>0</v>
      </c>
      <c r="CB215" s="23">
        <f t="shared" si="116"/>
        <v>0</v>
      </c>
      <c r="CC215" s="23">
        <f t="shared" si="117"/>
        <v>0</v>
      </c>
      <c r="CD215" s="23">
        <f t="shared" si="118"/>
        <v>0</v>
      </c>
      <c r="CE215" s="23">
        <f t="shared" si="119"/>
        <v>0</v>
      </c>
      <c r="CF215" s="23">
        <f t="shared" si="120"/>
        <v>0</v>
      </c>
      <c r="CG215" s="23">
        <f t="shared" si="121"/>
        <v>0</v>
      </c>
      <c r="CH215" s="23">
        <f t="shared" si="122"/>
        <v>0</v>
      </c>
      <c r="CI215" s="23">
        <f t="shared" si="123"/>
        <v>0</v>
      </c>
      <c r="CJ215" s="23">
        <f t="shared" si="124"/>
        <v>0</v>
      </c>
      <c r="CK215" s="23">
        <f t="shared" si="125"/>
        <v>0</v>
      </c>
      <c r="CL215" s="23">
        <f t="shared" si="126"/>
        <v>0</v>
      </c>
      <c r="CM215" s="23">
        <f t="shared" si="127"/>
        <v>0</v>
      </c>
      <c r="CN215" s="23">
        <f t="shared" si="128"/>
        <v>1</v>
      </c>
      <c r="CO215" s="23">
        <f t="shared" si="129"/>
        <v>1</v>
      </c>
      <c r="CP215" s="23">
        <f t="shared" si="130"/>
        <v>1</v>
      </c>
      <c r="CQ215" s="23">
        <f t="shared" si="131"/>
        <v>1</v>
      </c>
      <c r="CR215" s="23">
        <f t="shared" si="132"/>
        <v>1</v>
      </c>
      <c r="CS215" s="23">
        <f t="shared" si="133"/>
        <v>1</v>
      </c>
      <c r="CT215" s="23">
        <f t="shared" si="134"/>
        <v>1</v>
      </c>
      <c r="CU215" s="23">
        <f t="shared" si="135"/>
        <v>1</v>
      </c>
      <c r="CV215" s="23">
        <f t="shared" si="136"/>
        <v>0</v>
      </c>
    </row>
    <row r="216" spans="1:100" ht="13.5">
      <c r="A216" s="15">
        <v>171</v>
      </c>
      <c r="B216" s="27" t="s">
        <v>609</v>
      </c>
      <c r="C216" t="s">
        <v>180</v>
      </c>
      <c r="E216" t="s">
        <v>182</v>
      </c>
      <c r="F216" t="s">
        <v>181</v>
      </c>
      <c r="G216" t="s">
        <v>182</v>
      </c>
      <c r="H216" t="s">
        <v>183</v>
      </c>
      <c r="I216" s="6" t="s">
        <v>136</v>
      </c>
      <c r="J216" s="6">
        <v>1</v>
      </c>
      <c r="L216" s="15">
        <v>1</v>
      </c>
      <c r="M216" s="7">
        <v>46052</v>
      </c>
      <c r="N216" s="7">
        <v>46065</v>
      </c>
      <c r="O216" s="7">
        <v>46063</v>
      </c>
      <c r="P216" s="7">
        <v>46063</v>
      </c>
      <c r="S216" s="6" t="s">
        <v>182</v>
      </c>
      <c r="U216" s="6" t="s">
        <v>464</v>
      </c>
      <c r="V216" s="6" t="str">
        <f t="shared" si="103"/>
        <v>26/02</v>
      </c>
      <c r="W216">
        <v>1520</v>
      </c>
      <c r="AB216">
        <v>646</v>
      </c>
      <c r="AD216">
        <v>593</v>
      </c>
      <c r="AI216" s="23">
        <v>0</v>
      </c>
      <c r="AJ216" s="23">
        <v>0</v>
      </c>
      <c r="AK216" s="23">
        <v>0</v>
      </c>
      <c r="AL216" s="23">
        <v>0</v>
      </c>
      <c r="AM216" s="23">
        <v>0</v>
      </c>
      <c r="AN216" s="23">
        <v>0</v>
      </c>
      <c r="AO216" s="23">
        <v>0</v>
      </c>
      <c r="AP216" s="23">
        <v>0</v>
      </c>
      <c r="AQ216" s="23">
        <v>0</v>
      </c>
      <c r="AR216" s="23">
        <v>0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3">
        <v>0</v>
      </c>
      <c r="BD216" s="23">
        <v>0</v>
      </c>
      <c r="BE216" s="23">
        <v>0</v>
      </c>
      <c r="BF216" s="23">
        <v>0</v>
      </c>
      <c r="BG216" s="23">
        <v>1</v>
      </c>
      <c r="BH216" s="23">
        <v>1</v>
      </c>
      <c r="BI216" s="23">
        <v>1</v>
      </c>
      <c r="BJ216" s="23">
        <v>1</v>
      </c>
      <c r="BK216" s="23">
        <v>1</v>
      </c>
      <c r="BL216" s="23">
        <v>1</v>
      </c>
      <c r="BM216" s="23">
        <v>1</v>
      </c>
      <c r="BN216" s="23">
        <v>1</v>
      </c>
      <c r="BO216" s="23">
        <v>0</v>
      </c>
      <c r="BP216" s="23">
        <f t="shared" si="104"/>
        <v>0</v>
      </c>
      <c r="BQ216" s="23">
        <f t="shared" si="105"/>
        <v>0</v>
      </c>
      <c r="BR216" s="23">
        <f t="shared" si="106"/>
        <v>0</v>
      </c>
      <c r="BS216" s="23">
        <f t="shared" si="107"/>
        <v>0</v>
      </c>
      <c r="BT216" s="23">
        <f t="shared" si="108"/>
        <v>0</v>
      </c>
      <c r="BU216" s="23">
        <f t="shared" si="109"/>
        <v>0</v>
      </c>
      <c r="BV216" s="23">
        <f t="shared" si="110"/>
        <v>0</v>
      </c>
      <c r="BW216" s="23">
        <f t="shared" si="111"/>
        <v>0</v>
      </c>
      <c r="BX216" s="23">
        <f t="shared" si="112"/>
        <v>0</v>
      </c>
      <c r="BY216" s="23">
        <f t="shared" si="113"/>
        <v>0</v>
      </c>
      <c r="BZ216" s="23">
        <f t="shared" si="114"/>
        <v>0</v>
      </c>
      <c r="CA216" s="23">
        <f t="shared" si="115"/>
        <v>0</v>
      </c>
      <c r="CB216" s="23">
        <f t="shared" si="116"/>
        <v>0</v>
      </c>
      <c r="CC216" s="23">
        <f t="shared" si="117"/>
        <v>0</v>
      </c>
      <c r="CD216" s="23">
        <f t="shared" si="118"/>
        <v>0</v>
      </c>
      <c r="CE216" s="23">
        <f t="shared" si="119"/>
        <v>0</v>
      </c>
      <c r="CF216" s="23">
        <f t="shared" si="120"/>
        <v>0</v>
      </c>
      <c r="CG216" s="23">
        <f t="shared" si="121"/>
        <v>0</v>
      </c>
      <c r="CH216" s="23">
        <f t="shared" si="122"/>
        <v>0</v>
      </c>
      <c r="CI216" s="23">
        <f t="shared" si="123"/>
        <v>0</v>
      </c>
      <c r="CJ216" s="23">
        <f t="shared" si="124"/>
        <v>0</v>
      </c>
      <c r="CK216" s="23">
        <f t="shared" si="125"/>
        <v>0</v>
      </c>
      <c r="CL216" s="23">
        <f t="shared" si="126"/>
        <v>0</v>
      </c>
      <c r="CM216" s="23">
        <f t="shared" si="127"/>
        <v>0</v>
      </c>
      <c r="CN216" s="23">
        <f t="shared" si="128"/>
        <v>1</v>
      </c>
      <c r="CO216" s="23">
        <f t="shared" si="129"/>
        <v>1</v>
      </c>
      <c r="CP216" s="23">
        <f t="shared" si="130"/>
        <v>1</v>
      </c>
      <c r="CQ216" s="23">
        <f t="shared" si="131"/>
        <v>1</v>
      </c>
      <c r="CR216" s="23">
        <f t="shared" si="132"/>
        <v>1</v>
      </c>
      <c r="CS216" s="23">
        <f t="shared" si="133"/>
        <v>1</v>
      </c>
      <c r="CT216" s="23">
        <f t="shared" si="134"/>
        <v>1</v>
      </c>
      <c r="CU216" s="23">
        <f t="shared" si="135"/>
        <v>1</v>
      </c>
      <c r="CV216" s="23">
        <f t="shared" si="136"/>
        <v>0</v>
      </c>
    </row>
    <row r="217" spans="1:100" ht="13.5">
      <c r="A217" s="15">
        <v>173</v>
      </c>
      <c r="B217" s="27" t="s">
        <v>611</v>
      </c>
      <c r="C217" t="s">
        <v>180</v>
      </c>
      <c r="E217" t="s">
        <v>182</v>
      </c>
      <c r="F217" t="s">
        <v>181</v>
      </c>
      <c r="G217" t="s">
        <v>182</v>
      </c>
      <c r="H217" t="s">
        <v>183</v>
      </c>
      <c r="I217" s="6" t="s">
        <v>136</v>
      </c>
      <c r="J217" s="6">
        <v>1</v>
      </c>
      <c r="L217" s="15">
        <v>1</v>
      </c>
      <c r="M217" s="7">
        <v>46055</v>
      </c>
      <c r="N217" s="7">
        <v>46066</v>
      </c>
      <c r="O217" s="7">
        <v>46065</v>
      </c>
      <c r="P217" s="7">
        <v>46065</v>
      </c>
      <c r="S217" s="6" t="s">
        <v>182</v>
      </c>
      <c r="U217" s="6" t="s">
        <v>464</v>
      </c>
      <c r="V217" s="6" t="str">
        <f t="shared" si="103"/>
        <v>26/02</v>
      </c>
      <c r="W217">
        <v>1521</v>
      </c>
      <c r="AB217">
        <v>647</v>
      </c>
      <c r="AD217">
        <v>594</v>
      </c>
      <c r="AI217" s="23">
        <v>0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3">
        <v>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3">
        <v>0</v>
      </c>
      <c r="BD217" s="23">
        <v>0</v>
      </c>
      <c r="BE217" s="23">
        <v>0</v>
      </c>
      <c r="BF217" s="23">
        <v>0</v>
      </c>
      <c r="BG217" s="23">
        <v>1</v>
      </c>
      <c r="BH217" s="23">
        <v>1</v>
      </c>
      <c r="BI217" s="23">
        <v>1</v>
      </c>
      <c r="BJ217" s="23">
        <v>1</v>
      </c>
      <c r="BK217" s="23">
        <v>1</v>
      </c>
      <c r="BL217" s="23">
        <v>1</v>
      </c>
      <c r="BM217" s="23">
        <v>1</v>
      </c>
      <c r="BN217" s="23">
        <v>1</v>
      </c>
      <c r="BO217" s="23">
        <v>0</v>
      </c>
      <c r="BP217" s="23">
        <f t="shared" si="104"/>
        <v>0</v>
      </c>
      <c r="BQ217" s="23">
        <f t="shared" si="105"/>
        <v>0</v>
      </c>
      <c r="BR217" s="23">
        <f t="shared" si="106"/>
        <v>0</v>
      </c>
      <c r="BS217" s="23">
        <f t="shared" si="107"/>
        <v>0</v>
      </c>
      <c r="BT217" s="23">
        <f t="shared" si="108"/>
        <v>0</v>
      </c>
      <c r="BU217" s="23">
        <f t="shared" si="109"/>
        <v>0</v>
      </c>
      <c r="BV217" s="23">
        <f t="shared" si="110"/>
        <v>0</v>
      </c>
      <c r="BW217" s="23">
        <f t="shared" si="111"/>
        <v>0</v>
      </c>
      <c r="BX217" s="23">
        <f t="shared" si="112"/>
        <v>0</v>
      </c>
      <c r="BY217" s="23">
        <f t="shared" si="113"/>
        <v>0</v>
      </c>
      <c r="BZ217" s="23">
        <f t="shared" si="114"/>
        <v>0</v>
      </c>
      <c r="CA217" s="23">
        <f t="shared" si="115"/>
        <v>0</v>
      </c>
      <c r="CB217" s="23">
        <f t="shared" si="116"/>
        <v>0</v>
      </c>
      <c r="CC217" s="23">
        <f t="shared" si="117"/>
        <v>0</v>
      </c>
      <c r="CD217" s="23">
        <f t="shared" si="118"/>
        <v>0</v>
      </c>
      <c r="CE217" s="23">
        <f t="shared" si="119"/>
        <v>0</v>
      </c>
      <c r="CF217" s="23">
        <f t="shared" si="120"/>
        <v>0</v>
      </c>
      <c r="CG217" s="23">
        <f t="shared" si="121"/>
        <v>0</v>
      </c>
      <c r="CH217" s="23">
        <f t="shared" si="122"/>
        <v>0</v>
      </c>
      <c r="CI217" s="23">
        <f t="shared" si="123"/>
        <v>0</v>
      </c>
      <c r="CJ217" s="23">
        <f t="shared" si="124"/>
        <v>0</v>
      </c>
      <c r="CK217" s="23">
        <f t="shared" si="125"/>
        <v>0</v>
      </c>
      <c r="CL217" s="23">
        <f t="shared" si="126"/>
        <v>0</v>
      </c>
      <c r="CM217" s="23">
        <f t="shared" si="127"/>
        <v>0</v>
      </c>
      <c r="CN217" s="23">
        <f t="shared" si="128"/>
        <v>1</v>
      </c>
      <c r="CO217" s="23">
        <f t="shared" si="129"/>
        <v>1</v>
      </c>
      <c r="CP217" s="23">
        <f t="shared" si="130"/>
        <v>1</v>
      </c>
      <c r="CQ217" s="23">
        <f t="shared" si="131"/>
        <v>1</v>
      </c>
      <c r="CR217" s="23">
        <f t="shared" si="132"/>
        <v>1</v>
      </c>
      <c r="CS217" s="23">
        <f t="shared" si="133"/>
        <v>1</v>
      </c>
      <c r="CT217" s="23">
        <f t="shared" si="134"/>
        <v>1</v>
      </c>
      <c r="CU217" s="23">
        <f t="shared" si="135"/>
        <v>1</v>
      </c>
      <c r="CV217" s="23">
        <f t="shared" si="136"/>
        <v>0</v>
      </c>
    </row>
    <row r="218" spans="1:100" ht="13.5">
      <c r="A218" s="15">
        <v>175</v>
      </c>
      <c r="B218" s="27" t="s">
        <v>612</v>
      </c>
      <c r="C218" t="s">
        <v>180</v>
      </c>
      <c r="E218" t="s">
        <v>182</v>
      </c>
      <c r="F218" t="s">
        <v>181</v>
      </c>
      <c r="G218" t="s">
        <v>182</v>
      </c>
      <c r="H218" t="s">
        <v>183</v>
      </c>
      <c r="I218" s="6" t="s">
        <v>136</v>
      </c>
      <c r="J218" s="6">
        <v>1</v>
      </c>
      <c r="L218" s="15">
        <v>1</v>
      </c>
      <c r="M218" s="7">
        <v>46056</v>
      </c>
      <c r="N218" s="7">
        <v>46069</v>
      </c>
      <c r="O218" s="7">
        <v>46066</v>
      </c>
      <c r="P218" s="7">
        <v>46066</v>
      </c>
      <c r="S218" s="6" t="s">
        <v>182</v>
      </c>
      <c r="U218" s="6" t="s">
        <v>464</v>
      </c>
      <c r="V218" s="6" t="str">
        <f t="shared" si="103"/>
        <v>26/02</v>
      </c>
      <c r="W218">
        <v>1522</v>
      </c>
      <c r="AB218">
        <v>648</v>
      </c>
      <c r="AD218">
        <v>595</v>
      </c>
      <c r="AI218" s="23">
        <v>0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3">
        <v>0</v>
      </c>
      <c r="BD218" s="23">
        <v>0</v>
      </c>
      <c r="BE218" s="23">
        <v>0</v>
      </c>
      <c r="BF218" s="23">
        <v>0</v>
      </c>
      <c r="BG218" s="23">
        <v>1</v>
      </c>
      <c r="BH218" s="23">
        <v>1</v>
      </c>
      <c r="BI218" s="23">
        <v>1</v>
      </c>
      <c r="BJ218" s="23">
        <v>1</v>
      </c>
      <c r="BK218" s="23">
        <v>1</v>
      </c>
      <c r="BL218" s="23">
        <v>1</v>
      </c>
      <c r="BM218" s="23">
        <v>1</v>
      </c>
      <c r="BN218" s="23">
        <v>1</v>
      </c>
      <c r="BO218" s="23">
        <v>0</v>
      </c>
      <c r="BP218" s="23">
        <f t="shared" si="104"/>
        <v>0</v>
      </c>
      <c r="BQ218" s="23">
        <f t="shared" si="105"/>
        <v>0</v>
      </c>
      <c r="BR218" s="23">
        <f t="shared" si="106"/>
        <v>0</v>
      </c>
      <c r="BS218" s="23">
        <f t="shared" si="107"/>
        <v>0</v>
      </c>
      <c r="BT218" s="23">
        <f t="shared" si="108"/>
        <v>0</v>
      </c>
      <c r="BU218" s="23">
        <f t="shared" si="109"/>
        <v>0</v>
      </c>
      <c r="BV218" s="23">
        <f t="shared" si="110"/>
        <v>0</v>
      </c>
      <c r="BW218" s="23">
        <f t="shared" si="111"/>
        <v>0</v>
      </c>
      <c r="BX218" s="23">
        <f t="shared" si="112"/>
        <v>0</v>
      </c>
      <c r="BY218" s="23">
        <f t="shared" si="113"/>
        <v>0</v>
      </c>
      <c r="BZ218" s="23">
        <f t="shared" si="114"/>
        <v>0</v>
      </c>
      <c r="CA218" s="23">
        <f t="shared" si="115"/>
        <v>0</v>
      </c>
      <c r="CB218" s="23">
        <f t="shared" si="116"/>
        <v>0</v>
      </c>
      <c r="CC218" s="23">
        <f t="shared" si="117"/>
        <v>0</v>
      </c>
      <c r="CD218" s="23">
        <f t="shared" si="118"/>
        <v>0</v>
      </c>
      <c r="CE218" s="23">
        <f t="shared" si="119"/>
        <v>0</v>
      </c>
      <c r="CF218" s="23">
        <f t="shared" si="120"/>
        <v>0</v>
      </c>
      <c r="CG218" s="23">
        <f t="shared" si="121"/>
        <v>0</v>
      </c>
      <c r="CH218" s="23">
        <f t="shared" si="122"/>
        <v>0</v>
      </c>
      <c r="CI218" s="23">
        <f t="shared" si="123"/>
        <v>0</v>
      </c>
      <c r="CJ218" s="23">
        <f t="shared" si="124"/>
        <v>0</v>
      </c>
      <c r="CK218" s="23">
        <f t="shared" si="125"/>
        <v>0</v>
      </c>
      <c r="CL218" s="23">
        <f t="shared" si="126"/>
        <v>0</v>
      </c>
      <c r="CM218" s="23">
        <f t="shared" si="127"/>
        <v>0</v>
      </c>
      <c r="CN218" s="23">
        <f t="shared" si="128"/>
        <v>1</v>
      </c>
      <c r="CO218" s="23">
        <f t="shared" si="129"/>
        <v>1</v>
      </c>
      <c r="CP218" s="23">
        <f t="shared" si="130"/>
        <v>1</v>
      </c>
      <c r="CQ218" s="23">
        <f t="shared" si="131"/>
        <v>1</v>
      </c>
      <c r="CR218" s="23">
        <f t="shared" si="132"/>
        <v>1</v>
      </c>
      <c r="CS218" s="23">
        <f t="shared" si="133"/>
        <v>1</v>
      </c>
      <c r="CT218" s="23">
        <f t="shared" si="134"/>
        <v>1</v>
      </c>
      <c r="CU218" s="23">
        <f t="shared" si="135"/>
        <v>1</v>
      </c>
      <c r="CV218" s="23">
        <f t="shared" si="136"/>
        <v>0</v>
      </c>
    </row>
    <row r="219" spans="1:100" ht="13.5">
      <c r="A219" s="15">
        <v>176</v>
      </c>
      <c r="B219" s="27" t="s">
        <v>613</v>
      </c>
      <c r="C219" t="s">
        <v>180</v>
      </c>
      <c r="E219" t="s">
        <v>182</v>
      </c>
      <c r="F219" t="s">
        <v>181</v>
      </c>
      <c r="G219" t="s">
        <v>182</v>
      </c>
      <c r="H219" t="s">
        <v>183</v>
      </c>
      <c r="I219" s="6" t="s">
        <v>136</v>
      </c>
      <c r="J219" s="6">
        <v>1</v>
      </c>
      <c r="L219" s="15">
        <v>1</v>
      </c>
      <c r="M219" s="7">
        <v>46057</v>
      </c>
      <c r="N219" s="7">
        <v>46070</v>
      </c>
      <c r="O219" s="7">
        <v>46069</v>
      </c>
      <c r="P219" s="7">
        <v>46069</v>
      </c>
      <c r="S219" s="6" t="s">
        <v>182</v>
      </c>
      <c r="U219" s="6" t="s">
        <v>464</v>
      </c>
      <c r="V219" s="6" t="str">
        <f t="shared" si="103"/>
        <v>26/02</v>
      </c>
      <c r="W219">
        <v>1523</v>
      </c>
      <c r="AB219">
        <v>649</v>
      </c>
      <c r="AD219">
        <v>596</v>
      </c>
      <c r="AI219" s="23">
        <v>0</v>
      </c>
      <c r="AJ219" s="23">
        <v>0</v>
      </c>
      <c r="AK219" s="23">
        <v>0</v>
      </c>
      <c r="AL219" s="23">
        <v>0</v>
      </c>
      <c r="AM219" s="23">
        <v>0</v>
      </c>
      <c r="AN219" s="23">
        <v>0</v>
      </c>
      <c r="AO219" s="23">
        <v>0</v>
      </c>
      <c r="AP219" s="23">
        <v>0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3">
        <v>0</v>
      </c>
      <c r="BD219" s="23">
        <v>0</v>
      </c>
      <c r="BE219" s="23">
        <v>0</v>
      </c>
      <c r="BF219" s="23">
        <v>0</v>
      </c>
      <c r="BG219" s="23">
        <v>1</v>
      </c>
      <c r="BH219" s="23">
        <v>1</v>
      </c>
      <c r="BI219" s="23">
        <v>1</v>
      </c>
      <c r="BJ219" s="23">
        <v>1</v>
      </c>
      <c r="BK219" s="23">
        <v>1</v>
      </c>
      <c r="BL219" s="23">
        <v>1</v>
      </c>
      <c r="BM219" s="23">
        <v>1</v>
      </c>
      <c r="BN219" s="23">
        <v>1</v>
      </c>
      <c r="BO219" s="23">
        <v>0</v>
      </c>
      <c r="BP219" s="23">
        <f t="shared" si="104"/>
        <v>0</v>
      </c>
      <c r="BQ219" s="23">
        <f t="shared" si="105"/>
        <v>0</v>
      </c>
      <c r="BR219" s="23">
        <f t="shared" si="106"/>
        <v>0</v>
      </c>
      <c r="BS219" s="23">
        <f t="shared" si="107"/>
        <v>0</v>
      </c>
      <c r="BT219" s="23">
        <f t="shared" si="108"/>
        <v>0</v>
      </c>
      <c r="BU219" s="23">
        <f t="shared" si="109"/>
        <v>0</v>
      </c>
      <c r="BV219" s="23">
        <f t="shared" si="110"/>
        <v>0</v>
      </c>
      <c r="BW219" s="23">
        <f t="shared" si="111"/>
        <v>0</v>
      </c>
      <c r="BX219" s="23">
        <f t="shared" si="112"/>
        <v>0</v>
      </c>
      <c r="BY219" s="23">
        <f t="shared" si="113"/>
        <v>0</v>
      </c>
      <c r="BZ219" s="23">
        <f t="shared" si="114"/>
        <v>0</v>
      </c>
      <c r="CA219" s="23">
        <f t="shared" si="115"/>
        <v>0</v>
      </c>
      <c r="CB219" s="23">
        <f t="shared" si="116"/>
        <v>0</v>
      </c>
      <c r="CC219" s="23">
        <f t="shared" si="117"/>
        <v>0</v>
      </c>
      <c r="CD219" s="23">
        <f t="shared" si="118"/>
        <v>0</v>
      </c>
      <c r="CE219" s="23">
        <f t="shared" si="119"/>
        <v>0</v>
      </c>
      <c r="CF219" s="23">
        <f t="shared" si="120"/>
        <v>0</v>
      </c>
      <c r="CG219" s="23">
        <f t="shared" si="121"/>
        <v>0</v>
      </c>
      <c r="CH219" s="23">
        <f t="shared" si="122"/>
        <v>0</v>
      </c>
      <c r="CI219" s="23">
        <f t="shared" si="123"/>
        <v>0</v>
      </c>
      <c r="CJ219" s="23">
        <f t="shared" si="124"/>
        <v>0</v>
      </c>
      <c r="CK219" s="23">
        <f t="shared" si="125"/>
        <v>0</v>
      </c>
      <c r="CL219" s="23">
        <f t="shared" si="126"/>
        <v>0</v>
      </c>
      <c r="CM219" s="23">
        <f t="shared" si="127"/>
        <v>0</v>
      </c>
      <c r="CN219" s="23">
        <f t="shared" si="128"/>
        <v>1</v>
      </c>
      <c r="CO219" s="23">
        <f t="shared" si="129"/>
        <v>1</v>
      </c>
      <c r="CP219" s="23">
        <f t="shared" si="130"/>
        <v>1</v>
      </c>
      <c r="CQ219" s="23">
        <f t="shared" si="131"/>
        <v>1</v>
      </c>
      <c r="CR219" s="23">
        <f t="shared" si="132"/>
        <v>1</v>
      </c>
      <c r="CS219" s="23">
        <f t="shared" si="133"/>
        <v>1</v>
      </c>
      <c r="CT219" s="23">
        <f t="shared" si="134"/>
        <v>1</v>
      </c>
      <c r="CU219" s="23">
        <f t="shared" si="135"/>
        <v>1</v>
      </c>
      <c r="CV219" s="23">
        <f t="shared" si="136"/>
        <v>0</v>
      </c>
    </row>
    <row r="220" spans="1:100" ht="13.5">
      <c r="A220" s="15">
        <v>181</v>
      </c>
      <c r="B220" s="38" t="s">
        <v>968</v>
      </c>
      <c r="C220" t="s">
        <v>580</v>
      </c>
      <c r="E220" t="s">
        <v>465</v>
      </c>
      <c r="F220" t="s">
        <v>581</v>
      </c>
      <c r="G220" t="s">
        <v>465</v>
      </c>
      <c r="H220" t="s">
        <v>582</v>
      </c>
      <c r="I220" s="6" t="s">
        <v>136</v>
      </c>
      <c r="J220" s="6">
        <v>0</v>
      </c>
      <c r="L220" s="15">
        <v>1</v>
      </c>
      <c r="N220" s="7">
        <v>46078</v>
      </c>
      <c r="O220" s="7">
        <v>46073</v>
      </c>
      <c r="P220" s="7">
        <v>46077</v>
      </c>
      <c r="S220" s="6" t="s">
        <v>465</v>
      </c>
      <c r="U220" s="6" t="s">
        <v>464</v>
      </c>
      <c r="V220" s="6" t="str">
        <f t="shared" si="103"/>
        <v>26/02</v>
      </c>
      <c r="W220">
        <v>1524</v>
      </c>
      <c r="AA220">
        <v>878</v>
      </c>
      <c r="AC220">
        <v>931</v>
      </c>
      <c r="AI220" s="23">
        <v>0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3">
        <v>0</v>
      </c>
      <c r="AS220" s="23">
        <v>0</v>
      </c>
      <c r="AT220" s="23">
        <v>0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3">
        <v>0</v>
      </c>
      <c r="BD220" s="23">
        <v>0</v>
      </c>
      <c r="BE220" s="23">
        <v>0</v>
      </c>
      <c r="BF220" s="23">
        <v>0</v>
      </c>
      <c r="BG220" s="23">
        <v>1</v>
      </c>
      <c r="BH220" s="23">
        <v>1</v>
      </c>
      <c r="BI220" s="23">
        <v>1</v>
      </c>
      <c r="BJ220" s="23">
        <v>1</v>
      </c>
      <c r="BK220" s="23">
        <v>1</v>
      </c>
      <c r="BL220" s="23">
        <v>1</v>
      </c>
      <c r="BM220" s="23">
        <v>1</v>
      </c>
      <c r="BN220" s="23">
        <v>1</v>
      </c>
      <c r="BO220" s="23">
        <v>1</v>
      </c>
      <c r="BP220" s="23">
        <f t="shared" si="104"/>
        <v>0</v>
      </c>
      <c r="BQ220" s="23">
        <f t="shared" si="105"/>
        <v>0</v>
      </c>
      <c r="BR220" s="23">
        <f t="shared" si="106"/>
        <v>0</v>
      </c>
      <c r="BS220" s="23">
        <f t="shared" si="107"/>
        <v>0</v>
      </c>
      <c r="BT220" s="23">
        <f t="shared" si="108"/>
        <v>0</v>
      </c>
      <c r="BU220" s="23">
        <f t="shared" si="109"/>
        <v>0</v>
      </c>
      <c r="BV220" s="23">
        <f t="shared" si="110"/>
        <v>0</v>
      </c>
      <c r="BW220" s="23">
        <f t="shared" si="111"/>
        <v>0</v>
      </c>
      <c r="BX220" s="23">
        <f t="shared" si="112"/>
        <v>0</v>
      </c>
      <c r="BY220" s="23">
        <f t="shared" si="113"/>
        <v>0</v>
      </c>
      <c r="BZ220" s="23">
        <f t="shared" si="114"/>
        <v>0</v>
      </c>
      <c r="CA220" s="23">
        <f t="shared" si="115"/>
        <v>0</v>
      </c>
      <c r="CB220" s="23">
        <f t="shared" si="116"/>
        <v>0</v>
      </c>
      <c r="CC220" s="23">
        <f t="shared" si="117"/>
        <v>0</v>
      </c>
      <c r="CD220" s="23">
        <f t="shared" si="118"/>
        <v>0</v>
      </c>
      <c r="CE220" s="23">
        <f t="shared" si="119"/>
        <v>0</v>
      </c>
      <c r="CF220" s="23">
        <f t="shared" si="120"/>
        <v>0</v>
      </c>
      <c r="CG220" s="23">
        <f t="shared" si="121"/>
        <v>0</v>
      </c>
      <c r="CH220" s="23">
        <f t="shared" si="122"/>
        <v>0</v>
      </c>
      <c r="CI220" s="23">
        <f t="shared" si="123"/>
        <v>0</v>
      </c>
      <c r="CJ220" s="23">
        <f t="shared" si="124"/>
        <v>0</v>
      </c>
      <c r="CK220" s="23">
        <f t="shared" si="125"/>
        <v>0</v>
      </c>
      <c r="CL220" s="23">
        <f t="shared" si="126"/>
        <v>0</v>
      </c>
      <c r="CM220" s="23">
        <f t="shared" si="127"/>
        <v>0</v>
      </c>
      <c r="CN220" s="23">
        <f t="shared" si="128"/>
        <v>1</v>
      </c>
      <c r="CO220" s="23">
        <f t="shared" si="129"/>
        <v>1</v>
      </c>
      <c r="CP220" s="23">
        <f t="shared" si="130"/>
        <v>1</v>
      </c>
      <c r="CQ220" s="23">
        <f t="shared" si="131"/>
        <v>1</v>
      </c>
      <c r="CR220" s="23">
        <f t="shared" si="132"/>
        <v>1</v>
      </c>
      <c r="CS220" s="23">
        <f t="shared" si="133"/>
        <v>1</v>
      </c>
      <c r="CT220" s="23">
        <f t="shared" si="134"/>
        <v>1</v>
      </c>
      <c r="CU220" s="23">
        <f t="shared" si="135"/>
        <v>1</v>
      </c>
      <c r="CV220" s="23">
        <f t="shared" si="136"/>
        <v>1</v>
      </c>
    </row>
    <row r="221" spans="1:100" ht="13.5">
      <c r="A221" s="15">
        <v>181</v>
      </c>
      <c r="B221" s="38" t="s">
        <v>969</v>
      </c>
      <c r="C221" t="s">
        <v>580</v>
      </c>
      <c r="E221" t="s">
        <v>465</v>
      </c>
      <c r="F221" t="s">
        <v>581</v>
      </c>
      <c r="G221" t="s">
        <v>465</v>
      </c>
      <c r="H221" t="s">
        <v>582</v>
      </c>
      <c r="I221" s="6" t="s">
        <v>136</v>
      </c>
      <c r="J221" s="6">
        <v>0</v>
      </c>
      <c r="L221" s="15">
        <v>1</v>
      </c>
      <c r="N221" s="7">
        <v>46078</v>
      </c>
      <c r="O221" s="7">
        <v>46073</v>
      </c>
      <c r="P221" s="7">
        <v>46077</v>
      </c>
      <c r="S221" s="6" t="s">
        <v>465</v>
      </c>
      <c r="U221" s="6" t="s">
        <v>464</v>
      </c>
      <c r="V221" s="6" t="str">
        <f t="shared" si="103"/>
        <v>26/02</v>
      </c>
      <c r="W221">
        <v>1525</v>
      </c>
      <c r="AA221">
        <v>879</v>
      </c>
      <c r="AC221">
        <v>932</v>
      </c>
      <c r="AI221" s="23">
        <v>0</v>
      </c>
      <c r="AJ221" s="23">
        <v>0</v>
      </c>
      <c r="AK221" s="23">
        <v>0</v>
      </c>
      <c r="AL221" s="23">
        <v>0</v>
      </c>
      <c r="AM221" s="23">
        <v>0</v>
      </c>
      <c r="AN221" s="23">
        <v>0</v>
      </c>
      <c r="AO221" s="23">
        <v>0</v>
      </c>
      <c r="AP221" s="23">
        <v>0</v>
      </c>
      <c r="AQ221" s="23">
        <v>0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3">
        <v>0</v>
      </c>
      <c r="BD221" s="23">
        <v>0</v>
      </c>
      <c r="BE221" s="23">
        <v>0</v>
      </c>
      <c r="BF221" s="23">
        <v>0</v>
      </c>
      <c r="BG221" s="23">
        <v>1</v>
      </c>
      <c r="BH221" s="23">
        <v>1</v>
      </c>
      <c r="BI221" s="23">
        <v>1</v>
      </c>
      <c r="BJ221" s="23">
        <v>1</v>
      </c>
      <c r="BK221" s="23">
        <v>1</v>
      </c>
      <c r="BL221" s="23">
        <v>1</v>
      </c>
      <c r="BM221" s="23">
        <v>1</v>
      </c>
      <c r="BN221" s="23">
        <v>1</v>
      </c>
      <c r="BO221" s="23">
        <v>1</v>
      </c>
      <c r="BP221" s="23">
        <f t="shared" si="104"/>
        <v>0</v>
      </c>
      <c r="BQ221" s="23">
        <f t="shared" si="105"/>
        <v>0</v>
      </c>
      <c r="BR221" s="23">
        <f t="shared" si="106"/>
        <v>0</v>
      </c>
      <c r="BS221" s="23">
        <f t="shared" si="107"/>
        <v>0</v>
      </c>
      <c r="BT221" s="23">
        <f t="shared" si="108"/>
        <v>0</v>
      </c>
      <c r="BU221" s="23">
        <f t="shared" si="109"/>
        <v>0</v>
      </c>
      <c r="BV221" s="23">
        <f t="shared" si="110"/>
        <v>0</v>
      </c>
      <c r="BW221" s="23">
        <f t="shared" si="111"/>
        <v>0</v>
      </c>
      <c r="BX221" s="23">
        <f t="shared" si="112"/>
        <v>0</v>
      </c>
      <c r="BY221" s="23">
        <f t="shared" si="113"/>
        <v>0</v>
      </c>
      <c r="BZ221" s="23">
        <f t="shared" si="114"/>
        <v>0</v>
      </c>
      <c r="CA221" s="23">
        <f t="shared" si="115"/>
        <v>0</v>
      </c>
      <c r="CB221" s="23">
        <f t="shared" si="116"/>
        <v>0</v>
      </c>
      <c r="CC221" s="23">
        <f t="shared" si="117"/>
        <v>0</v>
      </c>
      <c r="CD221" s="23">
        <f t="shared" si="118"/>
        <v>0</v>
      </c>
      <c r="CE221" s="23">
        <f t="shared" si="119"/>
        <v>0</v>
      </c>
      <c r="CF221" s="23">
        <f t="shared" si="120"/>
        <v>0</v>
      </c>
      <c r="CG221" s="23">
        <f t="shared" si="121"/>
        <v>0</v>
      </c>
      <c r="CH221" s="23">
        <f t="shared" si="122"/>
        <v>0</v>
      </c>
      <c r="CI221" s="23">
        <f t="shared" si="123"/>
        <v>0</v>
      </c>
      <c r="CJ221" s="23">
        <f t="shared" si="124"/>
        <v>0</v>
      </c>
      <c r="CK221" s="23">
        <f t="shared" si="125"/>
        <v>0</v>
      </c>
      <c r="CL221" s="23">
        <f t="shared" si="126"/>
        <v>0</v>
      </c>
      <c r="CM221" s="23">
        <f t="shared" si="127"/>
        <v>0</v>
      </c>
      <c r="CN221" s="23">
        <f t="shared" si="128"/>
        <v>1</v>
      </c>
      <c r="CO221" s="23">
        <f t="shared" si="129"/>
        <v>1</v>
      </c>
      <c r="CP221" s="23">
        <f t="shared" si="130"/>
        <v>1</v>
      </c>
      <c r="CQ221" s="23">
        <f t="shared" si="131"/>
        <v>1</v>
      </c>
      <c r="CR221" s="23">
        <f t="shared" si="132"/>
        <v>1</v>
      </c>
      <c r="CS221" s="23">
        <f t="shared" si="133"/>
        <v>1</v>
      </c>
      <c r="CT221" s="23">
        <f t="shared" si="134"/>
        <v>1</v>
      </c>
      <c r="CU221" s="23">
        <f t="shared" si="135"/>
        <v>1</v>
      </c>
      <c r="CV221" s="23">
        <f t="shared" si="136"/>
        <v>1</v>
      </c>
    </row>
    <row r="222" spans="1:100" ht="13.5">
      <c r="A222" s="15">
        <v>181</v>
      </c>
      <c r="B222" s="38" t="s">
        <v>970</v>
      </c>
      <c r="C222" t="s">
        <v>580</v>
      </c>
      <c r="E222" t="s">
        <v>465</v>
      </c>
      <c r="F222" t="s">
        <v>581</v>
      </c>
      <c r="G222" t="s">
        <v>465</v>
      </c>
      <c r="H222" t="s">
        <v>582</v>
      </c>
      <c r="I222" s="6" t="s">
        <v>136</v>
      </c>
      <c r="J222" s="6">
        <v>0</v>
      </c>
      <c r="L222" s="15">
        <v>1</v>
      </c>
      <c r="N222" s="7">
        <v>46079</v>
      </c>
      <c r="O222" s="7">
        <v>46073</v>
      </c>
      <c r="P222" s="7">
        <v>46077</v>
      </c>
      <c r="S222" s="6" t="s">
        <v>465</v>
      </c>
      <c r="U222" s="6" t="s">
        <v>464</v>
      </c>
      <c r="V222" s="6" t="str">
        <f t="shared" si="103"/>
        <v>26/02</v>
      </c>
      <c r="W222">
        <v>1526</v>
      </c>
      <c r="AA222">
        <v>880</v>
      </c>
      <c r="AC222">
        <v>933</v>
      </c>
      <c r="AI222" s="23">
        <v>0</v>
      </c>
      <c r="AJ222" s="23">
        <v>0</v>
      </c>
      <c r="AK222" s="23">
        <v>0</v>
      </c>
      <c r="AL222" s="23">
        <v>0</v>
      </c>
      <c r="AM222" s="23">
        <v>0</v>
      </c>
      <c r="AN222" s="23">
        <v>0</v>
      </c>
      <c r="AO222" s="23">
        <v>0</v>
      </c>
      <c r="AP222" s="23">
        <v>0</v>
      </c>
      <c r="AQ222" s="23">
        <v>0</v>
      </c>
      <c r="AR222" s="23">
        <v>0</v>
      </c>
      <c r="AS222" s="23">
        <v>0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3">
        <v>0</v>
      </c>
      <c r="BD222" s="23">
        <v>0</v>
      </c>
      <c r="BE222" s="23">
        <v>0</v>
      </c>
      <c r="BF222" s="23">
        <v>0</v>
      </c>
      <c r="BG222" s="23">
        <v>1</v>
      </c>
      <c r="BH222" s="23">
        <v>1</v>
      </c>
      <c r="BI222" s="23">
        <v>1</v>
      </c>
      <c r="BJ222" s="23">
        <v>1</v>
      </c>
      <c r="BK222" s="23">
        <v>1</v>
      </c>
      <c r="BL222" s="23">
        <v>1</v>
      </c>
      <c r="BM222" s="23">
        <v>1</v>
      </c>
      <c r="BN222" s="23">
        <v>1</v>
      </c>
      <c r="BO222" s="23">
        <v>1</v>
      </c>
      <c r="BP222" s="23">
        <f t="shared" si="104"/>
        <v>0</v>
      </c>
      <c r="BQ222" s="23">
        <f t="shared" si="105"/>
        <v>0</v>
      </c>
      <c r="BR222" s="23">
        <f t="shared" si="106"/>
        <v>0</v>
      </c>
      <c r="BS222" s="23">
        <f t="shared" si="107"/>
        <v>0</v>
      </c>
      <c r="BT222" s="23">
        <f t="shared" si="108"/>
        <v>0</v>
      </c>
      <c r="BU222" s="23">
        <f t="shared" si="109"/>
        <v>0</v>
      </c>
      <c r="BV222" s="23">
        <f t="shared" si="110"/>
        <v>0</v>
      </c>
      <c r="BW222" s="23">
        <f t="shared" si="111"/>
        <v>0</v>
      </c>
      <c r="BX222" s="23">
        <f t="shared" si="112"/>
        <v>0</v>
      </c>
      <c r="BY222" s="23">
        <f t="shared" si="113"/>
        <v>0</v>
      </c>
      <c r="BZ222" s="23">
        <f t="shared" si="114"/>
        <v>0</v>
      </c>
      <c r="CA222" s="23">
        <f t="shared" si="115"/>
        <v>0</v>
      </c>
      <c r="CB222" s="23">
        <f t="shared" si="116"/>
        <v>0</v>
      </c>
      <c r="CC222" s="23">
        <f t="shared" si="117"/>
        <v>0</v>
      </c>
      <c r="CD222" s="23">
        <f t="shared" si="118"/>
        <v>0</v>
      </c>
      <c r="CE222" s="23">
        <f t="shared" si="119"/>
        <v>0</v>
      </c>
      <c r="CF222" s="23">
        <f t="shared" si="120"/>
        <v>0</v>
      </c>
      <c r="CG222" s="23">
        <f t="shared" si="121"/>
        <v>0</v>
      </c>
      <c r="CH222" s="23">
        <f t="shared" si="122"/>
        <v>0</v>
      </c>
      <c r="CI222" s="23">
        <f t="shared" si="123"/>
        <v>0</v>
      </c>
      <c r="CJ222" s="23">
        <f t="shared" si="124"/>
        <v>0</v>
      </c>
      <c r="CK222" s="23">
        <f t="shared" si="125"/>
        <v>0</v>
      </c>
      <c r="CL222" s="23">
        <f t="shared" si="126"/>
        <v>0</v>
      </c>
      <c r="CM222" s="23">
        <f t="shared" si="127"/>
        <v>0</v>
      </c>
      <c r="CN222" s="23">
        <f t="shared" si="128"/>
        <v>1</v>
      </c>
      <c r="CO222" s="23">
        <f t="shared" si="129"/>
        <v>1</v>
      </c>
      <c r="CP222" s="23">
        <f t="shared" si="130"/>
        <v>1</v>
      </c>
      <c r="CQ222" s="23">
        <f t="shared" si="131"/>
        <v>1</v>
      </c>
      <c r="CR222" s="23">
        <f t="shared" si="132"/>
        <v>1</v>
      </c>
      <c r="CS222" s="23">
        <f t="shared" si="133"/>
        <v>1</v>
      </c>
      <c r="CT222" s="23">
        <f t="shared" si="134"/>
        <v>1</v>
      </c>
      <c r="CU222" s="23">
        <f t="shared" si="135"/>
        <v>1</v>
      </c>
      <c r="CV222" s="23">
        <f t="shared" si="136"/>
        <v>1</v>
      </c>
    </row>
    <row r="223" spans="1:100" ht="13.5">
      <c r="A223" s="15">
        <v>181</v>
      </c>
      <c r="B223" s="38" t="s">
        <v>971</v>
      </c>
      <c r="C223" t="s">
        <v>580</v>
      </c>
      <c r="E223" t="s">
        <v>465</v>
      </c>
      <c r="F223" t="s">
        <v>581</v>
      </c>
      <c r="G223" t="s">
        <v>465</v>
      </c>
      <c r="H223" t="s">
        <v>582</v>
      </c>
      <c r="I223" s="6" t="s">
        <v>136</v>
      </c>
      <c r="J223" s="6">
        <v>0</v>
      </c>
      <c r="L223" s="15">
        <v>1</v>
      </c>
      <c r="N223" s="7">
        <v>46080</v>
      </c>
      <c r="O223" s="7">
        <v>46073</v>
      </c>
      <c r="P223" s="7">
        <v>46077</v>
      </c>
      <c r="S223" s="6" t="s">
        <v>465</v>
      </c>
      <c r="U223" s="6" t="s">
        <v>464</v>
      </c>
      <c r="V223" s="6" t="str">
        <f t="shared" si="103"/>
        <v>26/02</v>
      </c>
      <c r="W223">
        <v>1527</v>
      </c>
      <c r="AA223">
        <v>881</v>
      </c>
      <c r="AC223">
        <v>934</v>
      </c>
      <c r="AI223" s="23">
        <v>0</v>
      </c>
      <c r="AJ223" s="23">
        <v>0</v>
      </c>
      <c r="AK223" s="23">
        <v>0</v>
      </c>
      <c r="AL223" s="23">
        <v>0</v>
      </c>
      <c r="AM223" s="23">
        <v>0</v>
      </c>
      <c r="AN223" s="23">
        <v>0</v>
      </c>
      <c r="AO223" s="23">
        <v>0</v>
      </c>
      <c r="AP223" s="23">
        <v>0</v>
      </c>
      <c r="AQ223" s="23">
        <v>0</v>
      </c>
      <c r="AR223" s="23">
        <v>0</v>
      </c>
      <c r="AS223" s="23">
        <v>0</v>
      </c>
      <c r="AT223" s="23">
        <v>0</v>
      </c>
      <c r="AU223" s="23">
        <v>0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3">
        <v>0</v>
      </c>
      <c r="BD223" s="23">
        <v>0</v>
      </c>
      <c r="BE223" s="23">
        <v>0</v>
      </c>
      <c r="BF223" s="23">
        <v>0</v>
      </c>
      <c r="BG223" s="23">
        <v>1</v>
      </c>
      <c r="BH223" s="23">
        <v>1</v>
      </c>
      <c r="BI223" s="23">
        <v>1</v>
      </c>
      <c r="BJ223" s="23">
        <v>1</v>
      </c>
      <c r="BK223" s="23">
        <v>1</v>
      </c>
      <c r="BL223" s="23">
        <v>1</v>
      </c>
      <c r="BM223" s="23">
        <v>1</v>
      </c>
      <c r="BN223" s="23">
        <v>1</v>
      </c>
      <c r="BO223" s="23">
        <v>1</v>
      </c>
      <c r="BP223" s="23">
        <f t="shared" si="104"/>
        <v>0</v>
      </c>
      <c r="BQ223" s="23">
        <f t="shared" si="105"/>
        <v>0</v>
      </c>
      <c r="BR223" s="23">
        <f t="shared" si="106"/>
        <v>0</v>
      </c>
      <c r="BS223" s="23">
        <f t="shared" si="107"/>
        <v>0</v>
      </c>
      <c r="BT223" s="23">
        <f t="shared" si="108"/>
        <v>0</v>
      </c>
      <c r="BU223" s="23">
        <f t="shared" si="109"/>
        <v>0</v>
      </c>
      <c r="BV223" s="23">
        <f t="shared" si="110"/>
        <v>0</v>
      </c>
      <c r="BW223" s="23">
        <f t="shared" si="111"/>
        <v>0</v>
      </c>
      <c r="BX223" s="23">
        <f t="shared" si="112"/>
        <v>0</v>
      </c>
      <c r="BY223" s="23">
        <f t="shared" si="113"/>
        <v>0</v>
      </c>
      <c r="BZ223" s="23">
        <f t="shared" si="114"/>
        <v>0</v>
      </c>
      <c r="CA223" s="23">
        <f t="shared" si="115"/>
        <v>0</v>
      </c>
      <c r="CB223" s="23">
        <f t="shared" si="116"/>
        <v>0</v>
      </c>
      <c r="CC223" s="23">
        <f t="shared" si="117"/>
        <v>0</v>
      </c>
      <c r="CD223" s="23">
        <f t="shared" si="118"/>
        <v>0</v>
      </c>
      <c r="CE223" s="23">
        <f t="shared" si="119"/>
        <v>0</v>
      </c>
      <c r="CF223" s="23">
        <f t="shared" si="120"/>
        <v>0</v>
      </c>
      <c r="CG223" s="23">
        <f t="shared" si="121"/>
        <v>0</v>
      </c>
      <c r="CH223" s="23">
        <f t="shared" si="122"/>
        <v>0</v>
      </c>
      <c r="CI223" s="23">
        <f t="shared" si="123"/>
        <v>0</v>
      </c>
      <c r="CJ223" s="23">
        <f t="shared" si="124"/>
        <v>0</v>
      </c>
      <c r="CK223" s="23">
        <f t="shared" si="125"/>
        <v>0</v>
      </c>
      <c r="CL223" s="23">
        <f t="shared" si="126"/>
        <v>0</v>
      </c>
      <c r="CM223" s="23">
        <f t="shared" si="127"/>
        <v>0</v>
      </c>
      <c r="CN223" s="23">
        <f t="shared" si="128"/>
        <v>1</v>
      </c>
      <c r="CO223" s="23">
        <f t="shared" si="129"/>
        <v>1</v>
      </c>
      <c r="CP223" s="23">
        <f t="shared" si="130"/>
        <v>1</v>
      </c>
      <c r="CQ223" s="23">
        <f t="shared" si="131"/>
        <v>1</v>
      </c>
      <c r="CR223" s="23">
        <f t="shared" si="132"/>
        <v>1</v>
      </c>
      <c r="CS223" s="23">
        <f t="shared" si="133"/>
        <v>1</v>
      </c>
      <c r="CT223" s="23">
        <f t="shared" si="134"/>
        <v>1</v>
      </c>
      <c r="CU223" s="23">
        <f t="shared" si="135"/>
        <v>1</v>
      </c>
      <c r="CV223" s="23">
        <f t="shared" si="136"/>
        <v>1</v>
      </c>
    </row>
    <row r="224" spans="1:100" ht="13.5">
      <c r="A224" s="15">
        <v>181</v>
      </c>
      <c r="B224" s="38" t="s">
        <v>972</v>
      </c>
      <c r="C224" t="s">
        <v>580</v>
      </c>
      <c r="E224" t="s">
        <v>465</v>
      </c>
      <c r="F224" t="s">
        <v>581</v>
      </c>
      <c r="G224" t="s">
        <v>465</v>
      </c>
      <c r="H224" t="s">
        <v>582</v>
      </c>
      <c r="I224" s="6" t="s">
        <v>136</v>
      </c>
      <c r="J224" s="6">
        <v>0</v>
      </c>
      <c r="L224" s="15">
        <v>1</v>
      </c>
      <c r="N224" s="7">
        <v>46083</v>
      </c>
      <c r="O224" s="7">
        <v>46073</v>
      </c>
      <c r="P224" s="7">
        <v>46077</v>
      </c>
      <c r="S224" s="6" t="s">
        <v>465</v>
      </c>
      <c r="U224" s="6" t="s">
        <v>464</v>
      </c>
      <c r="V224" s="6" t="str">
        <f t="shared" si="103"/>
        <v>26/03</v>
      </c>
      <c r="W224">
        <v>1528</v>
      </c>
      <c r="AA224">
        <v>882</v>
      </c>
      <c r="AC224">
        <v>935</v>
      </c>
      <c r="AI224" s="23">
        <v>0</v>
      </c>
      <c r="AJ224" s="23">
        <v>0</v>
      </c>
      <c r="AK224" s="23">
        <v>0</v>
      </c>
      <c r="AL224" s="23">
        <v>0</v>
      </c>
      <c r="AM224" s="23">
        <v>0</v>
      </c>
      <c r="AN224" s="23">
        <v>0</v>
      </c>
      <c r="AO224" s="23">
        <v>0</v>
      </c>
      <c r="AP224" s="23">
        <v>0</v>
      </c>
      <c r="AQ224" s="23">
        <v>0</v>
      </c>
      <c r="AR224" s="23">
        <v>0</v>
      </c>
      <c r="AS224" s="23">
        <v>0</v>
      </c>
      <c r="AT224" s="23">
        <v>0</v>
      </c>
      <c r="AU224" s="23">
        <v>0</v>
      </c>
      <c r="AV224" s="23">
        <v>0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3">
        <v>0</v>
      </c>
      <c r="BD224" s="23">
        <v>0</v>
      </c>
      <c r="BE224" s="23">
        <v>0</v>
      </c>
      <c r="BF224" s="23">
        <v>0</v>
      </c>
      <c r="BG224" s="23">
        <v>1</v>
      </c>
      <c r="BH224" s="23">
        <v>1</v>
      </c>
      <c r="BI224" s="23">
        <v>1</v>
      </c>
      <c r="BJ224" s="23">
        <v>1</v>
      </c>
      <c r="BK224" s="23">
        <v>1</v>
      </c>
      <c r="BL224" s="23">
        <v>1</v>
      </c>
      <c r="BM224" s="23">
        <v>1</v>
      </c>
      <c r="BN224" s="23">
        <v>1</v>
      </c>
      <c r="BO224" s="23">
        <v>1</v>
      </c>
      <c r="BP224" s="23">
        <f t="shared" si="104"/>
        <v>0</v>
      </c>
      <c r="BQ224" s="23">
        <f t="shared" si="105"/>
        <v>0</v>
      </c>
      <c r="BR224" s="23">
        <f t="shared" si="106"/>
        <v>0</v>
      </c>
      <c r="BS224" s="23">
        <f t="shared" si="107"/>
        <v>0</v>
      </c>
      <c r="BT224" s="23">
        <f t="shared" si="108"/>
        <v>0</v>
      </c>
      <c r="BU224" s="23">
        <f t="shared" si="109"/>
        <v>0</v>
      </c>
      <c r="BV224" s="23">
        <f t="shared" si="110"/>
        <v>0</v>
      </c>
      <c r="BW224" s="23">
        <f t="shared" si="111"/>
        <v>0</v>
      </c>
      <c r="BX224" s="23">
        <f t="shared" si="112"/>
        <v>0</v>
      </c>
      <c r="BY224" s="23">
        <f t="shared" si="113"/>
        <v>0</v>
      </c>
      <c r="BZ224" s="23">
        <f t="shared" si="114"/>
        <v>0</v>
      </c>
      <c r="CA224" s="23">
        <f t="shared" si="115"/>
        <v>0</v>
      </c>
      <c r="CB224" s="23">
        <f t="shared" si="116"/>
        <v>0</v>
      </c>
      <c r="CC224" s="23">
        <f t="shared" si="117"/>
        <v>0</v>
      </c>
      <c r="CD224" s="23">
        <f t="shared" si="118"/>
        <v>0</v>
      </c>
      <c r="CE224" s="23">
        <f t="shared" si="119"/>
        <v>0</v>
      </c>
      <c r="CF224" s="23">
        <f t="shared" si="120"/>
        <v>0</v>
      </c>
      <c r="CG224" s="23">
        <f t="shared" si="121"/>
        <v>0</v>
      </c>
      <c r="CH224" s="23">
        <f t="shared" si="122"/>
        <v>0</v>
      </c>
      <c r="CI224" s="23">
        <f t="shared" si="123"/>
        <v>0</v>
      </c>
      <c r="CJ224" s="23">
        <f t="shared" si="124"/>
        <v>0</v>
      </c>
      <c r="CK224" s="23">
        <f t="shared" si="125"/>
        <v>0</v>
      </c>
      <c r="CL224" s="23">
        <f t="shared" si="126"/>
        <v>0</v>
      </c>
      <c r="CM224" s="23">
        <f t="shared" si="127"/>
        <v>0</v>
      </c>
      <c r="CN224" s="23">
        <f t="shared" si="128"/>
        <v>1</v>
      </c>
      <c r="CO224" s="23">
        <f t="shared" si="129"/>
        <v>1</v>
      </c>
      <c r="CP224" s="23">
        <f t="shared" si="130"/>
        <v>1</v>
      </c>
      <c r="CQ224" s="23">
        <f t="shared" si="131"/>
        <v>1</v>
      </c>
      <c r="CR224" s="23">
        <f t="shared" si="132"/>
        <v>1</v>
      </c>
      <c r="CS224" s="23">
        <f t="shared" si="133"/>
        <v>1</v>
      </c>
      <c r="CT224" s="23">
        <f t="shared" si="134"/>
        <v>1</v>
      </c>
      <c r="CU224" s="23">
        <f t="shared" si="135"/>
        <v>1</v>
      </c>
      <c r="CV224" s="23">
        <f t="shared" si="136"/>
        <v>1</v>
      </c>
    </row>
    <row r="225" spans="1:100" ht="13.5">
      <c r="A225" s="15">
        <v>181</v>
      </c>
      <c r="B225" s="38" t="s">
        <v>973</v>
      </c>
      <c r="C225" t="s">
        <v>580</v>
      </c>
      <c r="E225" t="s">
        <v>465</v>
      </c>
      <c r="F225" t="s">
        <v>581</v>
      </c>
      <c r="G225" t="s">
        <v>465</v>
      </c>
      <c r="H225" t="s">
        <v>582</v>
      </c>
      <c r="I225" s="6" t="s">
        <v>136</v>
      </c>
      <c r="J225" s="6">
        <v>0</v>
      </c>
      <c r="L225" s="15">
        <v>1</v>
      </c>
      <c r="N225" s="7">
        <v>46084</v>
      </c>
      <c r="O225" s="7">
        <v>46073</v>
      </c>
      <c r="P225" s="7">
        <v>46077</v>
      </c>
      <c r="S225" s="6" t="s">
        <v>465</v>
      </c>
      <c r="U225" s="6" t="s">
        <v>464</v>
      </c>
      <c r="V225" s="6" t="str">
        <f t="shared" si="103"/>
        <v>26/03</v>
      </c>
      <c r="W225">
        <v>1529</v>
      </c>
      <c r="AA225">
        <v>883</v>
      </c>
      <c r="AC225">
        <v>936</v>
      </c>
      <c r="AI225" s="23">
        <v>0</v>
      </c>
      <c r="AJ225" s="23">
        <v>0</v>
      </c>
      <c r="AK225" s="23">
        <v>0</v>
      </c>
      <c r="AL225" s="23">
        <v>0</v>
      </c>
      <c r="AM225" s="23">
        <v>0</v>
      </c>
      <c r="AN225" s="23">
        <v>0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0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3">
        <v>0</v>
      </c>
      <c r="BD225" s="23">
        <v>0</v>
      </c>
      <c r="BE225" s="23">
        <v>0</v>
      </c>
      <c r="BF225" s="23">
        <v>0</v>
      </c>
      <c r="BG225" s="23">
        <v>1</v>
      </c>
      <c r="BH225" s="23">
        <v>1</v>
      </c>
      <c r="BI225" s="23">
        <v>1</v>
      </c>
      <c r="BJ225" s="23">
        <v>1</v>
      </c>
      <c r="BK225" s="23">
        <v>1</v>
      </c>
      <c r="BL225" s="23">
        <v>1</v>
      </c>
      <c r="BM225" s="23">
        <v>1</v>
      </c>
      <c r="BN225" s="23">
        <v>1</v>
      </c>
      <c r="BO225" s="23">
        <v>1</v>
      </c>
      <c r="BP225" s="23">
        <f t="shared" si="104"/>
        <v>0</v>
      </c>
      <c r="BQ225" s="23">
        <f t="shared" si="105"/>
        <v>0</v>
      </c>
      <c r="BR225" s="23">
        <f t="shared" si="106"/>
        <v>0</v>
      </c>
      <c r="BS225" s="23">
        <f t="shared" si="107"/>
        <v>0</v>
      </c>
      <c r="BT225" s="23">
        <f t="shared" si="108"/>
        <v>0</v>
      </c>
      <c r="BU225" s="23">
        <f t="shared" si="109"/>
        <v>0</v>
      </c>
      <c r="BV225" s="23">
        <f t="shared" si="110"/>
        <v>0</v>
      </c>
      <c r="BW225" s="23">
        <f t="shared" si="111"/>
        <v>0</v>
      </c>
      <c r="BX225" s="23">
        <f t="shared" si="112"/>
        <v>0</v>
      </c>
      <c r="BY225" s="23">
        <f t="shared" si="113"/>
        <v>0</v>
      </c>
      <c r="BZ225" s="23">
        <f t="shared" si="114"/>
        <v>0</v>
      </c>
      <c r="CA225" s="23">
        <f t="shared" si="115"/>
        <v>0</v>
      </c>
      <c r="CB225" s="23">
        <f t="shared" si="116"/>
        <v>0</v>
      </c>
      <c r="CC225" s="23">
        <f t="shared" si="117"/>
        <v>0</v>
      </c>
      <c r="CD225" s="23">
        <f t="shared" si="118"/>
        <v>0</v>
      </c>
      <c r="CE225" s="23">
        <f t="shared" si="119"/>
        <v>0</v>
      </c>
      <c r="CF225" s="23">
        <f t="shared" si="120"/>
        <v>0</v>
      </c>
      <c r="CG225" s="23">
        <f t="shared" si="121"/>
        <v>0</v>
      </c>
      <c r="CH225" s="23">
        <f t="shared" si="122"/>
        <v>0</v>
      </c>
      <c r="CI225" s="23">
        <f t="shared" si="123"/>
        <v>0</v>
      </c>
      <c r="CJ225" s="23">
        <f t="shared" si="124"/>
        <v>0</v>
      </c>
      <c r="CK225" s="23">
        <f t="shared" si="125"/>
        <v>0</v>
      </c>
      <c r="CL225" s="23">
        <f t="shared" si="126"/>
        <v>0</v>
      </c>
      <c r="CM225" s="23">
        <f t="shared" si="127"/>
        <v>0</v>
      </c>
      <c r="CN225" s="23">
        <f t="shared" si="128"/>
        <v>1</v>
      </c>
      <c r="CO225" s="23">
        <f t="shared" si="129"/>
        <v>1</v>
      </c>
      <c r="CP225" s="23">
        <f t="shared" si="130"/>
        <v>1</v>
      </c>
      <c r="CQ225" s="23">
        <f t="shared" si="131"/>
        <v>1</v>
      </c>
      <c r="CR225" s="23">
        <f t="shared" si="132"/>
        <v>1</v>
      </c>
      <c r="CS225" s="23">
        <f t="shared" si="133"/>
        <v>1</v>
      </c>
      <c r="CT225" s="23">
        <f t="shared" si="134"/>
        <v>1</v>
      </c>
      <c r="CU225" s="23">
        <f t="shared" si="135"/>
        <v>1</v>
      </c>
      <c r="CV225" s="23">
        <f t="shared" si="136"/>
        <v>1</v>
      </c>
    </row>
    <row r="226" spans="1:100" ht="13.5">
      <c r="A226" s="15">
        <v>202</v>
      </c>
      <c r="B226" s="38" t="s">
        <v>974</v>
      </c>
      <c r="C226" t="s">
        <v>580</v>
      </c>
      <c r="E226" t="s">
        <v>465</v>
      </c>
      <c r="F226" t="s">
        <v>581</v>
      </c>
      <c r="G226" t="s">
        <v>465</v>
      </c>
      <c r="H226" t="s">
        <v>582</v>
      </c>
      <c r="I226" s="6" t="s">
        <v>136</v>
      </c>
      <c r="J226" s="6">
        <v>0</v>
      </c>
      <c r="L226" s="15">
        <v>1</v>
      </c>
      <c r="N226" s="7">
        <v>46104</v>
      </c>
      <c r="O226" s="7">
        <v>46099</v>
      </c>
      <c r="P226" s="7">
        <v>46100</v>
      </c>
      <c r="S226" s="6" t="s">
        <v>465</v>
      </c>
      <c r="U226" s="6" t="s">
        <v>464</v>
      </c>
      <c r="V226" s="6" t="str">
        <f t="shared" si="103"/>
        <v>26/03</v>
      </c>
      <c r="W226">
        <v>1530</v>
      </c>
      <c r="AA226">
        <v>884</v>
      </c>
      <c r="AC226">
        <v>937</v>
      </c>
      <c r="AI226" s="23">
        <v>0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3">
        <v>0</v>
      </c>
      <c r="AS226" s="23">
        <v>0</v>
      </c>
      <c r="AT226" s="23">
        <v>0</v>
      </c>
      <c r="AU226" s="23">
        <v>0</v>
      </c>
      <c r="AV226" s="23">
        <v>0</v>
      </c>
      <c r="AW226" s="23">
        <v>0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3">
        <v>0</v>
      </c>
      <c r="BD226" s="23">
        <v>0</v>
      </c>
      <c r="BE226" s="23">
        <v>0</v>
      </c>
      <c r="BF226" s="23">
        <v>0</v>
      </c>
      <c r="BG226" s="23">
        <v>1</v>
      </c>
      <c r="BH226" s="23">
        <v>1</v>
      </c>
      <c r="BI226" s="23">
        <v>1</v>
      </c>
      <c r="BJ226" s="23">
        <v>1</v>
      </c>
      <c r="BK226" s="23">
        <v>1</v>
      </c>
      <c r="BL226" s="23">
        <v>1</v>
      </c>
      <c r="BM226" s="23">
        <v>1</v>
      </c>
      <c r="BN226" s="23">
        <v>1</v>
      </c>
      <c r="BO226" s="23">
        <v>1</v>
      </c>
      <c r="BP226" s="23">
        <f t="shared" si="104"/>
        <v>0</v>
      </c>
      <c r="BQ226" s="23">
        <f t="shared" si="105"/>
        <v>0</v>
      </c>
      <c r="BR226" s="23">
        <f t="shared" si="106"/>
        <v>0</v>
      </c>
      <c r="BS226" s="23">
        <f t="shared" si="107"/>
        <v>0</v>
      </c>
      <c r="BT226" s="23">
        <f t="shared" si="108"/>
        <v>0</v>
      </c>
      <c r="BU226" s="23">
        <f t="shared" si="109"/>
        <v>0</v>
      </c>
      <c r="BV226" s="23">
        <f t="shared" si="110"/>
        <v>0</v>
      </c>
      <c r="BW226" s="23">
        <f t="shared" si="111"/>
        <v>0</v>
      </c>
      <c r="BX226" s="23">
        <f t="shared" si="112"/>
        <v>0</v>
      </c>
      <c r="BY226" s="23">
        <f t="shared" si="113"/>
        <v>0</v>
      </c>
      <c r="BZ226" s="23">
        <f t="shared" si="114"/>
        <v>0</v>
      </c>
      <c r="CA226" s="23">
        <f t="shared" si="115"/>
        <v>0</v>
      </c>
      <c r="CB226" s="23">
        <f t="shared" si="116"/>
        <v>0</v>
      </c>
      <c r="CC226" s="23">
        <f t="shared" si="117"/>
        <v>0</v>
      </c>
      <c r="CD226" s="23">
        <f t="shared" si="118"/>
        <v>0</v>
      </c>
      <c r="CE226" s="23">
        <f t="shared" si="119"/>
        <v>0</v>
      </c>
      <c r="CF226" s="23">
        <f t="shared" si="120"/>
        <v>0</v>
      </c>
      <c r="CG226" s="23">
        <f t="shared" si="121"/>
        <v>0</v>
      </c>
      <c r="CH226" s="23">
        <f t="shared" si="122"/>
        <v>0</v>
      </c>
      <c r="CI226" s="23">
        <f t="shared" si="123"/>
        <v>0</v>
      </c>
      <c r="CJ226" s="23">
        <f t="shared" si="124"/>
        <v>0</v>
      </c>
      <c r="CK226" s="23">
        <f t="shared" si="125"/>
        <v>0</v>
      </c>
      <c r="CL226" s="23">
        <f t="shared" si="126"/>
        <v>0</v>
      </c>
      <c r="CM226" s="23">
        <f t="shared" si="127"/>
        <v>0</v>
      </c>
      <c r="CN226" s="23">
        <f t="shared" si="128"/>
        <v>1</v>
      </c>
      <c r="CO226" s="23">
        <f t="shared" si="129"/>
        <v>1</v>
      </c>
      <c r="CP226" s="23">
        <f t="shared" si="130"/>
        <v>1</v>
      </c>
      <c r="CQ226" s="23">
        <f t="shared" si="131"/>
        <v>1</v>
      </c>
      <c r="CR226" s="23">
        <f t="shared" si="132"/>
        <v>1</v>
      </c>
      <c r="CS226" s="23">
        <f t="shared" si="133"/>
        <v>1</v>
      </c>
      <c r="CT226" s="23">
        <f t="shared" si="134"/>
        <v>1</v>
      </c>
      <c r="CU226" s="23">
        <f t="shared" si="135"/>
        <v>1</v>
      </c>
      <c r="CV226" s="23">
        <f t="shared" si="136"/>
        <v>1</v>
      </c>
    </row>
    <row r="227" spans="1:100" ht="13.5">
      <c r="A227" s="15">
        <v>202</v>
      </c>
      <c r="B227" s="38" t="s">
        <v>975</v>
      </c>
      <c r="C227" t="s">
        <v>580</v>
      </c>
      <c r="E227" t="s">
        <v>465</v>
      </c>
      <c r="F227" t="s">
        <v>581</v>
      </c>
      <c r="G227" t="s">
        <v>465</v>
      </c>
      <c r="H227" t="s">
        <v>582</v>
      </c>
      <c r="I227" s="6" t="s">
        <v>136</v>
      </c>
      <c r="J227" s="6">
        <v>0</v>
      </c>
      <c r="L227" s="15">
        <v>1</v>
      </c>
      <c r="N227" s="7">
        <v>46104</v>
      </c>
      <c r="O227" s="7">
        <v>46099</v>
      </c>
      <c r="P227" s="7">
        <v>46100</v>
      </c>
      <c r="S227" s="6" t="s">
        <v>465</v>
      </c>
      <c r="U227" s="6" t="s">
        <v>464</v>
      </c>
      <c r="V227" s="6" t="str">
        <f t="shared" si="103"/>
        <v>26/03</v>
      </c>
      <c r="W227">
        <v>1531</v>
      </c>
      <c r="AA227">
        <v>885</v>
      </c>
      <c r="AC227">
        <v>938</v>
      </c>
      <c r="AI227" s="23">
        <v>0</v>
      </c>
      <c r="AJ227" s="23">
        <v>0</v>
      </c>
      <c r="AK227" s="23">
        <v>0</v>
      </c>
      <c r="AL227" s="23">
        <v>0</v>
      </c>
      <c r="AM227" s="23">
        <v>0</v>
      </c>
      <c r="AN227" s="23">
        <v>0</v>
      </c>
      <c r="AO227" s="23">
        <v>0</v>
      </c>
      <c r="AP227" s="23">
        <v>0</v>
      </c>
      <c r="AQ227" s="23">
        <v>0</v>
      </c>
      <c r="AR227" s="23">
        <v>0</v>
      </c>
      <c r="AS227" s="23">
        <v>0</v>
      </c>
      <c r="AT227" s="23">
        <v>0</v>
      </c>
      <c r="AU227" s="23">
        <v>0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3">
        <v>0</v>
      </c>
      <c r="BD227" s="23">
        <v>0</v>
      </c>
      <c r="BE227" s="23">
        <v>0</v>
      </c>
      <c r="BF227" s="23">
        <v>0</v>
      </c>
      <c r="BG227" s="23">
        <v>1</v>
      </c>
      <c r="BH227" s="23">
        <v>1</v>
      </c>
      <c r="BI227" s="23">
        <v>1</v>
      </c>
      <c r="BJ227" s="23">
        <v>1</v>
      </c>
      <c r="BK227" s="23">
        <v>1</v>
      </c>
      <c r="BL227" s="23">
        <v>1</v>
      </c>
      <c r="BM227" s="23">
        <v>1</v>
      </c>
      <c r="BN227" s="23">
        <v>1</v>
      </c>
      <c r="BO227" s="23">
        <v>1</v>
      </c>
      <c r="BP227" s="23">
        <f t="shared" si="104"/>
        <v>0</v>
      </c>
      <c r="BQ227" s="23">
        <f t="shared" si="105"/>
        <v>0</v>
      </c>
      <c r="BR227" s="23">
        <f t="shared" si="106"/>
        <v>0</v>
      </c>
      <c r="BS227" s="23">
        <f t="shared" si="107"/>
        <v>0</v>
      </c>
      <c r="BT227" s="23">
        <f t="shared" si="108"/>
        <v>0</v>
      </c>
      <c r="BU227" s="23">
        <f t="shared" si="109"/>
        <v>0</v>
      </c>
      <c r="BV227" s="23">
        <f t="shared" si="110"/>
        <v>0</v>
      </c>
      <c r="BW227" s="23">
        <f t="shared" si="111"/>
        <v>0</v>
      </c>
      <c r="BX227" s="23">
        <f t="shared" si="112"/>
        <v>0</v>
      </c>
      <c r="BY227" s="23">
        <f t="shared" si="113"/>
        <v>0</v>
      </c>
      <c r="BZ227" s="23">
        <f t="shared" si="114"/>
        <v>0</v>
      </c>
      <c r="CA227" s="23">
        <f t="shared" si="115"/>
        <v>0</v>
      </c>
      <c r="CB227" s="23">
        <f t="shared" si="116"/>
        <v>0</v>
      </c>
      <c r="CC227" s="23">
        <f t="shared" si="117"/>
        <v>0</v>
      </c>
      <c r="CD227" s="23">
        <f t="shared" si="118"/>
        <v>0</v>
      </c>
      <c r="CE227" s="23">
        <f t="shared" si="119"/>
        <v>0</v>
      </c>
      <c r="CF227" s="23">
        <f t="shared" si="120"/>
        <v>0</v>
      </c>
      <c r="CG227" s="23">
        <f t="shared" si="121"/>
        <v>0</v>
      </c>
      <c r="CH227" s="23">
        <f t="shared" si="122"/>
        <v>0</v>
      </c>
      <c r="CI227" s="23">
        <f t="shared" si="123"/>
        <v>0</v>
      </c>
      <c r="CJ227" s="23">
        <f t="shared" si="124"/>
        <v>0</v>
      </c>
      <c r="CK227" s="23">
        <f t="shared" si="125"/>
        <v>0</v>
      </c>
      <c r="CL227" s="23">
        <f t="shared" si="126"/>
        <v>0</v>
      </c>
      <c r="CM227" s="23">
        <f t="shared" si="127"/>
        <v>0</v>
      </c>
      <c r="CN227" s="23">
        <f t="shared" si="128"/>
        <v>1</v>
      </c>
      <c r="CO227" s="23">
        <f t="shared" si="129"/>
        <v>1</v>
      </c>
      <c r="CP227" s="23">
        <f t="shared" si="130"/>
        <v>1</v>
      </c>
      <c r="CQ227" s="23">
        <f t="shared" si="131"/>
        <v>1</v>
      </c>
      <c r="CR227" s="23">
        <f t="shared" si="132"/>
        <v>1</v>
      </c>
      <c r="CS227" s="23">
        <f t="shared" si="133"/>
        <v>1</v>
      </c>
      <c r="CT227" s="23">
        <f t="shared" si="134"/>
        <v>1</v>
      </c>
      <c r="CU227" s="23">
        <f t="shared" si="135"/>
        <v>1</v>
      </c>
      <c r="CV227" s="23">
        <f t="shared" si="136"/>
        <v>1</v>
      </c>
    </row>
    <row r="228" spans="1:100" ht="13.5">
      <c r="A228" s="15">
        <v>202</v>
      </c>
      <c r="B228" s="38" t="s">
        <v>976</v>
      </c>
      <c r="C228" t="s">
        <v>580</v>
      </c>
      <c r="E228" t="s">
        <v>465</v>
      </c>
      <c r="F228" t="s">
        <v>581</v>
      </c>
      <c r="G228" t="s">
        <v>465</v>
      </c>
      <c r="H228" t="s">
        <v>582</v>
      </c>
      <c r="I228" s="6" t="s">
        <v>136</v>
      </c>
      <c r="J228" s="6">
        <v>0</v>
      </c>
      <c r="L228" s="15">
        <v>1</v>
      </c>
      <c r="N228" s="7">
        <v>46104</v>
      </c>
      <c r="O228" s="7">
        <v>46099</v>
      </c>
      <c r="P228" s="7">
        <v>46100</v>
      </c>
      <c r="S228" s="6" t="s">
        <v>465</v>
      </c>
      <c r="U228" s="6" t="s">
        <v>464</v>
      </c>
      <c r="V228" s="6" t="str">
        <f t="shared" si="103"/>
        <v>26/03</v>
      </c>
      <c r="W228">
        <v>1532</v>
      </c>
      <c r="AA228">
        <v>886</v>
      </c>
      <c r="AC228">
        <v>939</v>
      </c>
      <c r="AI228" s="23">
        <v>0</v>
      </c>
      <c r="AJ228" s="23">
        <v>0</v>
      </c>
      <c r="AK228" s="23">
        <v>0</v>
      </c>
      <c r="AL228" s="23">
        <v>0</v>
      </c>
      <c r="AM228" s="23">
        <v>0</v>
      </c>
      <c r="AN228" s="23">
        <v>0</v>
      </c>
      <c r="AO228" s="23">
        <v>0</v>
      </c>
      <c r="AP228" s="23">
        <v>0</v>
      </c>
      <c r="AQ228" s="23">
        <v>0</v>
      </c>
      <c r="AR228" s="23">
        <v>0</v>
      </c>
      <c r="AS228" s="23">
        <v>0</v>
      </c>
      <c r="AT228" s="23">
        <v>0</v>
      </c>
      <c r="AU228" s="23">
        <v>0</v>
      </c>
      <c r="AV228" s="23">
        <v>0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3">
        <v>0</v>
      </c>
      <c r="BD228" s="23">
        <v>0</v>
      </c>
      <c r="BE228" s="23">
        <v>0</v>
      </c>
      <c r="BF228" s="23">
        <v>0</v>
      </c>
      <c r="BG228" s="23">
        <v>1</v>
      </c>
      <c r="BH228" s="23">
        <v>1</v>
      </c>
      <c r="BI228" s="23">
        <v>1</v>
      </c>
      <c r="BJ228" s="23">
        <v>1</v>
      </c>
      <c r="BK228" s="23">
        <v>1</v>
      </c>
      <c r="BL228" s="23">
        <v>1</v>
      </c>
      <c r="BM228" s="23">
        <v>1</v>
      </c>
      <c r="BN228" s="23">
        <v>1</v>
      </c>
      <c r="BO228" s="23">
        <v>1</v>
      </c>
      <c r="BP228" s="23">
        <f t="shared" si="104"/>
        <v>0</v>
      </c>
      <c r="BQ228" s="23">
        <f t="shared" si="105"/>
        <v>0</v>
      </c>
      <c r="BR228" s="23">
        <f t="shared" si="106"/>
        <v>0</v>
      </c>
      <c r="BS228" s="23">
        <f t="shared" si="107"/>
        <v>0</v>
      </c>
      <c r="BT228" s="23">
        <f t="shared" si="108"/>
        <v>0</v>
      </c>
      <c r="BU228" s="23">
        <f t="shared" si="109"/>
        <v>0</v>
      </c>
      <c r="BV228" s="23">
        <f t="shared" si="110"/>
        <v>0</v>
      </c>
      <c r="BW228" s="23">
        <f t="shared" si="111"/>
        <v>0</v>
      </c>
      <c r="BX228" s="23">
        <f t="shared" si="112"/>
        <v>0</v>
      </c>
      <c r="BY228" s="23">
        <f t="shared" si="113"/>
        <v>0</v>
      </c>
      <c r="BZ228" s="23">
        <f t="shared" si="114"/>
        <v>0</v>
      </c>
      <c r="CA228" s="23">
        <f t="shared" si="115"/>
        <v>0</v>
      </c>
      <c r="CB228" s="23">
        <f t="shared" si="116"/>
        <v>0</v>
      </c>
      <c r="CC228" s="23">
        <f t="shared" si="117"/>
        <v>0</v>
      </c>
      <c r="CD228" s="23">
        <f t="shared" si="118"/>
        <v>0</v>
      </c>
      <c r="CE228" s="23">
        <f t="shared" si="119"/>
        <v>0</v>
      </c>
      <c r="CF228" s="23">
        <f t="shared" si="120"/>
        <v>0</v>
      </c>
      <c r="CG228" s="23">
        <f t="shared" si="121"/>
        <v>0</v>
      </c>
      <c r="CH228" s="23">
        <f t="shared" si="122"/>
        <v>0</v>
      </c>
      <c r="CI228" s="23">
        <f t="shared" si="123"/>
        <v>0</v>
      </c>
      <c r="CJ228" s="23">
        <f t="shared" si="124"/>
        <v>0</v>
      </c>
      <c r="CK228" s="23">
        <f t="shared" si="125"/>
        <v>0</v>
      </c>
      <c r="CL228" s="23">
        <f t="shared" si="126"/>
        <v>0</v>
      </c>
      <c r="CM228" s="23">
        <f t="shared" si="127"/>
        <v>0</v>
      </c>
      <c r="CN228" s="23">
        <f t="shared" si="128"/>
        <v>1</v>
      </c>
      <c r="CO228" s="23">
        <f t="shared" si="129"/>
        <v>1</v>
      </c>
      <c r="CP228" s="23">
        <f t="shared" si="130"/>
        <v>1</v>
      </c>
      <c r="CQ228" s="23">
        <f t="shared" si="131"/>
        <v>1</v>
      </c>
      <c r="CR228" s="23">
        <f t="shared" si="132"/>
        <v>1</v>
      </c>
      <c r="CS228" s="23">
        <f t="shared" si="133"/>
        <v>1</v>
      </c>
      <c r="CT228" s="23">
        <f t="shared" si="134"/>
        <v>1</v>
      </c>
      <c r="CU228" s="23">
        <f t="shared" si="135"/>
        <v>1</v>
      </c>
      <c r="CV228" s="23">
        <f t="shared" si="136"/>
        <v>1</v>
      </c>
    </row>
    <row r="229" spans="1:100" ht="13.5">
      <c r="A229" s="15">
        <v>202</v>
      </c>
      <c r="B229" s="38" t="s">
        <v>977</v>
      </c>
      <c r="C229" t="s">
        <v>580</v>
      </c>
      <c r="E229" t="s">
        <v>465</v>
      </c>
      <c r="F229" t="s">
        <v>581</v>
      </c>
      <c r="G229" t="s">
        <v>465</v>
      </c>
      <c r="H229" t="s">
        <v>582</v>
      </c>
      <c r="I229" s="6" t="s">
        <v>136</v>
      </c>
      <c r="J229" s="6">
        <v>0</v>
      </c>
      <c r="L229" s="15">
        <v>1</v>
      </c>
      <c r="N229" s="7">
        <v>46105</v>
      </c>
      <c r="O229" s="7">
        <v>46099</v>
      </c>
      <c r="P229" s="7">
        <v>46100</v>
      </c>
      <c r="S229" s="6" t="s">
        <v>465</v>
      </c>
      <c r="U229" s="6" t="s">
        <v>464</v>
      </c>
      <c r="V229" s="6" t="str">
        <f t="shared" si="103"/>
        <v>26/03</v>
      </c>
      <c r="W229">
        <v>1533</v>
      </c>
      <c r="AA229">
        <v>887</v>
      </c>
      <c r="AC229">
        <v>940</v>
      </c>
      <c r="AI229" s="23">
        <v>0</v>
      </c>
      <c r="AJ229" s="23">
        <v>0</v>
      </c>
      <c r="AK229" s="23">
        <v>0</v>
      </c>
      <c r="AL229" s="23">
        <v>0</v>
      </c>
      <c r="AM229" s="23">
        <v>0</v>
      </c>
      <c r="AN229" s="23">
        <v>0</v>
      </c>
      <c r="AO229" s="23">
        <v>0</v>
      </c>
      <c r="AP229" s="23">
        <v>0</v>
      </c>
      <c r="AQ229" s="23">
        <v>0</v>
      </c>
      <c r="AR229" s="23">
        <v>0</v>
      </c>
      <c r="AS229" s="23">
        <v>0</v>
      </c>
      <c r="AT229" s="23">
        <v>0</v>
      </c>
      <c r="AU229" s="23">
        <v>0</v>
      </c>
      <c r="AV229" s="23">
        <v>0</v>
      </c>
      <c r="AW229" s="23">
        <v>0</v>
      </c>
      <c r="AX229" s="23">
        <v>0</v>
      </c>
      <c r="AY229" s="23">
        <v>0</v>
      </c>
      <c r="AZ229" s="23">
        <v>0</v>
      </c>
      <c r="BA229" s="23">
        <v>0</v>
      </c>
      <c r="BB229" s="23">
        <v>0</v>
      </c>
      <c r="BC229" s="23">
        <v>0</v>
      </c>
      <c r="BD229" s="23">
        <v>0</v>
      </c>
      <c r="BE229" s="23">
        <v>0</v>
      </c>
      <c r="BF229" s="23">
        <v>0</v>
      </c>
      <c r="BG229" s="23">
        <v>1</v>
      </c>
      <c r="BH229" s="23">
        <v>1</v>
      </c>
      <c r="BI229" s="23">
        <v>1</v>
      </c>
      <c r="BJ229" s="23">
        <v>1</v>
      </c>
      <c r="BK229" s="23">
        <v>1</v>
      </c>
      <c r="BL229" s="23">
        <v>1</v>
      </c>
      <c r="BM229" s="23">
        <v>1</v>
      </c>
      <c r="BN229" s="23">
        <v>1</v>
      </c>
      <c r="BO229" s="23">
        <v>1</v>
      </c>
      <c r="BP229" s="23">
        <f t="shared" si="104"/>
        <v>0</v>
      </c>
      <c r="BQ229" s="23">
        <f t="shared" si="105"/>
        <v>0</v>
      </c>
      <c r="BR229" s="23">
        <f t="shared" si="106"/>
        <v>0</v>
      </c>
      <c r="BS229" s="23">
        <f t="shared" si="107"/>
        <v>0</v>
      </c>
      <c r="BT229" s="23">
        <f t="shared" si="108"/>
        <v>0</v>
      </c>
      <c r="BU229" s="23">
        <f t="shared" si="109"/>
        <v>0</v>
      </c>
      <c r="BV229" s="23">
        <f t="shared" si="110"/>
        <v>0</v>
      </c>
      <c r="BW229" s="23">
        <f t="shared" si="111"/>
        <v>0</v>
      </c>
      <c r="BX229" s="23">
        <f t="shared" si="112"/>
        <v>0</v>
      </c>
      <c r="BY229" s="23">
        <f t="shared" si="113"/>
        <v>0</v>
      </c>
      <c r="BZ229" s="23">
        <f t="shared" si="114"/>
        <v>0</v>
      </c>
      <c r="CA229" s="23">
        <f t="shared" si="115"/>
        <v>0</v>
      </c>
      <c r="CB229" s="23">
        <f t="shared" si="116"/>
        <v>0</v>
      </c>
      <c r="CC229" s="23">
        <f t="shared" si="117"/>
        <v>0</v>
      </c>
      <c r="CD229" s="23">
        <f t="shared" si="118"/>
        <v>0</v>
      </c>
      <c r="CE229" s="23">
        <f t="shared" si="119"/>
        <v>0</v>
      </c>
      <c r="CF229" s="23">
        <f t="shared" si="120"/>
        <v>0</v>
      </c>
      <c r="CG229" s="23">
        <f t="shared" si="121"/>
        <v>0</v>
      </c>
      <c r="CH229" s="23">
        <f t="shared" si="122"/>
        <v>0</v>
      </c>
      <c r="CI229" s="23">
        <f t="shared" si="123"/>
        <v>0</v>
      </c>
      <c r="CJ229" s="23">
        <f t="shared" si="124"/>
        <v>0</v>
      </c>
      <c r="CK229" s="23">
        <f t="shared" si="125"/>
        <v>0</v>
      </c>
      <c r="CL229" s="23">
        <f t="shared" si="126"/>
        <v>0</v>
      </c>
      <c r="CM229" s="23">
        <f t="shared" si="127"/>
        <v>0</v>
      </c>
      <c r="CN229" s="23">
        <f t="shared" si="128"/>
        <v>1</v>
      </c>
      <c r="CO229" s="23">
        <f t="shared" si="129"/>
        <v>1</v>
      </c>
      <c r="CP229" s="23">
        <f t="shared" si="130"/>
        <v>1</v>
      </c>
      <c r="CQ229" s="23">
        <f t="shared" si="131"/>
        <v>1</v>
      </c>
      <c r="CR229" s="23">
        <f t="shared" si="132"/>
        <v>1</v>
      </c>
      <c r="CS229" s="23">
        <f t="shared" si="133"/>
        <v>1</v>
      </c>
      <c r="CT229" s="23">
        <f t="shared" si="134"/>
        <v>1</v>
      </c>
      <c r="CU229" s="23">
        <f t="shared" si="135"/>
        <v>1</v>
      </c>
      <c r="CV229" s="23">
        <f t="shared" si="136"/>
        <v>1</v>
      </c>
    </row>
    <row r="230" spans="1:100" ht="13.5">
      <c r="A230" s="15">
        <v>202</v>
      </c>
      <c r="B230" s="38" t="s">
        <v>978</v>
      </c>
      <c r="C230" t="s">
        <v>580</v>
      </c>
      <c r="E230" t="s">
        <v>465</v>
      </c>
      <c r="F230" t="s">
        <v>581</v>
      </c>
      <c r="G230" t="s">
        <v>465</v>
      </c>
      <c r="H230" t="s">
        <v>582</v>
      </c>
      <c r="I230" s="6" t="s">
        <v>136</v>
      </c>
      <c r="J230" s="6">
        <v>0</v>
      </c>
      <c r="L230" s="15">
        <v>1</v>
      </c>
      <c r="N230" s="7">
        <v>46105</v>
      </c>
      <c r="O230" s="7">
        <v>46099</v>
      </c>
      <c r="P230" s="7">
        <v>46100</v>
      </c>
      <c r="S230" s="6" t="s">
        <v>465</v>
      </c>
      <c r="U230" s="6" t="s">
        <v>464</v>
      </c>
      <c r="V230" s="6" t="str">
        <f t="shared" si="103"/>
        <v>26/03</v>
      </c>
      <c r="W230">
        <v>1534</v>
      </c>
      <c r="AA230">
        <v>888</v>
      </c>
      <c r="AC230">
        <v>941</v>
      </c>
      <c r="AI230" s="23">
        <v>0</v>
      </c>
      <c r="AJ230" s="23">
        <v>0</v>
      </c>
      <c r="AK230" s="23">
        <v>0</v>
      </c>
      <c r="AL230" s="23">
        <v>0</v>
      </c>
      <c r="AM230" s="23">
        <v>0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0</v>
      </c>
      <c r="AU230" s="23">
        <v>0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3">
        <v>0</v>
      </c>
      <c r="BD230" s="23">
        <v>0</v>
      </c>
      <c r="BE230" s="23">
        <v>0</v>
      </c>
      <c r="BF230" s="23">
        <v>0</v>
      </c>
      <c r="BG230" s="23">
        <v>1</v>
      </c>
      <c r="BH230" s="23">
        <v>1</v>
      </c>
      <c r="BI230" s="23">
        <v>1</v>
      </c>
      <c r="BJ230" s="23">
        <v>1</v>
      </c>
      <c r="BK230" s="23">
        <v>1</v>
      </c>
      <c r="BL230" s="23">
        <v>1</v>
      </c>
      <c r="BM230" s="23">
        <v>1</v>
      </c>
      <c r="BN230" s="23">
        <v>1</v>
      </c>
      <c r="BO230" s="23">
        <v>1</v>
      </c>
      <c r="BP230" s="23">
        <f t="shared" si="104"/>
        <v>0</v>
      </c>
      <c r="BQ230" s="23">
        <f t="shared" si="105"/>
        <v>0</v>
      </c>
      <c r="BR230" s="23">
        <f t="shared" si="106"/>
        <v>0</v>
      </c>
      <c r="BS230" s="23">
        <f t="shared" si="107"/>
        <v>0</v>
      </c>
      <c r="BT230" s="23">
        <f t="shared" si="108"/>
        <v>0</v>
      </c>
      <c r="BU230" s="23">
        <f t="shared" si="109"/>
        <v>0</v>
      </c>
      <c r="BV230" s="23">
        <f t="shared" si="110"/>
        <v>0</v>
      </c>
      <c r="BW230" s="23">
        <f t="shared" si="111"/>
        <v>0</v>
      </c>
      <c r="BX230" s="23">
        <f t="shared" si="112"/>
        <v>0</v>
      </c>
      <c r="BY230" s="23">
        <f t="shared" si="113"/>
        <v>0</v>
      </c>
      <c r="BZ230" s="23">
        <f t="shared" si="114"/>
        <v>0</v>
      </c>
      <c r="CA230" s="23">
        <f t="shared" si="115"/>
        <v>0</v>
      </c>
      <c r="CB230" s="23">
        <f t="shared" si="116"/>
        <v>0</v>
      </c>
      <c r="CC230" s="23">
        <f t="shared" si="117"/>
        <v>0</v>
      </c>
      <c r="CD230" s="23">
        <f t="shared" si="118"/>
        <v>0</v>
      </c>
      <c r="CE230" s="23">
        <f t="shared" si="119"/>
        <v>0</v>
      </c>
      <c r="CF230" s="23">
        <f t="shared" si="120"/>
        <v>0</v>
      </c>
      <c r="CG230" s="23">
        <f t="shared" si="121"/>
        <v>0</v>
      </c>
      <c r="CH230" s="23">
        <f t="shared" si="122"/>
        <v>0</v>
      </c>
      <c r="CI230" s="23">
        <f t="shared" si="123"/>
        <v>0</v>
      </c>
      <c r="CJ230" s="23">
        <f t="shared" si="124"/>
        <v>0</v>
      </c>
      <c r="CK230" s="23">
        <f t="shared" si="125"/>
        <v>0</v>
      </c>
      <c r="CL230" s="23">
        <f t="shared" si="126"/>
        <v>0</v>
      </c>
      <c r="CM230" s="23">
        <f t="shared" si="127"/>
        <v>0</v>
      </c>
      <c r="CN230" s="23">
        <f t="shared" si="128"/>
        <v>1</v>
      </c>
      <c r="CO230" s="23">
        <f t="shared" si="129"/>
        <v>1</v>
      </c>
      <c r="CP230" s="23">
        <f t="shared" si="130"/>
        <v>1</v>
      </c>
      <c r="CQ230" s="23">
        <f t="shared" si="131"/>
        <v>1</v>
      </c>
      <c r="CR230" s="23">
        <f t="shared" si="132"/>
        <v>1</v>
      </c>
      <c r="CS230" s="23">
        <f t="shared" si="133"/>
        <v>1</v>
      </c>
      <c r="CT230" s="23">
        <f t="shared" si="134"/>
        <v>1</v>
      </c>
      <c r="CU230" s="23">
        <f t="shared" si="135"/>
        <v>1</v>
      </c>
      <c r="CV230" s="23">
        <f t="shared" si="136"/>
        <v>1</v>
      </c>
    </row>
    <row r="231" spans="1:100" ht="13.5">
      <c r="A231" s="15">
        <v>202</v>
      </c>
      <c r="B231" s="38" t="s">
        <v>979</v>
      </c>
      <c r="C231" t="s">
        <v>580</v>
      </c>
      <c r="E231" t="s">
        <v>465</v>
      </c>
      <c r="F231" t="s">
        <v>581</v>
      </c>
      <c r="G231" t="s">
        <v>465</v>
      </c>
      <c r="H231" t="s">
        <v>582</v>
      </c>
      <c r="I231" s="6" t="s">
        <v>136</v>
      </c>
      <c r="J231" s="6">
        <v>0</v>
      </c>
      <c r="L231" s="15">
        <v>1</v>
      </c>
      <c r="N231" s="7">
        <v>46105</v>
      </c>
      <c r="O231" s="7">
        <v>46099</v>
      </c>
      <c r="P231" s="7">
        <v>46100</v>
      </c>
      <c r="S231" s="6" t="s">
        <v>465</v>
      </c>
      <c r="U231" s="6" t="s">
        <v>464</v>
      </c>
      <c r="V231" s="6" t="str">
        <f t="shared" si="103"/>
        <v>26/03</v>
      </c>
      <c r="W231">
        <v>1535</v>
      </c>
      <c r="AA231">
        <v>889</v>
      </c>
      <c r="AC231">
        <v>942</v>
      </c>
      <c r="AI231" s="23">
        <v>0</v>
      </c>
      <c r="AJ231" s="23">
        <v>0</v>
      </c>
      <c r="AK231" s="23">
        <v>0</v>
      </c>
      <c r="AL231" s="23">
        <v>0</v>
      </c>
      <c r="AM231" s="23">
        <v>0</v>
      </c>
      <c r="AN231" s="23">
        <v>0</v>
      </c>
      <c r="AO231" s="23">
        <v>0</v>
      </c>
      <c r="AP231" s="23">
        <v>0</v>
      </c>
      <c r="AQ231" s="23">
        <v>0</v>
      </c>
      <c r="AR231" s="23">
        <v>0</v>
      </c>
      <c r="AS231" s="23">
        <v>0</v>
      </c>
      <c r="AT231" s="23">
        <v>0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3">
        <v>0</v>
      </c>
      <c r="BD231" s="23">
        <v>0</v>
      </c>
      <c r="BE231" s="23">
        <v>0</v>
      </c>
      <c r="BF231" s="23">
        <v>0</v>
      </c>
      <c r="BG231" s="23">
        <v>1</v>
      </c>
      <c r="BH231" s="23">
        <v>1</v>
      </c>
      <c r="BI231" s="23">
        <v>1</v>
      </c>
      <c r="BJ231" s="23">
        <v>1</v>
      </c>
      <c r="BK231" s="23">
        <v>1</v>
      </c>
      <c r="BL231" s="23">
        <v>1</v>
      </c>
      <c r="BM231" s="23">
        <v>1</v>
      </c>
      <c r="BN231" s="23">
        <v>1</v>
      </c>
      <c r="BO231" s="23">
        <v>1</v>
      </c>
      <c r="BP231" s="23">
        <f t="shared" si="104"/>
        <v>0</v>
      </c>
      <c r="BQ231" s="23">
        <f t="shared" si="105"/>
        <v>0</v>
      </c>
      <c r="BR231" s="23">
        <f t="shared" si="106"/>
        <v>0</v>
      </c>
      <c r="BS231" s="23">
        <f t="shared" si="107"/>
        <v>0</v>
      </c>
      <c r="BT231" s="23">
        <f t="shared" si="108"/>
        <v>0</v>
      </c>
      <c r="BU231" s="23">
        <f t="shared" si="109"/>
        <v>0</v>
      </c>
      <c r="BV231" s="23">
        <f t="shared" si="110"/>
        <v>0</v>
      </c>
      <c r="BW231" s="23">
        <f t="shared" si="111"/>
        <v>0</v>
      </c>
      <c r="BX231" s="23">
        <f t="shared" si="112"/>
        <v>0</v>
      </c>
      <c r="BY231" s="23">
        <f t="shared" si="113"/>
        <v>0</v>
      </c>
      <c r="BZ231" s="23">
        <f t="shared" si="114"/>
        <v>0</v>
      </c>
      <c r="CA231" s="23">
        <f t="shared" si="115"/>
        <v>0</v>
      </c>
      <c r="CB231" s="23">
        <f t="shared" si="116"/>
        <v>0</v>
      </c>
      <c r="CC231" s="23">
        <f t="shared" si="117"/>
        <v>0</v>
      </c>
      <c r="CD231" s="23">
        <f t="shared" si="118"/>
        <v>0</v>
      </c>
      <c r="CE231" s="23">
        <f t="shared" si="119"/>
        <v>0</v>
      </c>
      <c r="CF231" s="23">
        <f t="shared" si="120"/>
        <v>0</v>
      </c>
      <c r="CG231" s="23">
        <f t="shared" si="121"/>
        <v>0</v>
      </c>
      <c r="CH231" s="23">
        <f t="shared" si="122"/>
        <v>0</v>
      </c>
      <c r="CI231" s="23">
        <f t="shared" si="123"/>
        <v>0</v>
      </c>
      <c r="CJ231" s="23">
        <f t="shared" si="124"/>
        <v>0</v>
      </c>
      <c r="CK231" s="23">
        <f t="shared" si="125"/>
        <v>0</v>
      </c>
      <c r="CL231" s="23">
        <f t="shared" si="126"/>
        <v>0</v>
      </c>
      <c r="CM231" s="23">
        <f t="shared" si="127"/>
        <v>0</v>
      </c>
      <c r="CN231" s="23">
        <f t="shared" si="128"/>
        <v>1</v>
      </c>
      <c r="CO231" s="23">
        <f t="shared" si="129"/>
        <v>1</v>
      </c>
      <c r="CP231" s="23">
        <f t="shared" si="130"/>
        <v>1</v>
      </c>
      <c r="CQ231" s="23">
        <f t="shared" si="131"/>
        <v>1</v>
      </c>
      <c r="CR231" s="23">
        <f t="shared" si="132"/>
        <v>1</v>
      </c>
      <c r="CS231" s="23">
        <f t="shared" si="133"/>
        <v>1</v>
      </c>
      <c r="CT231" s="23">
        <f t="shared" si="134"/>
        <v>1</v>
      </c>
      <c r="CU231" s="23">
        <f t="shared" si="135"/>
        <v>1</v>
      </c>
      <c r="CV231" s="23">
        <f t="shared" si="136"/>
        <v>1</v>
      </c>
    </row>
    <row r="232" spans="1:100" ht="13.5">
      <c r="A232" s="15">
        <v>202</v>
      </c>
      <c r="B232" s="38" t="s">
        <v>980</v>
      </c>
      <c r="C232" t="s">
        <v>580</v>
      </c>
      <c r="E232" t="s">
        <v>465</v>
      </c>
      <c r="F232" t="s">
        <v>581</v>
      </c>
      <c r="G232" t="s">
        <v>465</v>
      </c>
      <c r="H232" t="s">
        <v>582</v>
      </c>
      <c r="I232" s="6" t="s">
        <v>136</v>
      </c>
      <c r="J232" s="6">
        <v>0</v>
      </c>
      <c r="L232" s="15">
        <v>1</v>
      </c>
      <c r="N232" s="7">
        <v>46106</v>
      </c>
      <c r="O232" s="7">
        <v>46099</v>
      </c>
      <c r="P232" s="7">
        <v>46100</v>
      </c>
      <c r="S232" s="6" t="s">
        <v>465</v>
      </c>
      <c r="U232" s="6" t="s">
        <v>464</v>
      </c>
      <c r="V232" s="6" t="str">
        <f t="shared" si="103"/>
        <v>26/03</v>
      </c>
      <c r="W232">
        <v>1536</v>
      </c>
      <c r="AA232">
        <v>890</v>
      </c>
      <c r="AC232">
        <v>943</v>
      </c>
      <c r="AI232" s="23">
        <v>0</v>
      </c>
      <c r="AJ232" s="23">
        <v>0</v>
      </c>
      <c r="AK232" s="23">
        <v>0</v>
      </c>
      <c r="AL232" s="23">
        <v>0</v>
      </c>
      <c r="AM232" s="23">
        <v>0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3">
        <v>0</v>
      </c>
      <c r="BD232" s="23">
        <v>0</v>
      </c>
      <c r="BE232" s="23">
        <v>0</v>
      </c>
      <c r="BF232" s="23">
        <v>0</v>
      </c>
      <c r="BG232" s="23">
        <v>1</v>
      </c>
      <c r="BH232" s="23">
        <v>1</v>
      </c>
      <c r="BI232" s="23">
        <v>1</v>
      </c>
      <c r="BJ232" s="23">
        <v>1</v>
      </c>
      <c r="BK232" s="23">
        <v>1</v>
      </c>
      <c r="BL232" s="23">
        <v>1</v>
      </c>
      <c r="BM232" s="23">
        <v>1</v>
      </c>
      <c r="BN232" s="23">
        <v>1</v>
      </c>
      <c r="BO232" s="23">
        <v>1</v>
      </c>
      <c r="BP232" s="23">
        <f t="shared" si="104"/>
        <v>0</v>
      </c>
      <c r="BQ232" s="23">
        <f t="shared" si="105"/>
        <v>0</v>
      </c>
      <c r="BR232" s="23">
        <f t="shared" si="106"/>
        <v>0</v>
      </c>
      <c r="BS232" s="23">
        <f t="shared" si="107"/>
        <v>0</v>
      </c>
      <c r="BT232" s="23">
        <f t="shared" si="108"/>
        <v>0</v>
      </c>
      <c r="BU232" s="23">
        <f t="shared" si="109"/>
        <v>0</v>
      </c>
      <c r="BV232" s="23">
        <f t="shared" si="110"/>
        <v>0</v>
      </c>
      <c r="BW232" s="23">
        <f t="shared" si="111"/>
        <v>0</v>
      </c>
      <c r="BX232" s="23">
        <f t="shared" si="112"/>
        <v>0</v>
      </c>
      <c r="BY232" s="23">
        <f t="shared" si="113"/>
        <v>0</v>
      </c>
      <c r="BZ232" s="23">
        <f t="shared" si="114"/>
        <v>0</v>
      </c>
      <c r="CA232" s="23">
        <f t="shared" si="115"/>
        <v>0</v>
      </c>
      <c r="CB232" s="23">
        <f t="shared" si="116"/>
        <v>0</v>
      </c>
      <c r="CC232" s="23">
        <f t="shared" si="117"/>
        <v>0</v>
      </c>
      <c r="CD232" s="23">
        <f t="shared" si="118"/>
        <v>0</v>
      </c>
      <c r="CE232" s="23">
        <f t="shared" si="119"/>
        <v>0</v>
      </c>
      <c r="CF232" s="23">
        <f t="shared" si="120"/>
        <v>0</v>
      </c>
      <c r="CG232" s="23">
        <f t="shared" si="121"/>
        <v>0</v>
      </c>
      <c r="CH232" s="23">
        <f t="shared" si="122"/>
        <v>0</v>
      </c>
      <c r="CI232" s="23">
        <f t="shared" si="123"/>
        <v>0</v>
      </c>
      <c r="CJ232" s="23">
        <f t="shared" si="124"/>
        <v>0</v>
      </c>
      <c r="CK232" s="23">
        <f t="shared" si="125"/>
        <v>0</v>
      </c>
      <c r="CL232" s="23">
        <f t="shared" si="126"/>
        <v>0</v>
      </c>
      <c r="CM232" s="23">
        <f t="shared" si="127"/>
        <v>0</v>
      </c>
      <c r="CN232" s="23">
        <f t="shared" si="128"/>
        <v>1</v>
      </c>
      <c r="CO232" s="23">
        <f t="shared" si="129"/>
        <v>1</v>
      </c>
      <c r="CP232" s="23">
        <f t="shared" si="130"/>
        <v>1</v>
      </c>
      <c r="CQ232" s="23">
        <f t="shared" si="131"/>
        <v>1</v>
      </c>
      <c r="CR232" s="23">
        <f t="shared" si="132"/>
        <v>1</v>
      </c>
      <c r="CS232" s="23">
        <f t="shared" si="133"/>
        <v>1</v>
      </c>
      <c r="CT232" s="23">
        <f t="shared" si="134"/>
        <v>1</v>
      </c>
      <c r="CU232" s="23">
        <f t="shared" si="135"/>
        <v>1</v>
      </c>
      <c r="CV232" s="23">
        <f t="shared" si="136"/>
        <v>1</v>
      </c>
    </row>
    <row r="233" spans="1:100" ht="13.5">
      <c r="A233" s="15">
        <v>202</v>
      </c>
      <c r="B233" s="38" t="s">
        <v>981</v>
      </c>
      <c r="C233" t="s">
        <v>580</v>
      </c>
      <c r="E233" t="s">
        <v>465</v>
      </c>
      <c r="F233" t="s">
        <v>581</v>
      </c>
      <c r="G233" t="s">
        <v>465</v>
      </c>
      <c r="H233" t="s">
        <v>582</v>
      </c>
      <c r="I233" s="6" t="s">
        <v>136</v>
      </c>
      <c r="J233" s="6">
        <v>0</v>
      </c>
      <c r="L233" s="15">
        <v>1</v>
      </c>
      <c r="N233" s="7">
        <v>46106</v>
      </c>
      <c r="O233" s="7">
        <v>46099</v>
      </c>
      <c r="P233" s="7">
        <v>46100</v>
      </c>
      <c r="S233" s="6" t="s">
        <v>465</v>
      </c>
      <c r="U233" s="6" t="s">
        <v>464</v>
      </c>
      <c r="V233" s="6" t="str">
        <f t="shared" si="103"/>
        <v>26/03</v>
      </c>
      <c r="W233">
        <v>1537</v>
      </c>
      <c r="AA233">
        <v>891</v>
      </c>
      <c r="AC233">
        <v>944</v>
      </c>
      <c r="AI233" s="23">
        <v>0</v>
      </c>
      <c r="AJ233" s="23">
        <v>0</v>
      </c>
      <c r="AK233" s="23">
        <v>0</v>
      </c>
      <c r="AL233" s="23">
        <v>0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0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3">
        <v>0</v>
      </c>
      <c r="BD233" s="23">
        <v>0</v>
      </c>
      <c r="BE233" s="23">
        <v>0</v>
      </c>
      <c r="BF233" s="23">
        <v>0</v>
      </c>
      <c r="BG233" s="23">
        <v>1</v>
      </c>
      <c r="BH233" s="23">
        <v>1</v>
      </c>
      <c r="BI233" s="23">
        <v>1</v>
      </c>
      <c r="BJ233" s="23">
        <v>1</v>
      </c>
      <c r="BK233" s="23">
        <v>1</v>
      </c>
      <c r="BL233" s="23">
        <v>1</v>
      </c>
      <c r="BM233" s="23">
        <v>1</v>
      </c>
      <c r="BN233" s="23">
        <v>1</v>
      </c>
      <c r="BO233" s="23">
        <v>1</v>
      </c>
      <c r="BP233" s="23">
        <f t="shared" si="104"/>
        <v>0</v>
      </c>
      <c r="BQ233" s="23">
        <f t="shared" si="105"/>
        <v>0</v>
      </c>
      <c r="BR233" s="23">
        <f t="shared" si="106"/>
        <v>0</v>
      </c>
      <c r="BS233" s="23">
        <f t="shared" si="107"/>
        <v>0</v>
      </c>
      <c r="BT233" s="23">
        <f t="shared" si="108"/>
        <v>0</v>
      </c>
      <c r="BU233" s="23">
        <f t="shared" si="109"/>
        <v>0</v>
      </c>
      <c r="BV233" s="23">
        <f t="shared" si="110"/>
        <v>0</v>
      </c>
      <c r="BW233" s="23">
        <f t="shared" si="111"/>
        <v>0</v>
      </c>
      <c r="BX233" s="23">
        <f t="shared" si="112"/>
        <v>0</v>
      </c>
      <c r="BY233" s="23">
        <f t="shared" si="113"/>
        <v>0</v>
      </c>
      <c r="BZ233" s="23">
        <f t="shared" si="114"/>
        <v>0</v>
      </c>
      <c r="CA233" s="23">
        <f t="shared" si="115"/>
        <v>0</v>
      </c>
      <c r="CB233" s="23">
        <f t="shared" si="116"/>
        <v>0</v>
      </c>
      <c r="CC233" s="23">
        <f t="shared" si="117"/>
        <v>0</v>
      </c>
      <c r="CD233" s="23">
        <f t="shared" si="118"/>
        <v>0</v>
      </c>
      <c r="CE233" s="23">
        <f t="shared" si="119"/>
        <v>0</v>
      </c>
      <c r="CF233" s="23">
        <f t="shared" si="120"/>
        <v>0</v>
      </c>
      <c r="CG233" s="23">
        <f t="shared" si="121"/>
        <v>0</v>
      </c>
      <c r="CH233" s="23">
        <f t="shared" si="122"/>
        <v>0</v>
      </c>
      <c r="CI233" s="23">
        <f t="shared" si="123"/>
        <v>0</v>
      </c>
      <c r="CJ233" s="23">
        <f t="shared" si="124"/>
        <v>0</v>
      </c>
      <c r="CK233" s="23">
        <f t="shared" si="125"/>
        <v>0</v>
      </c>
      <c r="CL233" s="23">
        <f t="shared" si="126"/>
        <v>0</v>
      </c>
      <c r="CM233" s="23">
        <f t="shared" si="127"/>
        <v>0</v>
      </c>
      <c r="CN233" s="23">
        <f t="shared" si="128"/>
        <v>1</v>
      </c>
      <c r="CO233" s="23">
        <f t="shared" si="129"/>
        <v>1</v>
      </c>
      <c r="CP233" s="23">
        <f t="shared" si="130"/>
        <v>1</v>
      </c>
      <c r="CQ233" s="23">
        <f t="shared" si="131"/>
        <v>1</v>
      </c>
      <c r="CR233" s="23">
        <f t="shared" si="132"/>
        <v>1</v>
      </c>
      <c r="CS233" s="23">
        <f t="shared" si="133"/>
        <v>1</v>
      </c>
      <c r="CT233" s="23">
        <f t="shared" si="134"/>
        <v>1</v>
      </c>
      <c r="CU233" s="23">
        <f t="shared" si="135"/>
        <v>1</v>
      </c>
      <c r="CV233" s="23">
        <f t="shared" si="136"/>
        <v>1</v>
      </c>
    </row>
    <row r="234" spans="1:100" ht="13.5">
      <c r="A234" s="15">
        <v>202</v>
      </c>
      <c r="B234" s="38" t="s">
        <v>982</v>
      </c>
      <c r="C234" t="s">
        <v>580</v>
      </c>
      <c r="E234" t="s">
        <v>465</v>
      </c>
      <c r="F234" t="s">
        <v>581</v>
      </c>
      <c r="G234" t="s">
        <v>465</v>
      </c>
      <c r="H234" t="s">
        <v>582</v>
      </c>
      <c r="I234" s="6" t="s">
        <v>136</v>
      </c>
      <c r="J234" s="6">
        <v>0</v>
      </c>
      <c r="L234" s="15">
        <v>1</v>
      </c>
      <c r="N234" s="7">
        <v>46107</v>
      </c>
      <c r="O234" s="7">
        <v>46099</v>
      </c>
      <c r="P234" s="7">
        <v>46100</v>
      </c>
      <c r="S234" s="6" t="s">
        <v>465</v>
      </c>
      <c r="U234" s="6" t="s">
        <v>464</v>
      </c>
      <c r="V234" s="6" t="str">
        <f t="shared" si="103"/>
        <v>26/03</v>
      </c>
      <c r="W234">
        <v>1538</v>
      </c>
      <c r="AA234">
        <v>892</v>
      </c>
      <c r="AC234">
        <v>945</v>
      </c>
      <c r="AI234" s="23">
        <v>0</v>
      </c>
      <c r="AJ234" s="23">
        <v>0</v>
      </c>
      <c r="AK234" s="23">
        <v>0</v>
      </c>
      <c r="AL234" s="23">
        <v>0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0</v>
      </c>
      <c r="AT234" s="23">
        <v>0</v>
      </c>
      <c r="AU234" s="23">
        <v>0</v>
      </c>
      <c r="AV234" s="23">
        <v>0</v>
      </c>
      <c r="AW234" s="23">
        <v>0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3">
        <v>0</v>
      </c>
      <c r="BD234" s="23">
        <v>0</v>
      </c>
      <c r="BE234" s="23">
        <v>0</v>
      </c>
      <c r="BF234" s="23">
        <v>0</v>
      </c>
      <c r="BG234" s="23">
        <v>1</v>
      </c>
      <c r="BH234" s="23">
        <v>1</v>
      </c>
      <c r="BI234" s="23">
        <v>1</v>
      </c>
      <c r="BJ234" s="23">
        <v>1</v>
      </c>
      <c r="BK234" s="23">
        <v>1</v>
      </c>
      <c r="BL234" s="23">
        <v>1</v>
      </c>
      <c r="BM234" s="23">
        <v>1</v>
      </c>
      <c r="BN234" s="23">
        <v>1</v>
      </c>
      <c r="BO234" s="23">
        <v>1</v>
      </c>
      <c r="BP234" s="23">
        <f t="shared" si="104"/>
        <v>0</v>
      </c>
      <c r="BQ234" s="23">
        <f t="shared" si="105"/>
        <v>0</v>
      </c>
      <c r="BR234" s="23">
        <f t="shared" si="106"/>
        <v>0</v>
      </c>
      <c r="BS234" s="23">
        <f t="shared" si="107"/>
        <v>0</v>
      </c>
      <c r="BT234" s="23">
        <f t="shared" si="108"/>
        <v>0</v>
      </c>
      <c r="BU234" s="23">
        <f t="shared" si="109"/>
        <v>0</v>
      </c>
      <c r="BV234" s="23">
        <f t="shared" si="110"/>
        <v>0</v>
      </c>
      <c r="BW234" s="23">
        <f t="shared" si="111"/>
        <v>0</v>
      </c>
      <c r="BX234" s="23">
        <f t="shared" si="112"/>
        <v>0</v>
      </c>
      <c r="BY234" s="23">
        <f t="shared" si="113"/>
        <v>0</v>
      </c>
      <c r="BZ234" s="23">
        <f t="shared" si="114"/>
        <v>0</v>
      </c>
      <c r="CA234" s="23">
        <f t="shared" si="115"/>
        <v>0</v>
      </c>
      <c r="CB234" s="23">
        <f t="shared" si="116"/>
        <v>0</v>
      </c>
      <c r="CC234" s="23">
        <f t="shared" si="117"/>
        <v>0</v>
      </c>
      <c r="CD234" s="23">
        <f t="shared" si="118"/>
        <v>0</v>
      </c>
      <c r="CE234" s="23">
        <f t="shared" si="119"/>
        <v>0</v>
      </c>
      <c r="CF234" s="23">
        <f t="shared" si="120"/>
        <v>0</v>
      </c>
      <c r="CG234" s="23">
        <f t="shared" si="121"/>
        <v>0</v>
      </c>
      <c r="CH234" s="23">
        <f t="shared" si="122"/>
        <v>0</v>
      </c>
      <c r="CI234" s="23">
        <f t="shared" si="123"/>
        <v>0</v>
      </c>
      <c r="CJ234" s="23">
        <f t="shared" si="124"/>
        <v>0</v>
      </c>
      <c r="CK234" s="23">
        <f t="shared" si="125"/>
        <v>0</v>
      </c>
      <c r="CL234" s="23">
        <f t="shared" si="126"/>
        <v>0</v>
      </c>
      <c r="CM234" s="23">
        <f t="shared" si="127"/>
        <v>0</v>
      </c>
      <c r="CN234" s="23">
        <f t="shared" si="128"/>
        <v>1</v>
      </c>
      <c r="CO234" s="23">
        <f t="shared" si="129"/>
        <v>1</v>
      </c>
      <c r="CP234" s="23">
        <f t="shared" si="130"/>
        <v>1</v>
      </c>
      <c r="CQ234" s="23">
        <f t="shared" si="131"/>
        <v>1</v>
      </c>
      <c r="CR234" s="23">
        <f t="shared" si="132"/>
        <v>1</v>
      </c>
      <c r="CS234" s="23">
        <f t="shared" si="133"/>
        <v>1</v>
      </c>
      <c r="CT234" s="23">
        <f t="shared" si="134"/>
        <v>1</v>
      </c>
      <c r="CU234" s="23">
        <f t="shared" si="135"/>
        <v>1</v>
      </c>
      <c r="CV234" s="23">
        <f t="shared" si="136"/>
        <v>1</v>
      </c>
    </row>
    <row r="235" spans="1:100" ht="13.5">
      <c r="A235" s="15">
        <v>202</v>
      </c>
      <c r="B235" s="38" t="s">
        <v>774</v>
      </c>
      <c r="C235" t="s">
        <v>580</v>
      </c>
      <c r="E235" t="s">
        <v>465</v>
      </c>
      <c r="F235" t="s">
        <v>581</v>
      </c>
      <c r="G235" t="s">
        <v>465</v>
      </c>
      <c r="H235" t="s">
        <v>582</v>
      </c>
      <c r="I235" s="6" t="s">
        <v>136</v>
      </c>
      <c r="J235" s="6">
        <v>0</v>
      </c>
      <c r="L235" s="15">
        <v>1</v>
      </c>
      <c r="N235" s="7">
        <v>46107</v>
      </c>
      <c r="O235" s="7">
        <v>46099</v>
      </c>
      <c r="P235" s="7">
        <v>46100</v>
      </c>
      <c r="S235" s="6" t="s">
        <v>465</v>
      </c>
      <c r="U235" s="6" t="s">
        <v>464</v>
      </c>
      <c r="V235" s="6" t="str">
        <f t="shared" si="103"/>
        <v>26/03</v>
      </c>
      <c r="W235">
        <v>1539</v>
      </c>
      <c r="AA235">
        <v>893</v>
      </c>
      <c r="AC235">
        <v>946</v>
      </c>
      <c r="AI235" s="23">
        <v>0</v>
      </c>
      <c r="AJ235" s="23">
        <v>0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3">
        <v>0</v>
      </c>
      <c r="AS235" s="23">
        <v>0</v>
      </c>
      <c r="AT235" s="23">
        <v>0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3">
        <v>0</v>
      </c>
      <c r="BD235" s="23">
        <v>0</v>
      </c>
      <c r="BE235" s="23">
        <v>0</v>
      </c>
      <c r="BF235" s="23">
        <v>0</v>
      </c>
      <c r="BG235" s="23">
        <v>1</v>
      </c>
      <c r="BH235" s="23">
        <v>1</v>
      </c>
      <c r="BI235" s="23">
        <v>1</v>
      </c>
      <c r="BJ235" s="23">
        <v>1</v>
      </c>
      <c r="BK235" s="23">
        <v>1</v>
      </c>
      <c r="BL235" s="23">
        <v>1</v>
      </c>
      <c r="BM235" s="23">
        <v>1</v>
      </c>
      <c r="BN235" s="23">
        <v>1</v>
      </c>
      <c r="BO235" s="23">
        <v>1</v>
      </c>
      <c r="BP235" s="23">
        <f t="shared" si="104"/>
        <v>0</v>
      </c>
      <c r="BQ235" s="23">
        <f t="shared" si="105"/>
        <v>0</v>
      </c>
      <c r="BR235" s="23">
        <f t="shared" si="106"/>
        <v>0</v>
      </c>
      <c r="BS235" s="23">
        <f t="shared" si="107"/>
        <v>0</v>
      </c>
      <c r="BT235" s="23">
        <f t="shared" si="108"/>
        <v>0</v>
      </c>
      <c r="BU235" s="23">
        <f t="shared" si="109"/>
        <v>0</v>
      </c>
      <c r="BV235" s="23">
        <f t="shared" si="110"/>
        <v>0</v>
      </c>
      <c r="BW235" s="23">
        <f t="shared" si="111"/>
        <v>0</v>
      </c>
      <c r="BX235" s="23">
        <f t="shared" si="112"/>
        <v>0</v>
      </c>
      <c r="BY235" s="23">
        <f t="shared" si="113"/>
        <v>0</v>
      </c>
      <c r="BZ235" s="23">
        <f t="shared" si="114"/>
        <v>0</v>
      </c>
      <c r="CA235" s="23">
        <f t="shared" si="115"/>
        <v>0</v>
      </c>
      <c r="CB235" s="23">
        <f t="shared" si="116"/>
        <v>0</v>
      </c>
      <c r="CC235" s="23">
        <f t="shared" si="117"/>
        <v>0</v>
      </c>
      <c r="CD235" s="23">
        <f t="shared" si="118"/>
        <v>0</v>
      </c>
      <c r="CE235" s="23">
        <f t="shared" si="119"/>
        <v>0</v>
      </c>
      <c r="CF235" s="23">
        <f t="shared" si="120"/>
        <v>0</v>
      </c>
      <c r="CG235" s="23">
        <f t="shared" si="121"/>
        <v>0</v>
      </c>
      <c r="CH235" s="23">
        <f t="shared" si="122"/>
        <v>0</v>
      </c>
      <c r="CI235" s="23">
        <f t="shared" si="123"/>
        <v>0</v>
      </c>
      <c r="CJ235" s="23">
        <f t="shared" si="124"/>
        <v>0</v>
      </c>
      <c r="CK235" s="23">
        <f t="shared" si="125"/>
        <v>0</v>
      </c>
      <c r="CL235" s="23">
        <f t="shared" si="126"/>
        <v>0</v>
      </c>
      <c r="CM235" s="23">
        <f t="shared" si="127"/>
        <v>0</v>
      </c>
      <c r="CN235" s="23">
        <f t="shared" si="128"/>
        <v>1</v>
      </c>
      <c r="CO235" s="23">
        <f t="shared" si="129"/>
        <v>1</v>
      </c>
      <c r="CP235" s="23">
        <f t="shared" si="130"/>
        <v>1</v>
      </c>
      <c r="CQ235" s="23">
        <f t="shared" si="131"/>
        <v>1</v>
      </c>
      <c r="CR235" s="23">
        <f t="shared" si="132"/>
        <v>1</v>
      </c>
      <c r="CS235" s="23">
        <f t="shared" si="133"/>
        <v>1</v>
      </c>
      <c r="CT235" s="23">
        <f t="shared" si="134"/>
        <v>1</v>
      </c>
      <c r="CU235" s="23">
        <f t="shared" si="135"/>
        <v>1</v>
      </c>
      <c r="CV235" s="23">
        <f t="shared" si="136"/>
        <v>1</v>
      </c>
    </row>
    <row r="236" spans="1:100" ht="13.5">
      <c r="A236" s="15">
        <v>202</v>
      </c>
      <c r="B236" s="38" t="s">
        <v>775</v>
      </c>
      <c r="C236" t="s">
        <v>580</v>
      </c>
      <c r="E236" t="s">
        <v>465</v>
      </c>
      <c r="F236" t="s">
        <v>581</v>
      </c>
      <c r="G236" t="s">
        <v>465</v>
      </c>
      <c r="H236" t="s">
        <v>582</v>
      </c>
      <c r="I236" s="6" t="s">
        <v>136</v>
      </c>
      <c r="J236" s="6">
        <v>0</v>
      </c>
      <c r="L236" s="15">
        <v>1</v>
      </c>
      <c r="N236" s="7">
        <v>46112</v>
      </c>
      <c r="O236" s="7">
        <v>46099</v>
      </c>
      <c r="P236" s="7">
        <v>46100</v>
      </c>
      <c r="S236" s="6" t="s">
        <v>465</v>
      </c>
      <c r="U236" s="6" t="s">
        <v>464</v>
      </c>
      <c r="V236" s="6" t="str">
        <f t="shared" si="103"/>
        <v>26/03</v>
      </c>
      <c r="W236">
        <v>1540</v>
      </c>
      <c r="AA236">
        <v>894</v>
      </c>
      <c r="AC236">
        <v>947</v>
      </c>
      <c r="AI236" s="23">
        <v>0</v>
      </c>
      <c r="AJ236" s="23">
        <v>0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0</v>
      </c>
      <c r="AV236" s="23">
        <v>0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3">
        <v>0</v>
      </c>
      <c r="BD236" s="23">
        <v>0</v>
      </c>
      <c r="BE236" s="23">
        <v>0</v>
      </c>
      <c r="BF236" s="23">
        <v>0</v>
      </c>
      <c r="BG236" s="23">
        <v>1</v>
      </c>
      <c r="BH236" s="23">
        <v>1</v>
      </c>
      <c r="BI236" s="23">
        <v>1</v>
      </c>
      <c r="BJ236" s="23">
        <v>1</v>
      </c>
      <c r="BK236" s="23">
        <v>1</v>
      </c>
      <c r="BL236" s="23">
        <v>1</v>
      </c>
      <c r="BM236" s="23">
        <v>1</v>
      </c>
      <c r="BN236" s="23">
        <v>1</v>
      </c>
      <c r="BO236" s="23">
        <v>1</v>
      </c>
      <c r="BP236" s="23">
        <f t="shared" si="104"/>
        <v>0</v>
      </c>
      <c r="BQ236" s="23">
        <f t="shared" si="105"/>
        <v>0</v>
      </c>
      <c r="BR236" s="23">
        <f t="shared" si="106"/>
        <v>0</v>
      </c>
      <c r="BS236" s="23">
        <f t="shared" si="107"/>
        <v>0</v>
      </c>
      <c r="BT236" s="23">
        <f t="shared" si="108"/>
        <v>0</v>
      </c>
      <c r="BU236" s="23">
        <f t="shared" si="109"/>
        <v>0</v>
      </c>
      <c r="BV236" s="23">
        <f t="shared" si="110"/>
        <v>0</v>
      </c>
      <c r="BW236" s="23">
        <f t="shared" si="111"/>
        <v>0</v>
      </c>
      <c r="BX236" s="23">
        <f t="shared" si="112"/>
        <v>0</v>
      </c>
      <c r="BY236" s="23">
        <f t="shared" si="113"/>
        <v>0</v>
      </c>
      <c r="BZ236" s="23">
        <f t="shared" si="114"/>
        <v>0</v>
      </c>
      <c r="CA236" s="23">
        <f t="shared" si="115"/>
        <v>0</v>
      </c>
      <c r="CB236" s="23">
        <f t="shared" si="116"/>
        <v>0</v>
      </c>
      <c r="CC236" s="23">
        <f t="shared" si="117"/>
        <v>0</v>
      </c>
      <c r="CD236" s="23">
        <f t="shared" si="118"/>
        <v>0</v>
      </c>
      <c r="CE236" s="23">
        <f t="shared" si="119"/>
        <v>0</v>
      </c>
      <c r="CF236" s="23">
        <f t="shared" si="120"/>
        <v>0</v>
      </c>
      <c r="CG236" s="23">
        <f t="shared" si="121"/>
        <v>0</v>
      </c>
      <c r="CH236" s="23">
        <f t="shared" si="122"/>
        <v>0</v>
      </c>
      <c r="CI236" s="23">
        <f t="shared" si="123"/>
        <v>0</v>
      </c>
      <c r="CJ236" s="23">
        <f t="shared" si="124"/>
        <v>0</v>
      </c>
      <c r="CK236" s="23">
        <f t="shared" si="125"/>
        <v>0</v>
      </c>
      <c r="CL236" s="23">
        <f t="shared" si="126"/>
        <v>0</v>
      </c>
      <c r="CM236" s="23">
        <f t="shared" si="127"/>
        <v>0</v>
      </c>
      <c r="CN236" s="23">
        <f t="shared" si="128"/>
        <v>1</v>
      </c>
      <c r="CO236" s="23">
        <f t="shared" si="129"/>
        <v>1</v>
      </c>
      <c r="CP236" s="23">
        <f t="shared" si="130"/>
        <v>1</v>
      </c>
      <c r="CQ236" s="23">
        <f t="shared" si="131"/>
        <v>1</v>
      </c>
      <c r="CR236" s="23">
        <f t="shared" si="132"/>
        <v>1</v>
      </c>
      <c r="CS236" s="23">
        <f t="shared" si="133"/>
        <v>1</v>
      </c>
      <c r="CT236" s="23">
        <f t="shared" si="134"/>
        <v>1</v>
      </c>
      <c r="CU236" s="23">
        <f t="shared" si="135"/>
        <v>1</v>
      </c>
      <c r="CV236" s="23">
        <f t="shared" si="136"/>
        <v>1</v>
      </c>
    </row>
    <row r="237" spans="1:100" ht="13.5">
      <c r="A237" s="15">
        <v>202</v>
      </c>
      <c r="B237" s="38" t="s">
        <v>776</v>
      </c>
      <c r="C237" t="s">
        <v>580</v>
      </c>
      <c r="E237" t="s">
        <v>465</v>
      </c>
      <c r="F237" t="s">
        <v>581</v>
      </c>
      <c r="G237" t="s">
        <v>465</v>
      </c>
      <c r="H237" t="s">
        <v>582</v>
      </c>
      <c r="I237" s="6" t="s">
        <v>136</v>
      </c>
      <c r="J237" s="6">
        <v>0</v>
      </c>
      <c r="L237" s="15">
        <v>1</v>
      </c>
      <c r="N237" s="7">
        <v>46112</v>
      </c>
      <c r="O237" s="7">
        <v>46099</v>
      </c>
      <c r="P237" s="7">
        <v>46100</v>
      </c>
      <c r="S237" s="6" t="s">
        <v>465</v>
      </c>
      <c r="U237" s="6" t="s">
        <v>464</v>
      </c>
      <c r="V237" s="6" t="str">
        <f t="shared" si="103"/>
        <v>26/03</v>
      </c>
      <c r="W237">
        <v>1541</v>
      </c>
      <c r="AA237">
        <v>895</v>
      </c>
      <c r="AC237">
        <v>948</v>
      </c>
      <c r="AI237" s="23">
        <v>0</v>
      </c>
      <c r="AJ237" s="23">
        <v>0</v>
      </c>
      <c r="AK237" s="23">
        <v>0</v>
      </c>
      <c r="AL237" s="23">
        <v>0</v>
      </c>
      <c r="AM237" s="23">
        <v>0</v>
      </c>
      <c r="AN237" s="23">
        <v>0</v>
      </c>
      <c r="AO237" s="23">
        <v>0</v>
      </c>
      <c r="AP237" s="23">
        <v>0</v>
      </c>
      <c r="AQ237" s="23">
        <v>0</v>
      </c>
      <c r="AR237" s="23">
        <v>0</v>
      </c>
      <c r="AS237" s="23">
        <v>0</v>
      </c>
      <c r="AT237" s="23">
        <v>0</v>
      </c>
      <c r="AU237" s="23">
        <v>0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3">
        <v>0</v>
      </c>
      <c r="BD237" s="23">
        <v>0</v>
      </c>
      <c r="BE237" s="23">
        <v>0</v>
      </c>
      <c r="BF237" s="23">
        <v>0</v>
      </c>
      <c r="BG237" s="23">
        <v>1</v>
      </c>
      <c r="BH237" s="23">
        <v>1</v>
      </c>
      <c r="BI237" s="23">
        <v>1</v>
      </c>
      <c r="BJ237" s="23">
        <v>1</v>
      </c>
      <c r="BK237" s="23">
        <v>1</v>
      </c>
      <c r="BL237" s="23">
        <v>1</v>
      </c>
      <c r="BM237" s="23">
        <v>1</v>
      </c>
      <c r="BN237" s="23">
        <v>1</v>
      </c>
      <c r="BO237" s="23">
        <v>1</v>
      </c>
      <c r="BP237" s="23">
        <f t="shared" si="104"/>
        <v>0</v>
      </c>
      <c r="BQ237" s="23">
        <f t="shared" si="105"/>
        <v>0</v>
      </c>
      <c r="BR237" s="23">
        <f t="shared" si="106"/>
        <v>0</v>
      </c>
      <c r="BS237" s="23">
        <f t="shared" si="107"/>
        <v>0</v>
      </c>
      <c r="BT237" s="23">
        <f t="shared" si="108"/>
        <v>0</v>
      </c>
      <c r="BU237" s="23">
        <f t="shared" si="109"/>
        <v>0</v>
      </c>
      <c r="BV237" s="23">
        <f t="shared" si="110"/>
        <v>0</v>
      </c>
      <c r="BW237" s="23">
        <f t="shared" si="111"/>
        <v>0</v>
      </c>
      <c r="BX237" s="23">
        <f t="shared" si="112"/>
        <v>0</v>
      </c>
      <c r="BY237" s="23">
        <f t="shared" si="113"/>
        <v>0</v>
      </c>
      <c r="BZ237" s="23">
        <f t="shared" si="114"/>
        <v>0</v>
      </c>
      <c r="CA237" s="23">
        <f t="shared" si="115"/>
        <v>0</v>
      </c>
      <c r="CB237" s="23">
        <f t="shared" si="116"/>
        <v>0</v>
      </c>
      <c r="CC237" s="23">
        <f t="shared" si="117"/>
        <v>0</v>
      </c>
      <c r="CD237" s="23">
        <f t="shared" si="118"/>
        <v>0</v>
      </c>
      <c r="CE237" s="23">
        <f t="shared" si="119"/>
        <v>0</v>
      </c>
      <c r="CF237" s="23">
        <f t="shared" si="120"/>
        <v>0</v>
      </c>
      <c r="CG237" s="23">
        <f t="shared" si="121"/>
        <v>0</v>
      </c>
      <c r="CH237" s="23">
        <f t="shared" si="122"/>
        <v>0</v>
      </c>
      <c r="CI237" s="23">
        <f t="shared" si="123"/>
        <v>0</v>
      </c>
      <c r="CJ237" s="23">
        <f t="shared" si="124"/>
        <v>0</v>
      </c>
      <c r="CK237" s="23">
        <f t="shared" si="125"/>
        <v>0</v>
      </c>
      <c r="CL237" s="23">
        <f t="shared" si="126"/>
        <v>0</v>
      </c>
      <c r="CM237" s="23">
        <f t="shared" si="127"/>
        <v>0</v>
      </c>
      <c r="CN237" s="23">
        <f t="shared" si="128"/>
        <v>1</v>
      </c>
      <c r="CO237" s="23">
        <f t="shared" si="129"/>
        <v>1</v>
      </c>
      <c r="CP237" s="23">
        <f t="shared" si="130"/>
        <v>1</v>
      </c>
      <c r="CQ237" s="23">
        <f t="shared" si="131"/>
        <v>1</v>
      </c>
      <c r="CR237" s="23">
        <f t="shared" si="132"/>
        <v>1</v>
      </c>
      <c r="CS237" s="23">
        <f t="shared" si="133"/>
        <v>1</v>
      </c>
      <c r="CT237" s="23">
        <f t="shared" si="134"/>
        <v>1</v>
      </c>
      <c r="CU237" s="23">
        <f t="shared" si="135"/>
        <v>1</v>
      </c>
      <c r="CV237" s="23">
        <f t="shared" si="136"/>
        <v>1</v>
      </c>
    </row>
    <row r="238" spans="1:100" ht="13.5">
      <c r="A238" s="15">
        <v>206</v>
      </c>
      <c r="B238" s="38" t="s">
        <v>983</v>
      </c>
      <c r="C238" t="s">
        <v>580</v>
      </c>
      <c r="E238" t="s">
        <v>465</v>
      </c>
      <c r="F238" t="s">
        <v>581</v>
      </c>
      <c r="G238" t="s">
        <v>465</v>
      </c>
      <c r="H238" t="s">
        <v>582</v>
      </c>
      <c r="I238" s="6" t="s">
        <v>136</v>
      </c>
      <c r="J238" s="6">
        <v>0</v>
      </c>
      <c r="L238" s="15">
        <v>1</v>
      </c>
      <c r="N238" s="7">
        <v>46113</v>
      </c>
      <c r="O238" s="7">
        <v>46111</v>
      </c>
      <c r="P238" s="7">
        <v>46112</v>
      </c>
      <c r="S238" s="6" t="s">
        <v>465</v>
      </c>
      <c r="U238" s="6" t="s">
        <v>464</v>
      </c>
      <c r="V238" s="6" t="str">
        <f t="shared" si="103"/>
        <v>26/04</v>
      </c>
      <c r="W238">
        <v>1542</v>
      </c>
      <c r="AA238">
        <v>896</v>
      </c>
      <c r="AC238">
        <v>949</v>
      </c>
      <c r="AI238" s="23">
        <v>0</v>
      </c>
      <c r="AJ238" s="23">
        <v>0</v>
      </c>
      <c r="AK238" s="23">
        <v>0</v>
      </c>
      <c r="AL238" s="23">
        <v>0</v>
      </c>
      <c r="AM238" s="23">
        <v>0</v>
      </c>
      <c r="AN238" s="23">
        <v>0</v>
      </c>
      <c r="AO238" s="23">
        <v>0</v>
      </c>
      <c r="AP238" s="23">
        <v>0</v>
      </c>
      <c r="AQ238" s="23">
        <v>0</v>
      </c>
      <c r="AR238" s="23">
        <v>0</v>
      </c>
      <c r="AS238" s="23">
        <v>0</v>
      </c>
      <c r="AT238" s="23">
        <v>0</v>
      </c>
      <c r="AU238" s="23">
        <v>0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3">
        <v>0</v>
      </c>
      <c r="BD238" s="23">
        <v>0</v>
      </c>
      <c r="BE238" s="23">
        <v>0</v>
      </c>
      <c r="BF238" s="23">
        <v>0</v>
      </c>
      <c r="BG238" s="23">
        <v>1</v>
      </c>
      <c r="BH238" s="23">
        <v>1</v>
      </c>
      <c r="BI238" s="23">
        <v>1</v>
      </c>
      <c r="BJ238" s="23">
        <v>1</v>
      </c>
      <c r="BK238" s="23">
        <v>1</v>
      </c>
      <c r="BL238" s="23">
        <v>1</v>
      </c>
      <c r="BM238" s="23">
        <v>1</v>
      </c>
      <c r="BN238" s="23">
        <v>1</v>
      </c>
      <c r="BO238" s="23">
        <v>1</v>
      </c>
      <c r="BP238" s="23">
        <f t="shared" si="104"/>
        <v>0</v>
      </c>
      <c r="BQ238" s="23">
        <f t="shared" si="105"/>
        <v>0</v>
      </c>
      <c r="BR238" s="23">
        <f t="shared" si="106"/>
        <v>0</v>
      </c>
      <c r="BS238" s="23">
        <f t="shared" si="107"/>
        <v>0</v>
      </c>
      <c r="BT238" s="23">
        <f t="shared" si="108"/>
        <v>0</v>
      </c>
      <c r="BU238" s="23">
        <f t="shared" si="109"/>
        <v>0</v>
      </c>
      <c r="BV238" s="23">
        <f t="shared" si="110"/>
        <v>0</v>
      </c>
      <c r="BW238" s="23">
        <f t="shared" si="111"/>
        <v>0</v>
      </c>
      <c r="BX238" s="23">
        <f t="shared" si="112"/>
        <v>0</v>
      </c>
      <c r="BY238" s="23">
        <f t="shared" si="113"/>
        <v>0</v>
      </c>
      <c r="BZ238" s="23">
        <f t="shared" si="114"/>
        <v>0</v>
      </c>
      <c r="CA238" s="23">
        <f t="shared" si="115"/>
        <v>0</v>
      </c>
      <c r="CB238" s="23">
        <f t="shared" si="116"/>
        <v>0</v>
      </c>
      <c r="CC238" s="23">
        <f t="shared" si="117"/>
        <v>0</v>
      </c>
      <c r="CD238" s="23">
        <f t="shared" si="118"/>
        <v>0</v>
      </c>
      <c r="CE238" s="23">
        <f t="shared" si="119"/>
        <v>0</v>
      </c>
      <c r="CF238" s="23">
        <f t="shared" si="120"/>
        <v>0</v>
      </c>
      <c r="CG238" s="23">
        <f t="shared" si="121"/>
        <v>0</v>
      </c>
      <c r="CH238" s="23">
        <f t="shared" si="122"/>
        <v>0</v>
      </c>
      <c r="CI238" s="23">
        <f t="shared" si="123"/>
        <v>0</v>
      </c>
      <c r="CJ238" s="23">
        <f t="shared" si="124"/>
        <v>0</v>
      </c>
      <c r="CK238" s="23">
        <f t="shared" si="125"/>
        <v>0</v>
      </c>
      <c r="CL238" s="23">
        <f t="shared" si="126"/>
        <v>0</v>
      </c>
      <c r="CM238" s="23">
        <f t="shared" si="127"/>
        <v>0</v>
      </c>
      <c r="CN238" s="23">
        <f t="shared" si="128"/>
        <v>1</v>
      </c>
      <c r="CO238" s="23">
        <f t="shared" si="129"/>
        <v>1</v>
      </c>
      <c r="CP238" s="23">
        <f t="shared" si="130"/>
        <v>1</v>
      </c>
      <c r="CQ238" s="23">
        <f t="shared" si="131"/>
        <v>1</v>
      </c>
      <c r="CR238" s="23">
        <f t="shared" si="132"/>
        <v>1</v>
      </c>
      <c r="CS238" s="23">
        <f t="shared" si="133"/>
        <v>1</v>
      </c>
      <c r="CT238" s="23">
        <f t="shared" si="134"/>
        <v>1</v>
      </c>
      <c r="CU238" s="23">
        <f t="shared" si="135"/>
        <v>1</v>
      </c>
      <c r="CV238" s="23">
        <f t="shared" si="136"/>
        <v>1</v>
      </c>
    </row>
    <row r="239" spans="1:100" ht="13.5">
      <c r="A239" s="15">
        <v>206</v>
      </c>
      <c r="B239" s="38" t="s">
        <v>984</v>
      </c>
      <c r="C239" t="s">
        <v>580</v>
      </c>
      <c r="E239" t="s">
        <v>465</v>
      </c>
      <c r="F239" t="s">
        <v>581</v>
      </c>
      <c r="G239" t="s">
        <v>465</v>
      </c>
      <c r="H239" t="s">
        <v>582</v>
      </c>
      <c r="I239" s="6" t="s">
        <v>136</v>
      </c>
      <c r="J239" s="6">
        <v>0</v>
      </c>
      <c r="L239" s="15">
        <v>1</v>
      </c>
      <c r="N239" s="7">
        <v>46113</v>
      </c>
      <c r="O239" s="7">
        <v>46111</v>
      </c>
      <c r="P239" s="7">
        <v>46112</v>
      </c>
      <c r="S239" s="6" t="s">
        <v>465</v>
      </c>
      <c r="U239" s="6" t="s">
        <v>464</v>
      </c>
      <c r="V239" s="6" t="str">
        <f t="shared" si="103"/>
        <v>26/04</v>
      </c>
      <c r="W239">
        <v>1543</v>
      </c>
      <c r="AA239">
        <v>897</v>
      </c>
      <c r="AC239">
        <v>950</v>
      </c>
      <c r="AI239" s="23">
        <v>0</v>
      </c>
      <c r="AJ239" s="23">
        <v>0</v>
      </c>
      <c r="AK239" s="23">
        <v>0</v>
      </c>
      <c r="AL239" s="23">
        <v>0</v>
      </c>
      <c r="AM239" s="23">
        <v>0</v>
      </c>
      <c r="AN239" s="23">
        <v>0</v>
      </c>
      <c r="AO239" s="23">
        <v>0</v>
      </c>
      <c r="AP239" s="23">
        <v>0</v>
      </c>
      <c r="AQ239" s="23">
        <v>0</v>
      </c>
      <c r="AR239" s="23">
        <v>0</v>
      </c>
      <c r="AS239" s="23">
        <v>0</v>
      </c>
      <c r="AT239" s="23">
        <v>0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3">
        <v>0</v>
      </c>
      <c r="BD239" s="23">
        <v>0</v>
      </c>
      <c r="BE239" s="23">
        <v>0</v>
      </c>
      <c r="BF239" s="23">
        <v>0</v>
      </c>
      <c r="BG239" s="23">
        <v>1</v>
      </c>
      <c r="BH239" s="23">
        <v>1</v>
      </c>
      <c r="BI239" s="23">
        <v>1</v>
      </c>
      <c r="BJ239" s="23">
        <v>1</v>
      </c>
      <c r="BK239" s="23">
        <v>1</v>
      </c>
      <c r="BL239" s="23">
        <v>1</v>
      </c>
      <c r="BM239" s="23">
        <v>1</v>
      </c>
      <c r="BN239" s="23">
        <v>1</v>
      </c>
      <c r="BO239" s="23">
        <v>1</v>
      </c>
      <c r="BP239" s="23">
        <f t="shared" si="104"/>
        <v>0</v>
      </c>
      <c r="BQ239" s="23">
        <f t="shared" si="105"/>
        <v>0</v>
      </c>
      <c r="BR239" s="23">
        <f t="shared" si="106"/>
        <v>0</v>
      </c>
      <c r="BS239" s="23">
        <f t="shared" si="107"/>
        <v>0</v>
      </c>
      <c r="BT239" s="23">
        <f t="shared" si="108"/>
        <v>0</v>
      </c>
      <c r="BU239" s="23">
        <f t="shared" si="109"/>
        <v>0</v>
      </c>
      <c r="BV239" s="23">
        <f t="shared" si="110"/>
        <v>0</v>
      </c>
      <c r="BW239" s="23">
        <f t="shared" si="111"/>
        <v>0</v>
      </c>
      <c r="BX239" s="23">
        <f t="shared" si="112"/>
        <v>0</v>
      </c>
      <c r="BY239" s="23">
        <f t="shared" si="113"/>
        <v>0</v>
      </c>
      <c r="BZ239" s="23">
        <f t="shared" si="114"/>
        <v>0</v>
      </c>
      <c r="CA239" s="23">
        <f t="shared" si="115"/>
        <v>0</v>
      </c>
      <c r="CB239" s="23">
        <f t="shared" si="116"/>
        <v>0</v>
      </c>
      <c r="CC239" s="23">
        <f t="shared" si="117"/>
        <v>0</v>
      </c>
      <c r="CD239" s="23">
        <f t="shared" si="118"/>
        <v>0</v>
      </c>
      <c r="CE239" s="23">
        <f t="shared" si="119"/>
        <v>0</v>
      </c>
      <c r="CF239" s="23">
        <f t="shared" si="120"/>
        <v>0</v>
      </c>
      <c r="CG239" s="23">
        <f t="shared" si="121"/>
        <v>0</v>
      </c>
      <c r="CH239" s="23">
        <f t="shared" si="122"/>
        <v>0</v>
      </c>
      <c r="CI239" s="23">
        <f t="shared" si="123"/>
        <v>0</v>
      </c>
      <c r="CJ239" s="23">
        <f t="shared" si="124"/>
        <v>0</v>
      </c>
      <c r="CK239" s="23">
        <f t="shared" si="125"/>
        <v>0</v>
      </c>
      <c r="CL239" s="23">
        <f t="shared" si="126"/>
        <v>0</v>
      </c>
      <c r="CM239" s="23">
        <f t="shared" si="127"/>
        <v>0</v>
      </c>
      <c r="CN239" s="23">
        <f t="shared" si="128"/>
        <v>1</v>
      </c>
      <c r="CO239" s="23">
        <f t="shared" si="129"/>
        <v>1</v>
      </c>
      <c r="CP239" s="23">
        <f t="shared" si="130"/>
        <v>1</v>
      </c>
      <c r="CQ239" s="23">
        <f t="shared" si="131"/>
        <v>1</v>
      </c>
      <c r="CR239" s="23">
        <f t="shared" si="132"/>
        <v>1</v>
      </c>
      <c r="CS239" s="23">
        <f t="shared" si="133"/>
        <v>1</v>
      </c>
      <c r="CT239" s="23">
        <f t="shared" si="134"/>
        <v>1</v>
      </c>
      <c r="CU239" s="23">
        <f t="shared" si="135"/>
        <v>1</v>
      </c>
      <c r="CV239" s="23">
        <f t="shared" si="136"/>
        <v>1</v>
      </c>
    </row>
    <row r="240" spans="1:100" ht="13.5">
      <c r="A240" s="15">
        <v>206</v>
      </c>
      <c r="B240" s="38" t="s">
        <v>985</v>
      </c>
      <c r="C240" t="s">
        <v>580</v>
      </c>
      <c r="E240" t="s">
        <v>465</v>
      </c>
      <c r="F240" t="s">
        <v>581</v>
      </c>
      <c r="G240" t="s">
        <v>465</v>
      </c>
      <c r="H240" t="s">
        <v>582</v>
      </c>
      <c r="I240" s="6" t="s">
        <v>136</v>
      </c>
      <c r="J240" s="6">
        <v>0</v>
      </c>
      <c r="L240" s="15">
        <v>1</v>
      </c>
      <c r="N240" s="7">
        <v>46113</v>
      </c>
      <c r="O240" s="7">
        <v>46111</v>
      </c>
      <c r="P240" s="7">
        <v>46112</v>
      </c>
      <c r="S240" s="6" t="s">
        <v>465</v>
      </c>
      <c r="U240" s="6" t="s">
        <v>464</v>
      </c>
      <c r="V240" s="6" t="str">
        <f t="shared" si="103"/>
        <v>26/04</v>
      </c>
      <c r="W240">
        <v>1544</v>
      </c>
      <c r="AA240">
        <v>898</v>
      </c>
      <c r="AC240">
        <v>951</v>
      </c>
      <c r="AI240" s="23">
        <v>0</v>
      </c>
      <c r="AJ240" s="23">
        <v>0</v>
      </c>
      <c r="AK240" s="23">
        <v>0</v>
      </c>
      <c r="AL240" s="23">
        <v>0</v>
      </c>
      <c r="AM240" s="23">
        <v>0</v>
      </c>
      <c r="AN240" s="23">
        <v>0</v>
      </c>
      <c r="AO240" s="23">
        <v>0</v>
      </c>
      <c r="AP240" s="23">
        <v>0</v>
      </c>
      <c r="AQ240" s="23">
        <v>0</v>
      </c>
      <c r="AR240" s="23">
        <v>0</v>
      </c>
      <c r="AS240" s="23">
        <v>0</v>
      </c>
      <c r="AT240" s="23">
        <v>0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3">
        <v>0</v>
      </c>
      <c r="BD240" s="23">
        <v>0</v>
      </c>
      <c r="BE240" s="23">
        <v>0</v>
      </c>
      <c r="BF240" s="23">
        <v>0</v>
      </c>
      <c r="BG240" s="23">
        <v>1</v>
      </c>
      <c r="BH240" s="23">
        <v>1</v>
      </c>
      <c r="BI240" s="23">
        <v>1</v>
      </c>
      <c r="BJ240" s="23">
        <v>1</v>
      </c>
      <c r="BK240" s="23">
        <v>1</v>
      </c>
      <c r="BL240" s="23">
        <v>1</v>
      </c>
      <c r="BM240" s="23">
        <v>1</v>
      </c>
      <c r="BN240" s="23">
        <v>1</v>
      </c>
      <c r="BO240" s="23">
        <v>1</v>
      </c>
      <c r="BP240" s="23">
        <f t="shared" si="104"/>
        <v>0</v>
      </c>
      <c r="BQ240" s="23">
        <f t="shared" si="105"/>
        <v>0</v>
      </c>
      <c r="BR240" s="23">
        <f t="shared" si="106"/>
        <v>0</v>
      </c>
      <c r="BS240" s="23">
        <f t="shared" si="107"/>
        <v>0</v>
      </c>
      <c r="BT240" s="23">
        <f t="shared" si="108"/>
        <v>0</v>
      </c>
      <c r="BU240" s="23">
        <f t="shared" si="109"/>
        <v>0</v>
      </c>
      <c r="BV240" s="23">
        <f t="shared" si="110"/>
        <v>0</v>
      </c>
      <c r="BW240" s="23">
        <f t="shared" si="111"/>
        <v>0</v>
      </c>
      <c r="BX240" s="23">
        <f t="shared" si="112"/>
        <v>0</v>
      </c>
      <c r="BY240" s="23">
        <f t="shared" si="113"/>
        <v>0</v>
      </c>
      <c r="BZ240" s="23">
        <f t="shared" si="114"/>
        <v>0</v>
      </c>
      <c r="CA240" s="23">
        <f t="shared" si="115"/>
        <v>0</v>
      </c>
      <c r="CB240" s="23">
        <f t="shared" si="116"/>
        <v>0</v>
      </c>
      <c r="CC240" s="23">
        <f t="shared" si="117"/>
        <v>0</v>
      </c>
      <c r="CD240" s="23">
        <f t="shared" si="118"/>
        <v>0</v>
      </c>
      <c r="CE240" s="23">
        <f t="shared" si="119"/>
        <v>0</v>
      </c>
      <c r="CF240" s="23">
        <f t="shared" si="120"/>
        <v>0</v>
      </c>
      <c r="CG240" s="23">
        <f t="shared" si="121"/>
        <v>0</v>
      </c>
      <c r="CH240" s="23">
        <f t="shared" si="122"/>
        <v>0</v>
      </c>
      <c r="CI240" s="23">
        <f t="shared" si="123"/>
        <v>0</v>
      </c>
      <c r="CJ240" s="23">
        <f t="shared" si="124"/>
        <v>0</v>
      </c>
      <c r="CK240" s="23">
        <f t="shared" si="125"/>
        <v>0</v>
      </c>
      <c r="CL240" s="23">
        <f t="shared" si="126"/>
        <v>0</v>
      </c>
      <c r="CM240" s="23">
        <f t="shared" si="127"/>
        <v>0</v>
      </c>
      <c r="CN240" s="23">
        <f t="shared" si="128"/>
        <v>1</v>
      </c>
      <c r="CO240" s="23">
        <f t="shared" si="129"/>
        <v>1</v>
      </c>
      <c r="CP240" s="23">
        <f t="shared" si="130"/>
        <v>1</v>
      </c>
      <c r="CQ240" s="23">
        <f t="shared" si="131"/>
        <v>1</v>
      </c>
      <c r="CR240" s="23">
        <f t="shared" si="132"/>
        <v>1</v>
      </c>
      <c r="CS240" s="23">
        <f t="shared" si="133"/>
        <v>1</v>
      </c>
      <c r="CT240" s="23">
        <f t="shared" si="134"/>
        <v>1</v>
      </c>
      <c r="CU240" s="23">
        <f t="shared" si="135"/>
        <v>1</v>
      </c>
      <c r="CV240" s="23">
        <f t="shared" si="136"/>
        <v>1</v>
      </c>
    </row>
    <row r="241" spans="1:100" ht="13.5">
      <c r="A241" s="15">
        <v>206</v>
      </c>
      <c r="B241" s="38" t="s">
        <v>986</v>
      </c>
      <c r="C241" t="s">
        <v>580</v>
      </c>
      <c r="E241" t="s">
        <v>465</v>
      </c>
      <c r="F241" t="s">
        <v>581</v>
      </c>
      <c r="G241" t="s">
        <v>465</v>
      </c>
      <c r="H241" t="s">
        <v>582</v>
      </c>
      <c r="I241" s="6" t="s">
        <v>136</v>
      </c>
      <c r="J241" s="6">
        <v>0</v>
      </c>
      <c r="L241" s="15">
        <v>1</v>
      </c>
      <c r="N241" s="7">
        <v>46114</v>
      </c>
      <c r="O241" s="7">
        <v>46111</v>
      </c>
      <c r="P241" s="7">
        <v>46112</v>
      </c>
      <c r="S241" s="6" t="s">
        <v>465</v>
      </c>
      <c r="U241" s="6" t="s">
        <v>464</v>
      </c>
      <c r="V241" s="6" t="str">
        <f t="shared" si="103"/>
        <v>26/04</v>
      </c>
      <c r="W241">
        <v>1545</v>
      </c>
      <c r="AA241">
        <v>899</v>
      </c>
      <c r="AC241">
        <v>952</v>
      </c>
      <c r="AI241" s="23">
        <v>0</v>
      </c>
      <c r="AJ241" s="23">
        <v>0</v>
      </c>
      <c r="AK241" s="23">
        <v>0</v>
      </c>
      <c r="AL241" s="23">
        <v>0</v>
      </c>
      <c r="AM241" s="23">
        <v>0</v>
      </c>
      <c r="AN241" s="23">
        <v>0</v>
      </c>
      <c r="AO241" s="23">
        <v>0</v>
      </c>
      <c r="AP241" s="23">
        <v>0</v>
      </c>
      <c r="AQ241" s="23">
        <v>0</v>
      </c>
      <c r="AR241" s="23">
        <v>0</v>
      </c>
      <c r="AS241" s="23">
        <v>0</v>
      </c>
      <c r="AT241" s="23">
        <v>0</v>
      </c>
      <c r="AU241" s="23">
        <v>0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3">
        <v>0</v>
      </c>
      <c r="BD241" s="23">
        <v>0</v>
      </c>
      <c r="BE241" s="23">
        <v>0</v>
      </c>
      <c r="BF241" s="23">
        <v>0</v>
      </c>
      <c r="BG241" s="23">
        <v>1</v>
      </c>
      <c r="BH241" s="23">
        <v>1</v>
      </c>
      <c r="BI241" s="23">
        <v>1</v>
      </c>
      <c r="BJ241" s="23">
        <v>1</v>
      </c>
      <c r="BK241" s="23">
        <v>1</v>
      </c>
      <c r="BL241" s="23">
        <v>1</v>
      </c>
      <c r="BM241" s="23">
        <v>1</v>
      </c>
      <c r="BN241" s="23">
        <v>1</v>
      </c>
      <c r="BO241" s="23">
        <v>1</v>
      </c>
      <c r="BP241" s="23">
        <f t="shared" si="104"/>
        <v>0</v>
      </c>
      <c r="BQ241" s="23">
        <f t="shared" si="105"/>
        <v>0</v>
      </c>
      <c r="BR241" s="23">
        <f t="shared" si="106"/>
        <v>0</v>
      </c>
      <c r="BS241" s="23">
        <f t="shared" si="107"/>
        <v>0</v>
      </c>
      <c r="BT241" s="23">
        <f t="shared" si="108"/>
        <v>0</v>
      </c>
      <c r="BU241" s="23">
        <f t="shared" si="109"/>
        <v>0</v>
      </c>
      <c r="BV241" s="23">
        <f t="shared" si="110"/>
        <v>0</v>
      </c>
      <c r="BW241" s="23">
        <f t="shared" si="111"/>
        <v>0</v>
      </c>
      <c r="BX241" s="23">
        <f t="shared" si="112"/>
        <v>0</v>
      </c>
      <c r="BY241" s="23">
        <f t="shared" si="113"/>
        <v>0</v>
      </c>
      <c r="BZ241" s="23">
        <f t="shared" si="114"/>
        <v>0</v>
      </c>
      <c r="CA241" s="23">
        <f t="shared" si="115"/>
        <v>0</v>
      </c>
      <c r="CB241" s="23">
        <f t="shared" si="116"/>
        <v>0</v>
      </c>
      <c r="CC241" s="23">
        <f t="shared" si="117"/>
        <v>0</v>
      </c>
      <c r="CD241" s="23">
        <f t="shared" si="118"/>
        <v>0</v>
      </c>
      <c r="CE241" s="23">
        <f t="shared" si="119"/>
        <v>0</v>
      </c>
      <c r="CF241" s="23">
        <f t="shared" si="120"/>
        <v>0</v>
      </c>
      <c r="CG241" s="23">
        <f t="shared" si="121"/>
        <v>0</v>
      </c>
      <c r="CH241" s="23">
        <f t="shared" si="122"/>
        <v>0</v>
      </c>
      <c r="CI241" s="23">
        <f t="shared" si="123"/>
        <v>0</v>
      </c>
      <c r="CJ241" s="23">
        <f t="shared" si="124"/>
        <v>0</v>
      </c>
      <c r="CK241" s="23">
        <f t="shared" si="125"/>
        <v>0</v>
      </c>
      <c r="CL241" s="23">
        <f t="shared" si="126"/>
        <v>0</v>
      </c>
      <c r="CM241" s="23">
        <f t="shared" si="127"/>
        <v>0</v>
      </c>
      <c r="CN241" s="23">
        <f t="shared" si="128"/>
        <v>1</v>
      </c>
      <c r="CO241" s="23">
        <f t="shared" si="129"/>
        <v>1</v>
      </c>
      <c r="CP241" s="23">
        <f t="shared" si="130"/>
        <v>1</v>
      </c>
      <c r="CQ241" s="23">
        <f t="shared" si="131"/>
        <v>1</v>
      </c>
      <c r="CR241" s="23">
        <f t="shared" si="132"/>
        <v>1</v>
      </c>
      <c r="CS241" s="23">
        <f t="shared" si="133"/>
        <v>1</v>
      </c>
      <c r="CT241" s="23">
        <f t="shared" si="134"/>
        <v>1</v>
      </c>
      <c r="CU241" s="23">
        <f t="shared" si="135"/>
        <v>1</v>
      </c>
      <c r="CV241" s="23">
        <f t="shared" si="136"/>
        <v>1</v>
      </c>
    </row>
    <row r="242" spans="1:100" ht="13.5">
      <c r="A242" s="15">
        <v>206</v>
      </c>
      <c r="B242" s="38" t="s">
        <v>987</v>
      </c>
      <c r="C242" t="s">
        <v>580</v>
      </c>
      <c r="E242" t="s">
        <v>465</v>
      </c>
      <c r="F242" t="s">
        <v>581</v>
      </c>
      <c r="G242" t="s">
        <v>465</v>
      </c>
      <c r="H242" t="s">
        <v>582</v>
      </c>
      <c r="I242" s="6" t="s">
        <v>136</v>
      </c>
      <c r="J242" s="6">
        <v>0</v>
      </c>
      <c r="L242" s="15">
        <v>1</v>
      </c>
      <c r="N242" s="7">
        <v>46114</v>
      </c>
      <c r="O242" s="7">
        <v>46111</v>
      </c>
      <c r="P242" s="7">
        <v>46112</v>
      </c>
      <c r="S242" s="6" t="s">
        <v>465</v>
      </c>
      <c r="U242" s="6" t="s">
        <v>464</v>
      </c>
      <c r="V242" s="6" t="str">
        <f t="shared" si="103"/>
        <v>26/04</v>
      </c>
      <c r="W242">
        <v>1546</v>
      </c>
      <c r="AA242">
        <v>900</v>
      </c>
      <c r="AC242">
        <v>953</v>
      </c>
      <c r="AI242" s="23">
        <v>0</v>
      </c>
      <c r="AJ242" s="23">
        <v>0</v>
      </c>
      <c r="AK242" s="23">
        <v>0</v>
      </c>
      <c r="AL242" s="23">
        <v>0</v>
      </c>
      <c r="AM242" s="23">
        <v>0</v>
      </c>
      <c r="AN242" s="23">
        <v>0</v>
      </c>
      <c r="AO242" s="23">
        <v>0</v>
      </c>
      <c r="AP242" s="23">
        <v>0</v>
      </c>
      <c r="AQ242" s="23">
        <v>0</v>
      </c>
      <c r="AR242" s="23">
        <v>0</v>
      </c>
      <c r="AS242" s="23">
        <v>0</v>
      </c>
      <c r="AT242" s="23">
        <v>0</v>
      </c>
      <c r="AU242" s="23">
        <v>0</v>
      </c>
      <c r="AV242" s="23">
        <v>0</v>
      </c>
      <c r="AW242" s="23">
        <v>0</v>
      </c>
      <c r="AX242" s="23">
        <v>0</v>
      </c>
      <c r="AY242" s="23">
        <v>0</v>
      </c>
      <c r="AZ242" s="23">
        <v>0</v>
      </c>
      <c r="BA242" s="23">
        <v>0</v>
      </c>
      <c r="BB242" s="23">
        <v>0</v>
      </c>
      <c r="BC242" s="23">
        <v>0</v>
      </c>
      <c r="BD242" s="23">
        <v>0</v>
      </c>
      <c r="BE242" s="23">
        <v>0</v>
      </c>
      <c r="BF242" s="23">
        <v>0</v>
      </c>
      <c r="BG242" s="23">
        <v>1</v>
      </c>
      <c r="BH242" s="23">
        <v>1</v>
      </c>
      <c r="BI242" s="23">
        <v>1</v>
      </c>
      <c r="BJ242" s="23">
        <v>1</v>
      </c>
      <c r="BK242" s="23">
        <v>1</v>
      </c>
      <c r="BL242" s="23">
        <v>1</v>
      </c>
      <c r="BM242" s="23">
        <v>1</v>
      </c>
      <c r="BN242" s="23">
        <v>1</v>
      </c>
      <c r="BO242" s="23">
        <v>1</v>
      </c>
      <c r="BP242" s="23">
        <f t="shared" si="104"/>
        <v>0</v>
      </c>
      <c r="BQ242" s="23">
        <f t="shared" si="105"/>
        <v>0</v>
      </c>
      <c r="BR242" s="23">
        <f t="shared" si="106"/>
        <v>0</v>
      </c>
      <c r="BS242" s="23">
        <f t="shared" si="107"/>
        <v>0</v>
      </c>
      <c r="BT242" s="23">
        <f t="shared" si="108"/>
        <v>0</v>
      </c>
      <c r="BU242" s="23">
        <f t="shared" si="109"/>
        <v>0</v>
      </c>
      <c r="BV242" s="23">
        <f t="shared" si="110"/>
        <v>0</v>
      </c>
      <c r="BW242" s="23">
        <f t="shared" si="111"/>
        <v>0</v>
      </c>
      <c r="BX242" s="23">
        <f t="shared" si="112"/>
        <v>0</v>
      </c>
      <c r="BY242" s="23">
        <f t="shared" si="113"/>
        <v>0</v>
      </c>
      <c r="BZ242" s="23">
        <f t="shared" si="114"/>
        <v>0</v>
      </c>
      <c r="CA242" s="23">
        <f t="shared" si="115"/>
        <v>0</v>
      </c>
      <c r="CB242" s="23">
        <f t="shared" si="116"/>
        <v>0</v>
      </c>
      <c r="CC242" s="23">
        <f t="shared" si="117"/>
        <v>0</v>
      </c>
      <c r="CD242" s="23">
        <f t="shared" si="118"/>
        <v>0</v>
      </c>
      <c r="CE242" s="23">
        <f t="shared" si="119"/>
        <v>0</v>
      </c>
      <c r="CF242" s="23">
        <f t="shared" si="120"/>
        <v>0</v>
      </c>
      <c r="CG242" s="23">
        <f t="shared" si="121"/>
        <v>0</v>
      </c>
      <c r="CH242" s="23">
        <f t="shared" si="122"/>
        <v>0</v>
      </c>
      <c r="CI242" s="23">
        <f t="shared" si="123"/>
        <v>0</v>
      </c>
      <c r="CJ242" s="23">
        <f t="shared" si="124"/>
        <v>0</v>
      </c>
      <c r="CK242" s="23">
        <f t="shared" si="125"/>
        <v>0</v>
      </c>
      <c r="CL242" s="23">
        <f t="shared" si="126"/>
        <v>0</v>
      </c>
      <c r="CM242" s="23">
        <f t="shared" si="127"/>
        <v>0</v>
      </c>
      <c r="CN242" s="23">
        <f t="shared" si="128"/>
        <v>1</v>
      </c>
      <c r="CO242" s="23">
        <f t="shared" si="129"/>
        <v>1</v>
      </c>
      <c r="CP242" s="23">
        <f t="shared" si="130"/>
        <v>1</v>
      </c>
      <c r="CQ242" s="23">
        <f t="shared" si="131"/>
        <v>1</v>
      </c>
      <c r="CR242" s="23">
        <f t="shared" si="132"/>
        <v>1</v>
      </c>
      <c r="CS242" s="23">
        <f t="shared" si="133"/>
        <v>1</v>
      </c>
      <c r="CT242" s="23">
        <f t="shared" si="134"/>
        <v>1</v>
      </c>
      <c r="CU242" s="23">
        <f t="shared" si="135"/>
        <v>1</v>
      </c>
      <c r="CV242" s="23">
        <f t="shared" si="136"/>
        <v>1</v>
      </c>
    </row>
    <row r="243" spans="1:100" ht="13.5">
      <c r="A243" s="15">
        <v>206</v>
      </c>
      <c r="B243" s="38" t="s">
        <v>988</v>
      </c>
      <c r="C243" t="s">
        <v>580</v>
      </c>
      <c r="E243" t="s">
        <v>465</v>
      </c>
      <c r="F243" t="s">
        <v>581</v>
      </c>
      <c r="G243" t="s">
        <v>465</v>
      </c>
      <c r="H243" t="s">
        <v>582</v>
      </c>
      <c r="I243" s="6" t="s">
        <v>136</v>
      </c>
      <c r="J243" s="6">
        <v>0</v>
      </c>
      <c r="L243" s="15">
        <v>1</v>
      </c>
      <c r="N243" s="7">
        <v>46114</v>
      </c>
      <c r="O243" s="7">
        <v>46111</v>
      </c>
      <c r="P243" s="7">
        <v>46112</v>
      </c>
      <c r="S243" s="6" t="s">
        <v>465</v>
      </c>
      <c r="U243" s="6" t="s">
        <v>464</v>
      </c>
      <c r="V243" s="6" t="str">
        <f t="shared" si="103"/>
        <v>26/04</v>
      </c>
      <c r="W243">
        <v>1547</v>
      </c>
      <c r="AA243">
        <v>901</v>
      </c>
      <c r="AC243">
        <v>954</v>
      </c>
      <c r="AI243" s="23">
        <v>0</v>
      </c>
      <c r="AJ243" s="23">
        <v>0</v>
      </c>
      <c r="AK243" s="23">
        <v>0</v>
      </c>
      <c r="AL243" s="23">
        <v>0</v>
      </c>
      <c r="AM243" s="23">
        <v>0</v>
      </c>
      <c r="AN243" s="23">
        <v>0</v>
      </c>
      <c r="AO243" s="23">
        <v>0</v>
      </c>
      <c r="AP243" s="23">
        <v>0</v>
      </c>
      <c r="AQ243" s="23">
        <v>0</v>
      </c>
      <c r="AR243" s="23">
        <v>0</v>
      </c>
      <c r="AS243" s="23">
        <v>0</v>
      </c>
      <c r="AT243" s="23">
        <v>0</v>
      </c>
      <c r="AU243" s="23">
        <v>0</v>
      </c>
      <c r="AV243" s="23">
        <v>0</v>
      </c>
      <c r="AW243" s="23">
        <v>0</v>
      </c>
      <c r="AX243" s="23">
        <v>0</v>
      </c>
      <c r="AY243" s="23">
        <v>0</v>
      </c>
      <c r="AZ243" s="23">
        <v>0</v>
      </c>
      <c r="BA243" s="23">
        <v>0</v>
      </c>
      <c r="BB243" s="23">
        <v>0</v>
      </c>
      <c r="BC243" s="23">
        <v>0</v>
      </c>
      <c r="BD243" s="23">
        <v>0</v>
      </c>
      <c r="BE243" s="23">
        <v>0</v>
      </c>
      <c r="BF243" s="23">
        <v>0</v>
      </c>
      <c r="BG243" s="23">
        <v>1</v>
      </c>
      <c r="BH243" s="23">
        <v>1</v>
      </c>
      <c r="BI243" s="23">
        <v>1</v>
      </c>
      <c r="BJ243" s="23">
        <v>1</v>
      </c>
      <c r="BK243" s="23">
        <v>1</v>
      </c>
      <c r="BL243" s="23">
        <v>1</v>
      </c>
      <c r="BM243" s="23">
        <v>1</v>
      </c>
      <c r="BN243" s="23">
        <v>1</v>
      </c>
      <c r="BO243" s="23">
        <v>1</v>
      </c>
      <c r="BP243" s="23">
        <f t="shared" si="104"/>
        <v>0</v>
      </c>
      <c r="BQ243" s="23">
        <f t="shared" si="105"/>
        <v>0</v>
      </c>
      <c r="BR243" s="23">
        <f t="shared" si="106"/>
        <v>0</v>
      </c>
      <c r="BS243" s="23">
        <f t="shared" si="107"/>
        <v>0</v>
      </c>
      <c r="BT243" s="23">
        <f t="shared" si="108"/>
        <v>0</v>
      </c>
      <c r="BU243" s="23">
        <f t="shared" si="109"/>
        <v>0</v>
      </c>
      <c r="BV243" s="23">
        <f t="shared" si="110"/>
        <v>0</v>
      </c>
      <c r="BW243" s="23">
        <f t="shared" si="111"/>
        <v>0</v>
      </c>
      <c r="BX243" s="23">
        <f t="shared" si="112"/>
        <v>0</v>
      </c>
      <c r="BY243" s="23">
        <f t="shared" si="113"/>
        <v>0</v>
      </c>
      <c r="BZ243" s="23">
        <f t="shared" si="114"/>
        <v>0</v>
      </c>
      <c r="CA243" s="23">
        <f t="shared" si="115"/>
        <v>0</v>
      </c>
      <c r="CB243" s="23">
        <f t="shared" si="116"/>
        <v>0</v>
      </c>
      <c r="CC243" s="23">
        <f t="shared" si="117"/>
        <v>0</v>
      </c>
      <c r="CD243" s="23">
        <f t="shared" si="118"/>
        <v>0</v>
      </c>
      <c r="CE243" s="23">
        <f t="shared" si="119"/>
        <v>0</v>
      </c>
      <c r="CF243" s="23">
        <f t="shared" si="120"/>
        <v>0</v>
      </c>
      <c r="CG243" s="23">
        <f t="shared" si="121"/>
        <v>0</v>
      </c>
      <c r="CH243" s="23">
        <f t="shared" si="122"/>
        <v>0</v>
      </c>
      <c r="CI243" s="23">
        <f t="shared" si="123"/>
        <v>0</v>
      </c>
      <c r="CJ243" s="23">
        <f t="shared" si="124"/>
        <v>0</v>
      </c>
      <c r="CK243" s="23">
        <f t="shared" si="125"/>
        <v>0</v>
      </c>
      <c r="CL243" s="23">
        <f t="shared" si="126"/>
        <v>0</v>
      </c>
      <c r="CM243" s="23">
        <f t="shared" si="127"/>
        <v>0</v>
      </c>
      <c r="CN243" s="23">
        <f t="shared" si="128"/>
        <v>1</v>
      </c>
      <c r="CO243" s="23">
        <f t="shared" si="129"/>
        <v>1</v>
      </c>
      <c r="CP243" s="23">
        <f t="shared" si="130"/>
        <v>1</v>
      </c>
      <c r="CQ243" s="23">
        <f t="shared" si="131"/>
        <v>1</v>
      </c>
      <c r="CR243" s="23">
        <f t="shared" si="132"/>
        <v>1</v>
      </c>
      <c r="CS243" s="23">
        <f t="shared" si="133"/>
        <v>1</v>
      </c>
      <c r="CT243" s="23">
        <f t="shared" si="134"/>
        <v>1</v>
      </c>
      <c r="CU243" s="23">
        <f t="shared" si="135"/>
        <v>1</v>
      </c>
      <c r="CV243" s="23">
        <f t="shared" si="136"/>
        <v>1</v>
      </c>
    </row>
    <row r="244" spans="1:100" ht="13.5">
      <c r="A244" s="15">
        <v>206</v>
      </c>
      <c r="B244" s="38" t="s">
        <v>989</v>
      </c>
      <c r="C244" t="s">
        <v>580</v>
      </c>
      <c r="E244" t="s">
        <v>465</v>
      </c>
      <c r="F244" t="s">
        <v>581</v>
      </c>
      <c r="G244" t="s">
        <v>465</v>
      </c>
      <c r="H244" t="s">
        <v>582</v>
      </c>
      <c r="I244" s="6" t="s">
        <v>136</v>
      </c>
      <c r="J244" s="6">
        <v>0</v>
      </c>
      <c r="L244" s="15">
        <v>1</v>
      </c>
      <c r="N244" s="7">
        <v>46115</v>
      </c>
      <c r="O244" s="7">
        <v>46111</v>
      </c>
      <c r="P244" s="7">
        <v>46112</v>
      </c>
      <c r="S244" s="6" t="s">
        <v>465</v>
      </c>
      <c r="U244" s="6" t="s">
        <v>464</v>
      </c>
      <c r="V244" s="6" t="str">
        <f t="shared" si="103"/>
        <v>26/04</v>
      </c>
      <c r="W244">
        <v>1548</v>
      </c>
      <c r="AA244">
        <v>902</v>
      </c>
      <c r="AC244">
        <v>955</v>
      </c>
      <c r="AI244" s="23">
        <v>0</v>
      </c>
      <c r="AJ244" s="23">
        <v>0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3">
        <v>0</v>
      </c>
      <c r="AS244" s="23">
        <v>0</v>
      </c>
      <c r="AT244" s="23">
        <v>0</v>
      </c>
      <c r="AU244" s="23">
        <v>0</v>
      </c>
      <c r="AV244" s="23">
        <v>0</v>
      </c>
      <c r="AW244" s="23">
        <v>0</v>
      </c>
      <c r="AX244" s="23">
        <v>0</v>
      </c>
      <c r="AY244" s="23">
        <v>0</v>
      </c>
      <c r="AZ244" s="23">
        <v>0</v>
      </c>
      <c r="BA244" s="23">
        <v>0</v>
      </c>
      <c r="BB244" s="23">
        <v>0</v>
      </c>
      <c r="BC244" s="23">
        <v>0</v>
      </c>
      <c r="BD244" s="23">
        <v>0</v>
      </c>
      <c r="BE244" s="23">
        <v>0</v>
      </c>
      <c r="BF244" s="23">
        <v>0</v>
      </c>
      <c r="BG244" s="23">
        <v>1</v>
      </c>
      <c r="BH244" s="23">
        <v>1</v>
      </c>
      <c r="BI244" s="23">
        <v>1</v>
      </c>
      <c r="BJ244" s="23">
        <v>1</v>
      </c>
      <c r="BK244" s="23">
        <v>1</v>
      </c>
      <c r="BL244" s="23">
        <v>1</v>
      </c>
      <c r="BM244" s="23">
        <v>1</v>
      </c>
      <c r="BN244" s="23">
        <v>1</v>
      </c>
      <c r="BO244" s="23">
        <v>1</v>
      </c>
      <c r="BP244" s="23">
        <f t="shared" si="104"/>
        <v>0</v>
      </c>
      <c r="BQ244" s="23">
        <f t="shared" si="105"/>
        <v>0</v>
      </c>
      <c r="BR244" s="23">
        <f t="shared" si="106"/>
        <v>0</v>
      </c>
      <c r="BS244" s="23">
        <f t="shared" si="107"/>
        <v>0</v>
      </c>
      <c r="BT244" s="23">
        <f t="shared" si="108"/>
        <v>0</v>
      </c>
      <c r="BU244" s="23">
        <f t="shared" si="109"/>
        <v>0</v>
      </c>
      <c r="BV244" s="23">
        <f t="shared" si="110"/>
        <v>0</v>
      </c>
      <c r="BW244" s="23">
        <f t="shared" si="111"/>
        <v>0</v>
      </c>
      <c r="BX244" s="23">
        <f t="shared" si="112"/>
        <v>0</v>
      </c>
      <c r="BY244" s="23">
        <f t="shared" si="113"/>
        <v>0</v>
      </c>
      <c r="BZ244" s="23">
        <f t="shared" si="114"/>
        <v>0</v>
      </c>
      <c r="CA244" s="23">
        <f t="shared" si="115"/>
        <v>0</v>
      </c>
      <c r="CB244" s="23">
        <f t="shared" si="116"/>
        <v>0</v>
      </c>
      <c r="CC244" s="23">
        <f t="shared" si="117"/>
        <v>0</v>
      </c>
      <c r="CD244" s="23">
        <f t="shared" si="118"/>
        <v>0</v>
      </c>
      <c r="CE244" s="23">
        <f t="shared" si="119"/>
        <v>0</v>
      </c>
      <c r="CF244" s="23">
        <f t="shared" si="120"/>
        <v>0</v>
      </c>
      <c r="CG244" s="23">
        <f t="shared" si="121"/>
        <v>0</v>
      </c>
      <c r="CH244" s="23">
        <f t="shared" si="122"/>
        <v>0</v>
      </c>
      <c r="CI244" s="23">
        <f t="shared" si="123"/>
        <v>0</v>
      </c>
      <c r="CJ244" s="23">
        <f t="shared" si="124"/>
        <v>0</v>
      </c>
      <c r="CK244" s="23">
        <f t="shared" si="125"/>
        <v>0</v>
      </c>
      <c r="CL244" s="23">
        <f t="shared" si="126"/>
        <v>0</v>
      </c>
      <c r="CM244" s="23">
        <f t="shared" si="127"/>
        <v>0</v>
      </c>
      <c r="CN244" s="23">
        <f t="shared" si="128"/>
        <v>1</v>
      </c>
      <c r="CO244" s="23">
        <f t="shared" si="129"/>
        <v>1</v>
      </c>
      <c r="CP244" s="23">
        <f t="shared" si="130"/>
        <v>1</v>
      </c>
      <c r="CQ244" s="23">
        <f t="shared" si="131"/>
        <v>1</v>
      </c>
      <c r="CR244" s="23">
        <f t="shared" si="132"/>
        <v>1</v>
      </c>
      <c r="CS244" s="23">
        <f t="shared" si="133"/>
        <v>1</v>
      </c>
      <c r="CT244" s="23">
        <f t="shared" si="134"/>
        <v>1</v>
      </c>
      <c r="CU244" s="23">
        <f t="shared" si="135"/>
        <v>1</v>
      </c>
      <c r="CV244" s="23">
        <f t="shared" si="136"/>
        <v>1</v>
      </c>
    </row>
    <row r="245" spans="1:100" ht="13.5">
      <c r="A245" s="15">
        <v>206</v>
      </c>
      <c r="B245" s="38" t="s">
        <v>990</v>
      </c>
      <c r="C245" t="s">
        <v>580</v>
      </c>
      <c r="E245" t="s">
        <v>465</v>
      </c>
      <c r="F245" t="s">
        <v>581</v>
      </c>
      <c r="G245" t="s">
        <v>465</v>
      </c>
      <c r="H245" t="s">
        <v>582</v>
      </c>
      <c r="I245" s="6" t="s">
        <v>136</v>
      </c>
      <c r="J245" s="6">
        <v>0</v>
      </c>
      <c r="L245" s="15">
        <v>1</v>
      </c>
      <c r="N245" s="7">
        <v>46115</v>
      </c>
      <c r="O245" s="7">
        <v>46111</v>
      </c>
      <c r="P245" s="7">
        <v>46112</v>
      </c>
      <c r="S245" s="6" t="s">
        <v>465</v>
      </c>
      <c r="U245" s="6" t="s">
        <v>464</v>
      </c>
      <c r="V245" s="6" t="str">
        <f t="shared" si="103"/>
        <v>26/04</v>
      </c>
      <c r="W245">
        <v>1549</v>
      </c>
      <c r="AA245">
        <v>903</v>
      </c>
      <c r="AC245">
        <v>956</v>
      </c>
      <c r="AI245" s="23">
        <v>0</v>
      </c>
      <c r="AJ245" s="23">
        <v>0</v>
      </c>
      <c r="AK245" s="23">
        <v>0</v>
      </c>
      <c r="AL245" s="23">
        <v>0</v>
      </c>
      <c r="AM245" s="23">
        <v>0</v>
      </c>
      <c r="AN245" s="23">
        <v>0</v>
      </c>
      <c r="AO245" s="23">
        <v>0</v>
      </c>
      <c r="AP245" s="23">
        <v>0</v>
      </c>
      <c r="AQ245" s="23">
        <v>0</v>
      </c>
      <c r="AR245" s="23">
        <v>0</v>
      </c>
      <c r="AS245" s="23">
        <v>0</v>
      </c>
      <c r="AT245" s="23">
        <v>0</v>
      </c>
      <c r="AU245" s="23">
        <v>0</v>
      </c>
      <c r="AV245" s="23">
        <v>0</v>
      </c>
      <c r="AW245" s="23">
        <v>0</v>
      </c>
      <c r="AX245" s="23">
        <v>0</v>
      </c>
      <c r="AY245" s="23">
        <v>0</v>
      </c>
      <c r="AZ245" s="23">
        <v>0</v>
      </c>
      <c r="BA245" s="23">
        <v>0</v>
      </c>
      <c r="BB245" s="23">
        <v>0</v>
      </c>
      <c r="BC245" s="23">
        <v>0</v>
      </c>
      <c r="BD245" s="23">
        <v>0</v>
      </c>
      <c r="BE245" s="23">
        <v>0</v>
      </c>
      <c r="BF245" s="23">
        <v>0</v>
      </c>
      <c r="BG245" s="23">
        <v>1</v>
      </c>
      <c r="BH245" s="23">
        <v>1</v>
      </c>
      <c r="BI245" s="23">
        <v>1</v>
      </c>
      <c r="BJ245" s="23">
        <v>1</v>
      </c>
      <c r="BK245" s="23">
        <v>1</v>
      </c>
      <c r="BL245" s="23">
        <v>1</v>
      </c>
      <c r="BM245" s="23">
        <v>1</v>
      </c>
      <c r="BN245" s="23">
        <v>1</v>
      </c>
      <c r="BO245" s="23">
        <v>1</v>
      </c>
      <c r="BP245" s="23">
        <f t="shared" si="104"/>
        <v>0</v>
      </c>
      <c r="BQ245" s="23">
        <f t="shared" si="105"/>
        <v>0</v>
      </c>
      <c r="BR245" s="23">
        <f t="shared" si="106"/>
        <v>0</v>
      </c>
      <c r="BS245" s="23">
        <f t="shared" si="107"/>
        <v>0</v>
      </c>
      <c r="BT245" s="23">
        <f t="shared" si="108"/>
        <v>0</v>
      </c>
      <c r="BU245" s="23">
        <f t="shared" si="109"/>
        <v>0</v>
      </c>
      <c r="BV245" s="23">
        <f t="shared" si="110"/>
        <v>0</v>
      </c>
      <c r="BW245" s="23">
        <f t="shared" si="111"/>
        <v>0</v>
      </c>
      <c r="BX245" s="23">
        <f t="shared" si="112"/>
        <v>0</v>
      </c>
      <c r="BY245" s="23">
        <f t="shared" si="113"/>
        <v>0</v>
      </c>
      <c r="BZ245" s="23">
        <f t="shared" si="114"/>
        <v>0</v>
      </c>
      <c r="CA245" s="23">
        <f t="shared" si="115"/>
        <v>0</v>
      </c>
      <c r="CB245" s="23">
        <f t="shared" si="116"/>
        <v>0</v>
      </c>
      <c r="CC245" s="23">
        <f t="shared" si="117"/>
        <v>0</v>
      </c>
      <c r="CD245" s="23">
        <f t="shared" si="118"/>
        <v>0</v>
      </c>
      <c r="CE245" s="23">
        <f t="shared" si="119"/>
        <v>0</v>
      </c>
      <c r="CF245" s="23">
        <f t="shared" si="120"/>
        <v>0</v>
      </c>
      <c r="CG245" s="23">
        <f t="shared" si="121"/>
        <v>0</v>
      </c>
      <c r="CH245" s="23">
        <f t="shared" si="122"/>
        <v>0</v>
      </c>
      <c r="CI245" s="23">
        <f t="shared" si="123"/>
        <v>0</v>
      </c>
      <c r="CJ245" s="23">
        <f t="shared" si="124"/>
        <v>0</v>
      </c>
      <c r="CK245" s="23">
        <f t="shared" si="125"/>
        <v>0</v>
      </c>
      <c r="CL245" s="23">
        <f t="shared" si="126"/>
        <v>0</v>
      </c>
      <c r="CM245" s="23">
        <f t="shared" si="127"/>
        <v>0</v>
      </c>
      <c r="CN245" s="23">
        <f t="shared" si="128"/>
        <v>1</v>
      </c>
      <c r="CO245" s="23">
        <f t="shared" si="129"/>
        <v>1</v>
      </c>
      <c r="CP245" s="23">
        <f t="shared" si="130"/>
        <v>1</v>
      </c>
      <c r="CQ245" s="23">
        <f t="shared" si="131"/>
        <v>1</v>
      </c>
      <c r="CR245" s="23">
        <f t="shared" si="132"/>
        <v>1</v>
      </c>
      <c r="CS245" s="23">
        <f t="shared" si="133"/>
        <v>1</v>
      </c>
      <c r="CT245" s="23">
        <f t="shared" si="134"/>
        <v>1</v>
      </c>
      <c r="CU245" s="23">
        <f t="shared" si="135"/>
        <v>1</v>
      </c>
      <c r="CV245" s="23">
        <f t="shared" si="136"/>
        <v>1</v>
      </c>
    </row>
    <row r="246" spans="1:100" ht="13.5">
      <c r="A246" s="15">
        <v>206</v>
      </c>
      <c r="B246" s="38" t="s">
        <v>991</v>
      </c>
      <c r="C246" t="s">
        <v>580</v>
      </c>
      <c r="E246" t="s">
        <v>465</v>
      </c>
      <c r="F246" t="s">
        <v>581</v>
      </c>
      <c r="G246" t="s">
        <v>465</v>
      </c>
      <c r="H246" t="s">
        <v>582</v>
      </c>
      <c r="I246" s="6" t="s">
        <v>136</v>
      </c>
      <c r="J246" s="6">
        <v>0</v>
      </c>
      <c r="L246" s="15">
        <v>1</v>
      </c>
      <c r="N246" s="7">
        <v>46118</v>
      </c>
      <c r="O246" s="7">
        <v>46111</v>
      </c>
      <c r="P246" s="7">
        <v>46112</v>
      </c>
      <c r="S246" s="6" t="s">
        <v>465</v>
      </c>
      <c r="U246" s="6" t="s">
        <v>464</v>
      </c>
      <c r="V246" s="6" t="str">
        <f t="shared" si="103"/>
        <v>26/04</v>
      </c>
      <c r="W246">
        <v>1550</v>
      </c>
      <c r="AA246">
        <v>904</v>
      </c>
      <c r="AC246">
        <v>957</v>
      </c>
      <c r="AI246" s="23">
        <v>0</v>
      </c>
      <c r="AJ246" s="23">
        <v>0</v>
      </c>
      <c r="AK246" s="23">
        <v>0</v>
      </c>
      <c r="AL246" s="23">
        <v>0</v>
      </c>
      <c r="AM246" s="23">
        <v>0</v>
      </c>
      <c r="AN246" s="23">
        <v>0</v>
      </c>
      <c r="AO246" s="23">
        <v>0</v>
      </c>
      <c r="AP246" s="23">
        <v>0</v>
      </c>
      <c r="AQ246" s="23">
        <v>0</v>
      </c>
      <c r="AR246" s="23">
        <v>0</v>
      </c>
      <c r="AS246" s="23">
        <v>0</v>
      </c>
      <c r="AT246" s="23">
        <v>0</v>
      </c>
      <c r="AU246" s="23">
        <v>0</v>
      </c>
      <c r="AV246" s="23">
        <v>0</v>
      </c>
      <c r="AW246" s="23">
        <v>0</v>
      </c>
      <c r="AX246" s="23">
        <v>0</v>
      </c>
      <c r="AY246" s="23">
        <v>0</v>
      </c>
      <c r="AZ246" s="23">
        <v>0</v>
      </c>
      <c r="BA246" s="23">
        <v>0</v>
      </c>
      <c r="BB246" s="23">
        <v>0</v>
      </c>
      <c r="BC246" s="23">
        <v>0</v>
      </c>
      <c r="BD246" s="23">
        <v>0</v>
      </c>
      <c r="BE246" s="23">
        <v>0</v>
      </c>
      <c r="BF246" s="23">
        <v>0</v>
      </c>
      <c r="BG246" s="23">
        <v>1</v>
      </c>
      <c r="BH246" s="23">
        <v>1</v>
      </c>
      <c r="BI246" s="23">
        <v>1</v>
      </c>
      <c r="BJ246" s="23">
        <v>1</v>
      </c>
      <c r="BK246" s="23">
        <v>1</v>
      </c>
      <c r="BL246" s="23">
        <v>1</v>
      </c>
      <c r="BM246" s="23">
        <v>1</v>
      </c>
      <c r="BN246" s="23">
        <v>1</v>
      </c>
      <c r="BO246" s="23">
        <v>1</v>
      </c>
      <c r="BP246" s="23">
        <f t="shared" si="104"/>
        <v>0</v>
      </c>
      <c r="BQ246" s="23">
        <f t="shared" si="105"/>
        <v>0</v>
      </c>
      <c r="BR246" s="23">
        <f t="shared" si="106"/>
        <v>0</v>
      </c>
      <c r="BS246" s="23">
        <f t="shared" si="107"/>
        <v>0</v>
      </c>
      <c r="BT246" s="23">
        <f t="shared" si="108"/>
        <v>0</v>
      </c>
      <c r="BU246" s="23">
        <f t="shared" si="109"/>
        <v>0</v>
      </c>
      <c r="BV246" s="23">
        <f t="shared" si="110"/>
        <v>0</v>
      </c>
      <c r="BW246" s="23">
        <f t="shared" si="111"/>
        <v>0</v>
      </c>
      <c r="BX246" s="23">
        <f t="shared" si="112"/>
        <v>0</v>
      </c>
      <c r="BY246" s="23">
        <f t="shared" si="113"/>
        <v>0</v>
      </c>
      <c r="BZ246" s="23">
        <f t="shared" si="114"/>
        <v>0</v>
      </c>
      <c r="CA246" s="23">
        <f t="shared" si="115"/>
        <v>0</v>
      </c>
      <c r="CB246" s="23">
        <f t="shared" si="116"/>
        <v>0</v>
      </c>
      <c r="CC246" s="23">
        <f t="shared" si="117"/>
        <v>0</v>
      </c>
      <c r="CD246" s="23">
        <f t="shared" si="118"/>
        <v>0</v>
      </c>
      <c r="CE246" s="23">
        <f t="shared" si="119"/>
        <v>0</v>
      </c>
      <c r="CF246" s="23">
        <f t="shared" si="120"/>
        <v>0</v>
      </c>
      <c r="CG246" s="23">
        <f t="shared" si="121"/>
        <v>0</v>
      </c>
      <c r="CH246" s="23">
        <f t="shared" si="122"/>
        <v>0</v>
      </c>
      <c r="CI246" s="23">
        <f t="shared" si="123"/>
        <v>0</v>
      </c>
      <c r="CJ246" s="23">
        <f t="shared" si="124"/>
        <v>0</v>
      </c>
      <c r="CK246" s="23">
        <f t="shared" si="125"/>
        <v>0</v>
      </c>
      <c r="CL246" s="23">
        <f t="shared" si="126"/>
        <v>0</v>
      </c>
      <c r="CM246" s="23">
        <f t="shared" si="127"/>
        <v>0</v>
      </c>
      <c r="CN246" s="23">
        <f t="shared" si="128"/>
        <v>1</v>
      </c>
      <c r="CO246" s="23">
        <f t="shared" si="129"/>
        <v>1</v>
      </c>
      <c r="CP246" s="23">
        <f t="shared" si="130"/>
        <v>1</v>
      </c>
      <c r="CQ246" s="23">
        <f t="shared" si="131"/>
        <v>1</v>
      </c>
      <c r="CR246" s="23">
        <f t="shared" si="132"/>
        <v>1</v>
      </c>
      <c r="CS246" s="23">
        <f t="shared" si="133"/>
        <v>1</v>
      </c>
      <c r="CT246" s="23">
        <f t="shared" si="134"/>
        <v>1</v>
      </c>
      <c r="CU246" s="23">
        <f t="shared" si="135"/>
        <v>1</v>
      </c>
      <c r="CV246" s="23">
        <f t="shared" si="136"/>
        <v>1</v>
      </c>
    </row>
    <row r="247" spans="1:100" ht="13.5">
      <c r="A247" s="15">
        <v>206</v>
      </c>
      <c r="B247" s="38" t="s">
        <v>777</v>
      </c>
      <c r="C247" t="s">
        <v>580</v>
      </c>
      <c r="E247" t="s">
        <v>465</v>
      </c>
      <c r="F247" t="s">
        <v>581</v>
      </c>
      <c r="G247" t="s">
        <v>465</v>
      </c>
      <c r="H247" t="s">
        <v>582</v>
      </c>
      <c r="I247" s="6" t="s">
        <v>136</v>
      </c>
      <c r="J247" s="6">
        <v>0</v>
      </c>
      <c r="L247" s="15">
        <v>1</v>
      </c>
      <c r="N247" s="7">
        <v>46118</v>
      </c>
      <c r="O247" s="7">
        <v>46111</v>
      </c>
      <c r="P247" s="7">
        <v>46112</v>
      </c>
      <c r="S247" s="6" t="s">
        <v>465</v>
      </c>
      <c r="U247" s="6" t="s">
        <v>464</v>
      </c>
      <c r="V247" s="6" t="str">
        <f t="shared" si="103"/>
        <v>26/04</v>
      </c>
      <c r="W247">
        <v>1551</v>
      </c>
      <c r="AA247">
        <v>905</v>
      </c>
      <c r="AC247">
        <v>958</v>
      </c>
      <c r="AI247" s="23">
        <v>0</v>
      </c>
      <c r="AJ247" s="23">
        <v>0</v>
      </c>
      <c r="AK247" s="23">
        <v>0</v>
      </c>
      <c r="AL247" s="23">
        <v>0</v>
      </c>
      <c r="AM247" s="23">
        <v>0</v>
      </c>
      <c r="AN247" s="23">
        <v>0</v>
      </c>
      <c r="AO247" s="23">
        <v>0</v>
      </c>
      <c r="AP247" s="23">
        <v>0</v>
      </c>
      <c r="AQ247" s="23">
        <v>0</v>
      </c>
      <c r="AR247" s="23">
        <v>0</v>
      </c>
      <c r="AS247" s="23">
        <v>0</v>
      </c>
      <c r="AT247" s="23">
        <v>0</v>
      </c>
      <c r="AU247" s="23">
        <v>0</v>
      </c>
      <c r="AV247" s="23">
        <v>0</v>
      </c>
      <c r="AW247" s="23">
        <v>0</v>
      </c>
      <c r="AX247" s="23">
        <v>0</v>
      </c>
      <c r="AY247" s="23">
        <v>0</v>
      </c>
      <c r="AZ247" s="23">
        <v>0</v>
      </c>
      <c r="BA247" s="23">
        <v>0</v>
      </c>
      <c r="BB247" s="23">
        <v>0</v>
      </c>
      <c r="BC247" s="23">
        <v>0</v>
      </c>
      <c r="BD247" s="23">
        <v>0</v>
      </c>
      <c r="BE247" s="23">
        <v>0</v>
      </c>
      <c r="BF247" s="23">
        <v>0</v>
      </c>
      <c r="BG247" s="23">
        <v>1</v>
      </c>
      <c r="BH247" s="23">
        <v>1</v>
      </c>
      <c r="BI247" s="23">
        <v>1</v>
      </c>
      <c r="BJ247" s="23">
        <v>1</v>
      </c>
      <c r="BK247" s="23">
        <v>1</v>
      </c>
      <c r="BL247" s="23">
        <v>1</v>
      </c>
      <c r="BM247" s="23">
        <v>1</v>
      </c>
      <c r="BN247" s="23">
        <v>1</v>
      </c>
      <c r="BO247" s="23">
        <v>1</v>
      </c>
      <c r="BP247" s="23">
        <f t="shared" si="104"/>
        <v>0</v>
      </c>
      <c r="BQ247" s="23">
        <f t="shared" si="105"/>
        <v>0</v>
      </c>
      <c r="BR247" s="23">
        <f t="shared" si="106"/>
        <v>0</v>
      </c>
      <c r="BS247" s="23">
        <f t="shared" si="107"/>
        <v>0</v>
      </c>
      <c r="BT247" s="23">
        <f t="shared" si="108"/>
        <v>0</v>
      </c>
      <c r="BU247" s="23">
        <f t="shared" si="109"/>
        <v>0</v>
      </c>
      <c r="BV247" s="23">
        <f t="shared" si="110"/>
        <v>0</v>
      </c>
      <c r="BW247" s="23">
        <f t="shared" si="111"/>
        <v>0</v>
      </c>
      <c r="BX247" s="23">
        <f t="shared" si="112"/>
        <v>0</v>
      </c>
      <c r="BY247" s="23">
        <f t="shared" si="113"/>
        <v>0</v>
      </c>
      <c r="BZ247" s="23">
        <f t="shared" si="114"/>
        <v>0</v>
      </c>
      <c r="CA247" s="23">
        <f t="shared" si="115"/>
        <v>0</v>
      </c>
      <c r="CB247" s="23">
        <f t="shared" si="116"/>
        <v>0</v>
      </c>
      <c r="CC247" s="23">
        <f t="shared" si="117"/>
        <v>0</v>
      </c>
      <c r="CD247" s="23">
        <f t="shared" si="118"/>
        <v>0</v>
      </c>
      <c r="CE247" s="23">
        <f t="shared" si="119"/>
        <v>0</v>
      </c>
      <c r="CF247" s="23">
        <f t="shared" si="120"/>
        <v>0</v>
      </c>
      <c r="CG247" s="23">
        <f t="shared" si="121"/>
        <v>0</v>
      </c>
      <c r="CH247" s="23">
        <f t="shared" si="122"/>
        <v>0</v>
      </c>
      <c r="CI247" s="23">
        <f t="shared" si="123"/>
        <v>0</v>
      </c>
      <c r="CJ247" s="23">
        <f t="shared" si="124"/>
        <v>0</v>
      </c>
      <c r="CK247" s="23">
        <f t="shared" si="125"/>
        <v>0</v>
      </c>
      <c r="CL247" s="23">
        <f t="shared" si="126"/>
        <v>0</v>
      </c>
      <c r="CM247" s="23">
        <f t="shared" si="127"/>
        <v>0</v>
      </c>
      <c r="CN247" s="23">
        <f t="shared" si="128"/>
        <v>1</v>
      </c>
      <c r="CO247" s="23">
        <f t="shared" si="129"/>
        <v>1</v>
      </c>
      <c r="CP247" s="23">
        <f t="shared" si="130"/>
        <v>1</v>
      </c>
      <c r="CQ247" s="23">
        <f t="shared" si="131"/>
        <v>1</v>
      </c>
      <c r="CR247" s="23">
        <f t="shared" si="132"/>
        <v>1</v>
      </c>
      <c r="CS247" s="23">
        <f t="shared" si="133"/>
        <v>1</v>
      </c>
      <c r="CT247" s="23">
        <f t="shared" si="134"/>
        <v>1</v>
      </c>
      <c r="CU247" s="23">
        <f t="shared" si="135"/>
        <v>1</v>
      </c>
      <c r="CV247" s="23">
        <f t="shared" si="136"/>
        <v>1</v>
      </c>
    </row>
    <row r="248" spans="1:100" ht="13.5">
      <c r="A248" s="15">
        <v>206</v>
      </c>
      <c r="B248" s="38" t="s">
        <v>778</v>
      </c>
      <c r="C248" t="s">
        <v>580</v>
      </c>
      <c r="E248" t="s">
        <v>465</v>
      </c>
      <c r="F248" t="s">
        <v>581</v>
      </c>
      <c r="G248" t="s">
        <v>465</v>
      </c>
      <c r="H248" t="s">
        <v>582</v>
      </c>
      <c r="I248" s="6" t="s">
        <v>136</v>
      </c>
      <c r="J248" s="6">
        <v>0</v>
      </c>
      <c r="L248" s="15">
        <v>1</v>
      </c>
      <c r="N248" s="7">
        <v>46119</v>
      </c>
      <c r="O248" s="7">
        <v>46111</v>
      </c>
      <c r="P248" s="7">
        <v>46112</v>
      </c>
      <c r="S248" s="6" t="s">
        <v>465</v>
      </c>
      <c r="U248" s="6" t="s">
        <v>464</v>
      </c>
      <c r="V248" s="6" t="str">
        <f t="shared" si="103"/>
        <v>26/04</v>
      </c>
      <c r="W248">
        <v>1552</v>
      </c>
      <c r="AA248">
        <v>906</v>
      </c>
      <c r="AC248">
        <v>959</v>
      </c>
      <c r="AI248" s="23">
        <v>0</v>
      </c>
      <c r="AJ248" s="23">
        <v>0</v>
      </c>
      <c r="AK248" s="23">
        <v>0</v>
      </c>
      <c r="AL248" s="23">
        <v>0</v>
      </c>
      <c r="AM248" s="23">
        <v>0</v>
      </c>
      <c r="AN248" s="23">
        <v>0</v>
      </c>
      <c r="AO248" s="23">
        <v>0</v>
      </c>
      <c r="AP248" s="23">
        <v>0</v>
      </c>
      <c r="AQ248" s="23">
        <v>0</v>
      </c>
      <c r="AR248" s="23">
        <v>0</v>
      </c>
      <c r="AS248" s="23">
        <v>0</v>
      </c>
      <c r="AT248" s="23">
        <v>0</v>
      </c>
      <c r="AU248" s="23">
        <v>0</v>
      </c>
      <c r="AV248" s="23">
        <v>0</v>
      </c>
      <c r="AW248" s="23">
        <v>0</v>
      </c>
      <c r="AX248" s="23">
        <v>0</v>
      </c>
      <c r="AY248" s="23">
        <v>0</v>
      </c>
      <c r="AZ248" s="23">
        <v>0</v>
      </c>
      <c r="BA248" s="23">
        <v>0</v>
      </c>
      <c r="BB248" s="23">
        <v>0</v>
      </c>
      <c r="BC248" s="23">
        <v>0</v>
      </c>
      <c r="BD248" s="23">
        <v>0</v>
      </c>
      <c r="BE248" s="23">
        <v>0</v>
      </c>
      <c r="BF248" s="23">
        <v>0</v>
      </c>
      <c r="BG248" s="23">
        <v>1</v>
      </c>
      <c r="BH248" s="23">
        <v>1</v>
      </c>
      <c r="BI248" s="23">
        <v>1</v>
      </c>
      <c r="BJ248" s="23">
        <v>1</v>
      </c>
      <c r="BK248" s="23">
        <v>1</v>
      </c>
      <c r="BL248" s="23">
        <v>1</v>
      </c>
      <c r="BM248" s="23">
        <v>1</v>
      </c>
      <c r="BN248" s="23">
        <v>1</v>
      </c>
      <c r="BO248" s="23">
        <v>1</v>
      </c>
      <c r="BP248" s="23">
        <f t="shared" si="104"/>
        <v>0</v>
      </c>
      <c r="BQ248" s="23">
        <f t="shared" si="105"/>
        <v>0</v>
      </c>
      <c r="BR248" s="23">
        <f t="shared" si="106"/>
        <v>0</v>
      </c>
      <c r="BS248" s="23">
        <f t="shared" si="107"/>
        <v>0</v>
      </c>
      <c r="BT248" s="23">
        <f t="shared" si="108"/>
        <v>0</v>
      </c>
      <c r="BU248" s="23">
        <f t="shared" si="109"/>
        <v>0</v>
      </c>
      <c r="BV248" s="23">
        <f t="shared" si="110"/>
        <v>0</v>
      </c>
      <c r="BW248" s="23">
        <f t="shared" si="111"/>
        <v>0</v>
      </c>
      <c r="BX248" s="23">
        <f t="shared" si="112"/>
        <v>0</v>
      </c>
      <c r="BY248" s="23">
        <f t="shared" si="113"/>
        <v>0</v>
      </c>
      <c r="BZ248" s="23">
        <f t="shared" si="114"/>
        <v>0</v>
      </c>
      <c r="CA248" s="23">
        <f t="shared" si="115"/>
        <v>0</v>
      </c>
      <c r="CB248" s="23">
        <f t="shared" si="116"/>
        <v>0</v>
      </c>
      <c r="CC248" s="23">
        <f t="shared" si="117"/>
        <v>0</v>
      </c>
      <c r="CD248" s="23">
        <f t="shared" si="118"/>
        <v>0</v>
      </c>
      <c r="CE248" s="23">
        <f t="shared" si="119"/>
        <v>0</v>
      </c>
      <c r="CF248" s="23">
        <f t="shared" si="120"/>
        <v>0</v>
      </c>
      <c r="CG248" s="23">
        <f t="shared" si="121"/>
        <v>0</v>
      </c>
      <c r="CH248" s="23">
        <f t="shared" si="122"/>
        <v>0</v>
      </c>
      <c r="CI248" s="23">
        <f t="shared" si="123"/>
        <v>0</v>
      </c>
      <c r="CJ248" s="23">
        <f t="shared" si="124"/>
        <v>0</v>
      </c>
      <c r="CK248" s="23">
        <f t="shared" si="125"/>
        <v>0</v>
      </c>
      <c r="CL248" s="23">
        <f t="shared" si="126"/>
        <v>0</v>
      </c>
      <c r="CM248" s="23">
        <f t="shared" si="127"/>
        <v>0</v>
      </c>
      <c r="CN248" s="23">
        <f t="shared" si="128"/>
        <v>1</v>
      </c>
      <c r="CO248" s="23">
        <f t="shared" si="129"/>
        <v>1</v>
      </c>
      <c r="CP248" s="23">
        <f t="shared" si="130"/>
        <v>1</v>
      </c>
      <c r="CQ248" s="23">
        <f t="shared" si="131"/>
        <v>1</v>
      </c>
      <c r="CR248" s="23">
        <f t="shared" si="132"/>
        <v>1</v>
      </c>
      <c r="CS248" s="23">
        <f t="shared" si="133"/>
        <v>1</v>
      </c>
      <c r="CT248" s="23">
        <f t="shared" si="134"/>
        <v>1</v>
      </c>
      <c r="CU248" s="23">
        <f t="shared" si="135"/>
        <v>1</v>
      </c>
      <c r="CV248" s="23">
        <f t="shared" si="136"/>
        <v>1</v>
      </c>
    </row>
    <row r="249" spans="1:100" ht="13.5">
      <c r="A249" s="15">
        <v>206</v>
      </c>
      <c r="B249" s="38" t="s">
        <v>779</v>
      </c>
      <c r="C249" t="s">
        <v>580</v>
      </c>
      <c r="E249" t="s">
        <v>465</v>
      </c>
      <c r="F249" t="s">
        <v>581</v>
      </c>
      <c r="G249" t="s">
        <v>465</v>
      </c>
      <c r="H249" t="s">
        <v>582</v>
      </c>
      <c r="I249" s="6" t="s">
        <v>136</v>
      </c>
      <c r="J249" s="6">
        <v>0</v>
      </c>
      <c r="L249" s="15">
        <v>1</v>
      </c>
      <c r="N249" s="7">
        <v>46119</v>
      </c>
      <c r="O249" s="7">
        <v>46111</v>
      </c>
      <c r="P249" s="7">
        <v>46112</v>
      </c>
      <c r="S249" s="6" t="s">
        <v>465</v>
      </c>
      <c r="U249" s="6" t="s">
        <v>464</v>
      </c>
      <c r="V249" s="6" t="str">
        <f t="shared" si="103"/>
        <v>26/04</v>
      </c>
      <c r="W249">
        <v>1553</v>
      </c>
      <c r="AA249">
        <v>907</v>
      </c>
      <c r="AC249">
        <v>960</v>
      </c>
      <c r="AI249" s="23">
        <v>0</v>
      </c>
      <c r="AJ249" s="23">
        <v>0</v>
      </c>
      <c r="AK249" s="23">
        <v>0</v>
      </c>
      <c r="AL249" s="23">
        <v>0</v>
      </c>
      <c r="AM249" s="23">
        <v>0</v>
      </c>
      <c r="AN249" s="23">
        <v>0</v>
      </c>
      <c r="AO249" s="23">
        <v>0</v>
      </c>
      <c r="AP249" s="23">
        <v>0</v>
      </c>
      <c r="AQ249" s="23">
        <v>0</v>
      </c>
      <c r="AR249" s="23">
        <v>0</v>
      </c>
      <c r="AS249" s="23">
        <v>0</v>
      </c>
      <c r="AT249" s="23">
        <v>0</v>
      </c>
      <c r="AU249" s="23">
        <v>0</v>
      </c>
      <c r="AV249" s="23">
        <v>0</v>
      </c>
      <c r="AW249" s="23">
        <v>0</v>
      </c>
      <c r="AX249" s="23">
        <v>0</v>
      </c>
      <c r="AY249" s="23">
        <v>0</v>
      </c>
      <c r="AZ249" s="23">
        <v>0</v>
      </c>
      <c r="BA249" s="23">
        <v>0</v>
      </c>
      <c r="BB249" s="23">
        <v>0</v>
      </c>
      <c r="BC249" s="23">
        <v>0</v>
      </c>
      <c r="BD249" s="23">
        <v>0</v>
      </c>
      <c r="BE249" s="23">
        <v>0</v>
      </c>
      <c r="BF249" s="23">
        <v>0</v>
      </c>
      <c r="BG249" s="23">
        <v>1</v>
      </c>
      <c r="BH249" s="23">
        <v>1</v>
      </c>
      <c r="BI249" s="23">
        <v>1</v>
      </c>
      <c r="BJ249" s="23">
        <v>1</v>
      </c>
      <c r="BK249" s="23">
        <v>1</v>
      </c>
      <c r="BL249" s="23">
        <v>1</v>
      </c>
      <c r="BM249" s="23">
        <v>1</v>
      </c>
      <c r="BN249" s="23">
        <v>1</v>
      </c>
      <c r="BO249" s="23">
        <v>1</v>
      </c>
      <c r="BP249" s="23">
        <f t="shared" si="104"/>
        <v>0</v>
      </c>
      <c r="BQ249" s="23">
        <f t="shared" si="105"/>
        <v>0</v>
      </c>
      <c r="BR249" s="23">
        <f t="shared" si="106"/>
        <v>0</v>
      </c>
      <c r="BS249" s="23">
        <f t="shared" si="107"/>
        <v>0</v>
      </c>
      <c r="BT249" s="23">
        <f t="shared" si="108"/>
        <v>0</v>
      </c>
      <c r="BU249" s="23">
        <f t="shared" si="109"/>
        <v>0</v>
      </c>
      <c r="BV249" s="23">
        <f t="shared" si="110"/>
        <v>0</v>
      </c>
      <c r="BW249" s="23">
        <f t="shared" si="111"/>
        <v>0</v>
      </c>
      <c r="BX249" s="23">
        <f t="shared" si="112"/>
        <v>0</v>
      </c>
      <c r="BY249" s="23">
        <f t="shared" si="113"/>
        <v>0</v>
      </c>
      <c r="BZ249" s="23">
        <f t="shared" si="114"/>
        <v>0</v>
      </c>
      <c r="CA249" s="23">
        <f t="shared" si="115"/>
        <v>0</v>
      </c>
      <c r="CB249" s="23">
        <f t="shared" si="116"/>
        <v>0</v>
      </c>
      <c r="CC249" s="23">
        <f t="shared" si="117"/>
        <v>0</v>
      </c>
      <c r="CD249" s="23">
        <f t="shared" si="118"/>
        <v>0</v>
      </c>
      <c r="CE249" s="23">
        <f t="shared" si="119"/>
        <v>0</v>
      </c>
      <c r="CF249" s="23">
        <f t="shared" si="120"/>
        <v>0</v>
      </c>
      <c r="CG249" s="23">
        <f t="shared" si="121"/>
        <v>0</v>
      </c>
      <c r="CH249" s="23">
        <f t="shared" si="122"/>
        <v>0</v>
      </c>
      <c r="CI249" s="23">
        <f t="shared" si="123"/>
        <v>0</v>
      </c>
      <c r="CJ249" s="23">
        <f t="shared" si="124"/>
        <v>0</v>
      </c>
      <c r="CK249" s="23">
        <f t="shared" si="125"/>
        <v>0</v>
      </c>
      <c r="CL249" s="23">
        <f t="shared" si="126"/>
        <v>0</v>
      </c>
      <c r="CM249" s="23">
        <f t="shared" si="127"/>
        <v>0</v>
      </c>
      <c r="CN249" s="23">
        <f t="shared" si="128"/>
        <v>1</v>
      </c>
      <c r="CO249" s="23">
        <f t="shared" si="129"/>
        <v>1</v>
      </c>
      <c r="CP249" s="23">
        <f t="shared" si="130"/>
        <v>1</v>
      </c>
      <c r="CQ249" s="23">
        <f t="shared" si="131"/>
        <v>1</v>
      </c>
      <c r="CR249" s="23">
        <f t="shared" si="132"/>
        <v>1</v>
      </c>
      <c r="CS249" s="23">
        <f t="shared" si="133"/>
        <v>1</v>
      </c>
      <c r="CT249" s="23">
        <f t="shared" si="134"/>
        <v>1</v>
      </c>
      <c r="CU249" s="23">
        <f t="shared" si="135"/>
        <v>1</v>
      </c>
      <c r="CV249" s="23">
        <f t="shared" si="136"/>
        <v>1</v>
      </c>
    </row>
    <row r="250" spans="1:100" ht="13.5">
      <c r="A250" s="15">
        <v>211</v>
      </c>
      <c r="B250" s="38" t="s">
        <v>992</v>
      </c>
      <c r="C250" t="s">
        <v>580</v>
      </c>
      <c r="E250" t="s">
        <v>465</v>
      </c>
      <c r="F250" t="s">
        <v>581</v>
      </c>
      <c r="G250" t="s">
        <v>465</v>
      </c>
      <c r="H250" t="s">
        <v>582</v>
      </c>
      <c r="I250" s="6" t="s">
        <v>136</v>
      </c>
      <c r="J250" s="6">
        <v>0</v>
      </c>
      <c r="L250" s="15">
        <v>1</v>
      </c>
      <c r="N250" s="7">
        <v>46120</v>
      </c>
      <c r="O250" s="7">
        <v>46118</v>
      </c>
      <c r="P250" s="7">
        <v>46119</v>
      </c>
      <c r="S250" s="6" t="s">
        <v>465</v>
      </c>
      <c r="U250" s="6" t="s">
        <v>464</v>
      </c>
      <c r="V250" s="6" t="str">
        <f t="shared" si="103"/>
        <v>26/04</v>
      </c>
      <c r="W250">
        <v>1554</v>
      </c>
      <c r="AA250">
        <v>908</v>
      </c>
      <c r="AC250">
        <v>961</v>
      </c>
      <c r="AI250" s="23">
        <v>0</v>
      </c>
      <c r="AJ250" s="23">
        <v>0</v>
      </c>
      <c r="AK250" s="23">
        <v>0</v>
      </c>
      <c r="AL250" s="23">
        <v>0</v>
      </c>
      <c r="AM250" s="23">
        <v>0</v>
      </c>
      <c r="AN250" s="23">
        <v>0</v>
      </c>
      <c r="AO250" s="23">
        <v>0</v>
      </c>
      <c r="AP250" s="23">
        <v>0</v>
      </c>
      <c r="AQ250" s="23">
        <v>0</v>
      </c>
      <c r="AR250" s="23">
        <v>0</v>
      </c>
      <c r="AS250" s="23">
        <v>0</v>
      </c>
      <c r="AT250" s="23">
        <v>0</v>
      </c>
      <c r="AU250" s="23">
        <v>0</v>
      </c>
      <c r="AV250" s="23">
        <v>0</v>
      </c>
      <c r="AW250" s="23">
        <v>0</v>
      </c>
      <c r="AX250" s="23">
        <v>0</v>
      </c>
      <c r="AY250" s="23">
        <v>0</v>
      </c>
      <c r="AZ250" s="23">
        <v>0</v>
      </c>
      <c r="BA250" s="23">
        <v>0</v>
      </c>
      <c r="BB250" s="23">
        <v>0</v>
      </c>
      <c r="BC250" s="23">
        <v>0</v>
      </c>
      <c r="BD250" s="23">
        <v>0</v>
      </c>
      <c r="BE250" s="23">
        <v>0</v>
      </c>
      <c r="BF250" s="23">
        <v>0</v>
      </c>
      <c r="BG250" s="23">
        <v>1</v>
      </c>
      <c r="BH250" s="23">
        <v>1</v>
      </c>
      <c r="BI250" s="23">
        <v>1</v>
      </c>
      <c r="BJ250" s="23">
        <v>1</v>
      </c>
      <c r="BK250" s="23">
        <v>1</v>
      </c>
      <c r="BL250" s="23">
        <v>1</v>
      </c>
      <c r="BM250" s="23">
        <v>1</v>
      </c>
      <c r="BN250" s="23">
        <v>1</v>
      </c>
      <c r="BO250" s="23">
        <v>1</v>
      </c>
      <c r="BP250" s="23">
        <f t="shared" si="104"/>
        <v>0</v>
      </c>
      <c r="BQ250" s="23">
        <f t="shared" si="105"/>
        <v>0</v>
      </c>
      <c r="BR250" s="23">
        <f t="shared" si="106"/>
        <v>0</v>
      </c>
      <c r="BS250" s="23">
        <f t="shared" si="107"/>
        <v>0</v>
      </c>
      <c r="BT250" s="23">
        <f t="shared" si="108"/>
        <v>0</v>
      </c>
      <c r="BU250" s="23">
        <f t="shared" si="109"/>
        <v>0</v>
      </c>
      <c r="BV250" s="23">
        <f t="shared" si="110"/>
        <v>0</v>
      </c>
      <c r="BW250" s="23">
        <f t="shared" si="111"/>
        <v>0</v>
      </c>
      <c r="BX250" s="23">
        <f t="shared" si="112"/>
        <v>0</v>
      </c>
      <c r="BY250" s="23">
        <f t="shared" si="113"/>
        <v>0</v>
      </c>
      <c r="BZ250" s="23">
        <f t="shared" si="114"/>
        <v>0</v>
      </c>
      <c r="CA250" s="23">
        <f t="shared" si="115"/>
        <v>0</v>
      </c>
      <c r="CB250" s="23">
        <f t="shared" si="116"/>
        <v>0</v>
      </c>
      <c r="CC250" s="23">
        <f t="shared" si="117"/>
        <v>0</v>
      </c>
      <c r="CD250" s="23">
        <f t="shared" si="118"/>
        <v>0</v>
      </c>
      <c r="CE250" s="23">
        <f t="shared" si="119"/>
        <v>0</v>
      </c>
      <c r="CF250" s="23">
        <f t="shared" si="120"/>
        <v>0</v>
      </c>
      <c r="CG250" s="23">
        <f t="shared" si="121"/>
        <v>0</v>
      </c>
      <c r="CH250" s="23">
        <f t="shared" si="122"/>
        <v>0</v>
      </c>
      <c r="CI250" s="23">
        <f t="shared" si="123"/>
        <v>0</v>
      </c>
      <c r="CJ250" s="23">
        <f t="shared" si="124"/>
        <v>0</v>
      </c>
      <c r="CK250" s="23">
        <f t="shared" si="125"/>
        <v>0</v>
      </c>
      <c r="CL250" s="23">
        <f t="shared" si="126"/>
        <v>0</v>
      </c>
      <c r="CM250" s="23">
        <f t="shared" si="127"/>
        <v>0</v>
      </c>
      <c r="CN250" s="23">
        <f t="shared" si="128"/>
        <v>1</v>
      </c>
      <c r="CO250" s="23">
        <f t="shared" si="129"/>
        <v>1</v>
      </c>
      <c r="CP250" s="23">
        <f t="shared" si="130"/>
        <v>1</v>
      </c>
      <c r="CQ250" s="23">
        <f t="shared" si="131"/>
        <v>1</v>
      </c>
      <c r="CR250" s="23">
        <f t="shared" si="132"/>
        <v>1</v>
      </c>
      <c r="CS250" s="23">
        <f t="shared" si="133"/>
        <v>1</v>
      </c>
      <c r="CT250" s="23">
        <f t="shared" si="134"/>
        <v>1</v>
      </c>
      <c r="CU250" s="23">
        <f t="shared" si="135"/>
        <v>1</v>
      </c>
      <c r="CV250" s="23">
        <f t="shared" si="136"/>
        <v>1</v>
      </c>
    </row>
    <row r="251" spans="1:100" ht="13.5">
      <c r="A251" s="15">
        <v>211</v>
      </c>
      <c r="B251" s="38" t="s">
        <v>993</v>
      </c>
      <c r="C251" t="s">
        <v>580</v>
      </c>
      <c r="E251" t="s">
        <v>465</v>
      </c>
      <c r="F251" t="s">
        <v>581</v>
      </c>
      <c r="G251" t="s">
        <v>465</v>
      </c>
      <c r="H251" t="s">
        <v>582</v>
      </c>
      <c r="I251" s="6" t="s">
        <v>136</v>
      </c>
      <c r="J251" s="6">
        <v>0</v>
      </c>
      <c r="L251" s="15">
        <v>1</v>
      </c>
      <c r="N251" s="7">
        <v>46120</v>
      </c>
      <c r="O251" s="7">
        <v>46118</v>
      </c>
      <c r="P251" s="7">
        <v>46119</v>
      </c>
      <c r="S251" s="6" t="s">
        <v>465</v>
      </c>
      <c r="U251" s="6" t="s">
        <v>464</v>
      </c>
      <c r="V251" s="6" t="str">
        <f t="shared" si="103"/>
        <v>26/04</v>
      </c>
      <c r="W251">
        <v>1555</v>
      </c>
      <c r="AA251">
        <v>909</v>
      </c>
      <c r="AC251">
        <v>962</v>
      </c>
      <c r="AI251" s="23">
        <v>0</v>
      </c>
      <c r="AJ251" s="23">
        <v>0</v>
      </c>
      <c r="AK251" s="23">
        <v>0</v>
      </c>
      <c r="AL251" s="23">
        <v>0</v>
      </c>
      <c r="AM251" s="23">
        <v>0</v>
      </c>
      <c r="AN251" s="23">
        <v>0</v>
      </c>
      <c r="AO251" s="23">
        <v>0</v>
      </c>
      <c r="AP251" s="23">
        <v>0</v>
      </c>
      <c r="AQ251" s="23">
        <v>0</v>
      </c>
      <c r="AR251" s="23">
        <v>0</v>
      </c>
      <c r="AS251" s="23">
        <v>0</v>
      </c>
      <c r="AT251" s="23">
        <v>0</v>
      </c>
      <c r="AU251" s="23">
        <v>0</v>
      </c>
      <c r="AV251" s="23">
        <v>0</v>
      </c>
      <c r="AW251" s="23">
        <v>0</v>
      </c>
      <c r="AX251" s="23">
        <v>0</v>
      </c>
      <c r="AY251" s="23">
        <v>0</v>
      </c>
      <c r="AZ251" s="23">
        <v>0</v>
      </c>
      <c r="BA251" s="23">
        <v>0</v>
      </c>
      <c r="BB251" s="23">
        <v>0</v>
      </c>
      <c r="BC251" s="23">
        <v>0</v>
      </c>
      <c r="BD251" s="23">
        <v>0</v>
      </c>
      <c r="BE251" s="23">
        <v>0</v>
      </c>
      <c r="BF251" s="23">
        <v>0</v>
      </c>
      <c r="BG251" s="23">
        <v>1</v>
      </c>
      <c r="BH251" s="23">
        <v>1</v>
      </c>
      <c r="BI251" s="23">
        <v>1</v>
      </c>
      <c r="BJ251" s="23">
        <v>1</v>
      </c>
      <c r="BK251" s="23">
        <v>1</v>
      </c>
      <c r="BL251" s="23">
        <v>1</v>
      </c>
      <c r="BM251" s="23">
        <v>1</v>
      </c>
      <c r="BN251" s="23">
        <v>1</v>
      </c>
      <c r="BO251" s="23">
        <v>1</v>
      </c>
      <c r="BP251" s="23">
        <f t="shared" si="104"/>
        <v>0</v>
      </c>
      <c r="BQ251" s="23">
        <f t="shared" si="105"/>
        <v>0</v>
      </c>
      <c r="BR251" s="23">
        <f t="shared" si="106"/>
        <v>0</v>
      </c>
      <c r="BS251" s="23">
        <f t="shared" si="107"/>
        <v>0</v>
      </c>
      <c r="BT251" s="23">
        <f t="shared" si="108"/>
        <v>0</v>
      </c>
      <c r="BU251" s="23">
        <f t="shared" si="109"/>
        <v>0</v>
      </c>
      <c r="BV251" s="23">
        <f t="shared" si="110"/>
        <v>0</v>
      </c>
      <c r="BW251" s="23">
        <f t="shared" si="111"/>
        <v>0</v>
      </c>
      <c r="BX251" s="23">
        <f t="shared" si="112"/>
        <v>0</v>
      </c>
      <c r="BY251" s="23">
        <f t="shared" si="113"/>
        <v>0</v>
      </c>
      <c r="BZ251" s="23">
        <f t="shared" si="114"/>
        <v>0</v>
      </c>
      <c r="CA251" s="23">
        <f t="shared" si="115"/>
        <v>0</v>
      </c>
      <c r="CB251" s="23">
        <f t="shared" si="116"/>
        <v>0</v>
      </c>
      <c r="CC251" s="23">
        <f t="shared" si="117"/>
        <v>0</v>
      </c>
      <c r="CD251" s="23">
        <f t="shared" si="118"/>
        <v>0</v>
      </c>
      <c r="CE251" s="23">
        <f t="shared" si="119"/>
        <v>0</v>
      </c>
      <c r="CF251" s="23">
        <f t="shared" si="120"/>
        <v>0</v>
      </c>
      <c r="CG251" s="23">
        <f t="shared" si="121"/>
        <v>0</v>
      </c>
      <c r="CH251" s="23">
        <f t="shared" si="122"/>
        <v>0</v>
      </c>
      <c r="CI251" s="23">
        <f t="shared" si="123"/>
        <v>0</v>
      </c>
      <c r="CJ251" s="23">
        <f t="shared" si="124"/>
        <v>0</v>
      </c>
      <c r="CK251" s="23">
        <f t="shared" si="125"/>
        <v>0</v>
      </c>
      <c r="CL251" s="23">
        <f t="shared" si="126"/>
        <v>0</v>
      </c>
      <c r="CM251" s="23">
        <f t="shared" si="127"/>
        <v>0</v>
      </c>
      <c r="CN251" s="23">
        <f t="shared" si="128"/>
        <v>1</v>
      </c>
      <c r="CO251" s="23">
        <f t="shared" si="129"/>
        <v>1</v>
      </c>
      <c r="CP251" s="23">
        <f t="shared" si="130"/>
        <v>1</v>
      </c>
      <c r="CQ251" s="23">
        <f t="shared" si="131"/>
        <v>1</v>
      </c>
      <c r="CR251" s="23">
        <f t="shared" si="132"/>
        <v>1</v>
      </c>
      <c r="CS251" s="23">
        <f t="shared" si="133"/>
        <v>1</v>
      </c>
      <c r="CT251" s="23">
        <f t="shared" si="134"/>
        <v>1</v>
      </c>
      <c r="CU251" s="23">
        <f t="shared" si="135"/>
        <v>1</v>
      </c>
      <c r="CV251" s="23">
        <f t="shared" si="136"/>
        <v>1</v>
      </c>
    </row>
    <row r="252" spans="1:100" ht="13.5">
      <c r="A252" s="15">
        <v>211</v>
      </c>
      <c r="B252" s="38" t="s">
        <v>994</v>
      </c>
      <c r="C252" t="s">
        <v>580</v>
      </c>
      <c r="E252" t="s">
        <v>465</v>
      </c>
      <c r="F252" t="s">
        <v>581</v>
      </c>
      <c r="G252" t="s">
        <v>465</v>
      </c>
      <c r="H252" t="s">
        <v>582</v>
      </c>
      <c r="I252" s="6" t="s">
        <v>136</v>
      </c>
      <c r="J252" s="6">
        <v>0</v>
      </c>
      <c r="L252" s="15">
        <v>1</v>
      </c>
      <c r="N252" s="7">
        <v>46120</v>
      </c>
      <c r="O252" s="7">
        <v>46118</v>
      </c>
      <c r="P252" s="7">
        <v>46119</v>
      </c>
      <c r="S252" s="6" t="s">
        <v>465</v>
      </c>
      <c r="U252" s="6" t="s">
        <v>464</v>
      </c>
      <c r="V252" s="6" t="str">
        <f t="shared" si="103"/>
        <v>26/04</v>
      </c>
      <c r="W252">
        <v>1556</v>
      </c>
      <c r="AA252">
        <v>910</v>
      </c>
      <c r="AC252">
        <v>963</v>
      </c>
      <c r="AI252" s="23">
        <v>0</v>
      </c>
      <c r="AJ252" s="23">
        <v>0</v>
      </c>
      <c r="AK252" s="23">
        <v>0</v>
      </c>
      <c r="AL252" s="23">
        <v>0</v>
      </c>
      <c r="AM252" s="23">
        <v>0</v>
      </c>
      <c r="AN252" s="23">
        <v>0</v>
      </c>
      <c r="AO252" s="23">
        <v>0</v>
      </c>
      <c r="AP252" s="23">
        <v>0</v>
      </c>
      <c r="AQ252" s="23">
        <v>0</v>
      </c>
      <c r="AR252" s="23">
        <v>0</v>
      </c>
      <c r="AS252" s="23">
        <v>0</v>
      </c>
      <c r="AT252" s="23">
        <v>0</v>
      </c>
      <c r="AU252" s="23">
        <v>0</v>
      </c>
      <c r="AV252" s="23">
        <v>0</v>
      </c>
      <c r="AW252" s="23">
        <v>0</v>
      </c>
      <c r="AX252" s="23">
        <v>0</v>
      </c>
      <c r="AY252" s="23">
        <v>0</v>
      </c>
      <c r="AZ252" s="23">
        <v>0</v>
      </c>
      <c r="BA252" s="23">
        <v>0</v>
      </c>
      <c r="BB252" s="23">
        <v>0</v>
      </c>
      <c r="BC252" s="23">
        <v>0</v>
      </c>
      <c r="BD252" s="23">
        <v>0</v>
      </c>
      <c r="BE252" s="23">
        <v>0</v>
      </c>
      <c r="BF252" s="23">
        <v>0</v>
      </c>
      <c r="BG252" s="23">
        <v>1</v>
      </c>
      <c r="BH252" s="23">
        <v>1</v>
      </c>
      <c r="BI252" s="23">
        <v>1</v>
      </c>
      <c r="BJ252" s="23">
        <v>1</v>
      </c>
      <c r="BK252" s="23">
        <v>1</v>
      </c>
      <c r="BL252" s="23">
        <v>1</v>
      </c>
      <c r="BM252" s="23">
        <v>1</v>
      </c>
      <c r="BN252" s="23">
        <v>1</v>
      </c>
      <c r="BO252" s="23">
        <v>1</v>
      </c>
      <c r="BP252" s="23">
        <f t="shared" si="104"/>
        <v>0</v>
      </c>
      <c r="BQ252" s="23">
        <f t="shared" si="105"/>
        <v>0</v>
      </c>
      <c r="BR252" s="23">
        <f t="shared" si="106"/>
        <v>0</v>
      </c>
      <c r="BS252" s="23">
        <f t="shared" si="107"/>
        <v>0</v>
      </c>
      <c r="BT252" s="23">
        <f t="shared" si="108"/>
        <v>0</v>
      </c>
      <c r="BU252" s="23">
        <f t="shared" si="109"/>
        <v>0</v>
      </c>
      <c r="BV252" s="23">
        <f t="shared" si="110"/>
        <v>0</v>
      </c>
      <c r="BW252" s="23">
        <f t="shared" si="111"/>
        <v>0</v>
      </c>
      <c r="BX252" s="23">
        <f t="shared" si="112"/>
        <v>0</v>
      </c>
      <c r="BY252" s="23">
        <f t="shared" si="113"/>
        <v>0</v>
      </c>
      <c r="BZ252" s="23">
        <f t="shared" si="114"/>
        <v>0</v>
      </c>
      <c r="CA252" s="23">
        <f t="shared" si="115"/>
        <v>0</v>
      </c>
      <c r="CB252" s="23">
        <f t="shared" si="116"/>
        <v>0</v>
      </c>
      <c r="CC252" s="23">
        <f t="shared" si="117"/>
        <v>0</v>
      </c>
      <c r="CD252" s="23">
        <f t="shared" si="118"/>
        <v>0</v>
      </c>
      <c r="CE252" s="23">
        <f t="shared" si="119"/>
        <v>0</v>
      </c>
      <c r="CF252" s="23">
        <f t="shared" si="120"/>
        <v>0</v>
      </c>
      <c r="CG252" s="23">
        <f t="shared" si="121"/>
        <v>0</v>
      </c>
      <c r="CH252" s="23">
        <f t="shared" si="122"/>
        <v>0</v>
      </c>
      <c r="CI252" s="23">
        <f t="shared" si="123"/>
        <v>0</v>
      </c>
      <c r="CJ252" s="23">
        <f t="shared" si="124"/>
        <v>0</v>
      </c>
      <c r="CK252" s="23">
        <f t="shared" si="125"/>
        <v>0</v>
      </c>
      <c r="CL252" s="23">
        <f t="shared" si="126"/>
        <v>0</v>
      </c>
      <c r="CM252" s="23">
        <f t="shared" si="127"/>
        <v>0</v>
      </c>
      <c r="CN252" s="23">
        <f t="shared" si="128"/>
        <v>1</v>
      </c>
      <c r="CO252" s="23">
        <f t="shared" si="129"/>
        <v>1</v>
      </c>
      <c r="CP252" s="23">
        <f t="shared" si="130"/>
        <v>1</v>
      </c>
      <c r="CQ252" s="23">
        <f t="shared" si="131"/>
        <v>1</v>
      </c>
      <c r="CR252" s="23">
        <f t="shared" si="132"/>
        <v>1</v>
      </c>
      <c r="CS252" s="23">
        <f t="shared" si="133"/>
        <v>1</v>
      </c>
      <c r="CT252" s="23">
        <f t="shared" si="134"/>
        <v>1</v>
      </c>
      <c r="CU252" s="23">
        <f t="shared" si="135"/>
        <v>1</v>
      </c>
      <c r="CV252" s="23">
        <f t="shared" si="136"/>
        <v>1</v>
      </c>
    </row>
    <row r="253" spans="1:100" ht="13.5">
      <c r="A253" s="15">
        <v>211</v>
      </c>
      <c r="B253" s="38" t="s">
        <v>995</v>
      </c>
      <c r="C253" t="s">
        <v>580</v>
      </c>
      <c r="E253" t="s">
        <v>465</v>
      </c>
      <c r="F253" t="s">
        <v>581</v>
      </c>
      <c r="G253" t="s">
        <v>465</v>
      </c>
      <c r="H253" t="s">
        <v>582</v>
      </c>
      <c r="I253" s="6" t="s">
        <v>136</v>
      </c>
      <c r="J253" s="6">
        <v>0</v>
      </c>
      <c r="L253" s="15">
        <v>1</v>
      </c>
      <c r="N253" s="7">
        <v>46121</v>
      </c>
      <c r="O253" s="7">
        <v>46118</v>
      </c>
      <c r="P253" s="7">
        <v>46119</v>
      </c>
      <c r="S253" s="6" t="s">
        <v>465</v>
      </c>
      <c r="U253" s="6" t="s">
        <v>464</v>
      </c>
      <c r="V253" s="6" t="str">
        <f t="shared" si="103"/>
        <v>26/04</v>
      </c>
      <c r="W253">
        <v>1557</v>
      </c>
      <c r="AA253">
        <v>911</v>
      </c>
      <c r="AC253">
        <v>964</v>
      </c>
      <c r="AI253" s="23">
        <v>0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  <c r="AP253" s="23">
        <v>0</v>
      </c>
      <c r="AQ253" s="23">
        <v>0</v>
      </c>
      <c r="AR253" s="23">
        <v>0</v>
      </c>
      <c r="AS253" s="23">
        <v>0</v>
      </c>
      <c r="AT253" s="23">
        <v>0</v>
      </c>
      <c r="AU253" s="23">
        <v>0</v>
      </c>
      <c r="AV253" s="23">
        <v>0</v>
      </c>
      <c r="AW253" s="23">
        <v>0</v>
      </c>
      <c r="AX253" s="23">
        <v>0</v>
      </c>
      <c r="AY253" s="23">
        <v>0</v>
      </c>
      <c r="AZ253" s="23">
        <v>0</v>
      </c>
      <c r="BA253" s="23">
        <v>0</v>
      </c>
      <c r="BB253" s="23">
        <v>0</v>
      </c>
      <c r="BC253" s="23">
        <v>0</v>
      </c>
      <c r="BD253" s="23">
        <v>0</v>
      </c>
      <c r="BE253" s="23">
        <v>0</v>
      </c>
      <c r="BF253" s="23">
        <v>0</v>
      </c>
      <c r="BG253" s="23">
        <v>1</v>
      </c>
      <c r="BH253" s="23">
        <v>1</v>
      </c>
      <c r="BI253" s="23">
        <v>1</v>
      </c>
      <c r="BJ253" s="23">
        <v>1</v>
      </c>
      <c r="BK253" s="23">
        <v>1</v>
      </c>
      <c r="BL253" s="23">
        <v>1</v>
      </c>
      <c r="BM253" s="23">
        <v>1</v>
      </c>
      <c r="BN253" s="23">
        <v>1</v>
      </c>
      <c r="BO253" s="23">
        <v>1</v>
      </c>
      <c r="BP253" s="23">
        <f t="shared" si="104"/>
        <v>0</v>
      </c>
      <c r="BQ253" s="23">
        <f t="shared" si="105"/>
        <v>0</v>
      </c>
      <c r="BR253" s="23">
        <f t="shared" si="106"/>
        <v>0</v>
      </c>
      <c r="BS253" s="23">
        <f t="shared" si="107"/>
        <v>0</v>
      </c>
      <c r="BT253" s="23">
        <f t="shared" si="108"/>
        <v>0</v>
      </c>
      <c r="BU253" s="23">
        <f t="shared" si="109"/>
        <v>0</v>
      </c>
      <c r="BV253" s="23">
        <f t="shared" si="110"/>
        <v>0</v>
      </c>
      <c r="BW253" s="23">
        <f t="shared" si="111"/>
        <v>0</v>
      </c>
      <c r="BX253" s="23">
        <f t="shared" si="112"/>
        <v>0</v>
      </c>
      <c r="BY253" s="23">
        <f t="shared" si="113"/>
        <v>0</v>
      </c>
      <c r="BZ253" s="23">
        <f t="shared" si="114"/>
        <v>0</v>
      </c>
      <c r="CA253" s="23">
        <f t="shared" si="115"/>
        <v>0</v>
      </c>
      <c r="CB253" s="23">
        <f t="shared" si="116"/>
        <v>0</v>
      </c>
      <c r="CC253" s="23">
        <f t="shared" si="117"/>
        <v>0</v>
      </c>
      <c r="CD253" s="23">
        <f t="shared" si="118"/>
        <v>0</v>
      </c>
      <c r="CE253" s="23">
        <f t="shared" si="119"/>
        <v>0</v>
      </c>
      <c r="CF253" s="23">
        <f t="shared" si="120"/>
        <v>0</v>
      </c>
      <c r="CG253" s="23">
        <f t="shared" si="121"/>
        <v>0</v>
      </c>
      <c r="CH253" s="23">
        <f t="shared" si="122"/>
        <v>0</v>
      </c>
      <c r="CI253" s="23">
        <f t="shared" si="123"/>
        <v>0</v>
      </c>
      <c r="CJ253" s="23">
        <f t="shared" si="124"/>
        <v>0</v>
      </c>
      <c r="CK253" s="23">
        <f t="shared" si="125"/>
        <v>0</v>
      </c>
      <c r="CL253" s="23">
        <f t="shared" si="126"/>
        <v>0</v>
      </c>
      <c r="CM253" s="23">
        <f t="shared" si="127"/>
        <v>0</v>
      </c>
      <c r="CN253" s="23">
        <f t="shared" si="128"/>
        <v>1</v>
      </c>
      <c r="CO253" s="23">
        <f t="shared" si="129"/>
        <v>1</v>
      </c>
      <c r="CP253" s="23">
        <f t="shared" si="130"/>
        <v>1</v>
      </c>
      <c r="CQ253" s="23">
        <f t="shared" si="131"/>
        <v>1</v>
      </c>
      <c r="CR253" s="23">
        <f t="shared" si="132"/>
        <v>1</v>
      </c>
      <c r="CS253" s="23">
        <f t="shared" si="133"/>
        <v>1</v>
      </c>
      <c r="CT253" s="23">
        <f t="shared" si="134"/>
        <v>1</v>
      </c>
      <c r="CU253" s="23">
        <f t="shared" si="135"/>
        <v>1</v>
      </c>
      <c r="CV253" s="23">
        <f t="shared" si="136"/>
        <v>1</v>
      </c>
    </row>
    <row r="254" spans="1:100" ht="13.5">
      <c r="A254" s="15">
        <v>211</v>
      </c>
      <c r="B254" s="38" t="s">
        <v>996</v>
      </c>
      <c r="C254" t="s">
        <v>580</v>
      </c>
      <c r="E254" t="s">
        <v>465</v>
      </c>
      <c r="F254" t="s">
        <v>581</v>
      </c>
      <c r="G254" t="s">
        <v>465</v>
      </c>
      <c r="H254" t="s">
        <v>582</v>
      </c>
      <c r="I254" s="6" t="s">
        <v>136</v>
      </c>
      <c r="J254" s="6">
        <v>0</v>
      </c>
      <c r="L254" s="15">
        <v>1</v>
      </c>
      <c r="N254" s="7">
        <v>46121</v>
      </c>
      <c r="O254" s="7">
        <v>46118</v>
      </c>
      <c r="P254" s="7">
        <v>46119</v>
      </c>
      <c r="S254" s="6" t="s">
        <v>465</v>
      </c>
      <c r="U254" s="6" t="s">
        <v>464</v>
      </c>
      <c r="V254" s="6" t="str">
        <f t="shared" si="103"/>
        <v>26/04</v>
      </c>
      <c r="W254">
        <v>1558</v>
      </c>
      <c r="AA254">
        <v>912</v>
      </c>
      <c r="AC254">
        <v>965</v>
      </c>
      <c r="AI254" s="23">
        <v>0</v>
      </c>
      <c r="AJ254" s="23">
        <v>0</v>
      </c>
      <c r="AK254" s="23">
        <v>0</v>
      </c>
      <c r="AL254" s="23">
        <v>0</v>
      </c>
      <c r="AM254" s="23">
        <v>0</v>
      </c>
      <c r="AN254" s="23">
        <v>0</v>
      </c>
      <c r="AO254" s="23">
        <v>0</v>
      </c>
      <c r="AP254" s="23">
        <v>0</v>
      </c>
      <c r="AQ254" s="23">
        <v>0</v>
      </c>
      <c r="AR254" s="23">
        <v>0</v>
      </c>
      <c r="AS254" s="23">
        <v>0</v>
      </c>
      <c r="AT254" s="23">
        <v>0</v>
      </c>
      <c r="AU254" s="23">
        <v>0</v>
      </c>
      <c r="AV254" s="23">
        <v>0</v>
      </c>
      <c r="AW254" s="23">
        <v>0</v>
      </c>
      <c r="AX254" s="23">
        <v>0</v>
      </c>
      <c r="AY254" s="23">
        <v>0</v>
      </c>
      <c r="AZ254" s="23">
        <v>0</v>
      </c>
      <c r="BA254" s="23">
        <v>0</v>
      </c>
      <c r="BB254" s="23">
        <v>0</v>
      </c>
      <c r="BC254" s="23">
        <v>0</v>
      </c>
      <c r="BD254" s="23">
        <v>0</v>
      </c>
      <c r="BE254" s="23">
        <v>0</v>
      </c>
      <c r="BF254" s="23">
        <v>0</v>
      </c>
      <c r="BG254" s="23">
        <v>1</v>
      </c>
      <c r="BH254" s="23">
        <v>1</v>
      </c>
      <c r="BI254" s="23">
        <v>1</v>
      </c>
      <c r="BJ254" s="23">
        <v>1</v>
      </c>
      <c r="BK254" s="23">
        <v>1</v>
      </c>
      <c r="BL254" s="23">
        <v>1</v>
      </c>
      <c r="BM254" s="23">
        <v>1</v>
      </c>
      <c r="BN254" s="23">
        <v>1</v>
      </c>
      <c r="BO254" s="23">
        <v>1</v>
      </c>
      <c r="BP254" s="23">
        <f t="shared" si="104"/>
        <v>0</v>
      </c>
      <c r="BQ254" s="23">
        <f t="shared" si="105"/>
        <v>0</v>
      </c>
      <c r="BR254" s="23">
        <f t="shared" si="106"/>
        <v>0</v>
      </c>
      <c r="BS254" s="23">
        <f t="shared" si="107"/>
        <v>0</v>
      </c>
      <c r="BT254" s="23">
        <f t="shared" si="108"/>
        <v>0</v>
      </c>
      <c r="BU254" s="23">
        <f t="shared" si="109"/>
        <v>0</v>
      </c>
      <c r="BV254" s="23">
        <f t="shared" si="110"/>
        <v>0</v>
      </c>
      <c r="BW254" s="23">
        <f t="shared" si="111"/>
        <v>0</v>
      </c>
      <c r="BX254" s="23">
        <f t="shared" si="112"/>
        <v>0</v>
      </c>
      <c r="BY254" s="23">
        <f t="shared" si="113"/>
        <v>0</v>
      </c>
      <c r="BZ254" s="23">
        <f t="shared" si="114"/>
        <v>0</v>
      </c>
      <c r="CA254" s="23">
        <f t="shared" si="115"/>
        <v>0</v>
      </c>
      <c r="CB254" s="23">
        <f t="shared" si="116"/>
        <v>0</v>
      </c>
      <c r="CC254" s="23">
        <f t="shared" si="117"/>
        <v>0</v>
      </c>
      <c r="CD254" s="23">
        <f t="shared" si="118"/>
        <v>0</v>
      </c>
      <c r="CE254" s="23">
        <f t="shared" si="119"/>
        <v>0</v>
      </c>
      <c r="CF254" s="23">
        <f t="shared" si="120"/>
        <v>0</v>
      </c>
      <c r="CG254" s="23">
        <f t="shared" si="121"/>
        <v>0</v>
      </c>
      <c r="CH254" s="23">
        <f t="shared" si="122"/>
        <v>0</v>
      </c>
      <c r="CI254" s="23">
        <f t="shared" si="123"/>
        <v>0</v>
      </c>
      <c r="CJ254" s="23">
        <f t="shared" si="124"/>
        <v>0</v>
      </c>
      <c r="CK254" s="23">
        <f t="shared" si="125"/>
        <v>0</v>
      </c>
      <c r="CL254" s="23">
        <f t="shared" si="126"/>
        <v>0</v>
      </c>
      <c r="CM254" s="23">
        <f t="shared" si="127"/>
        <v>0</v>
      </c>
      <c r="CN254" s="23">
        <f t="shared" si="128"/>
        <v>1</v>
      </c>
      <c r="CO254" s="23">
        <f t="shared" si="129"/>
        <v>1</v>
      </c>
      <c r="CP254" s="23">
        <f t="shared" si="130"/>
        <v>1</v>
      </c>
      <c r="CQ254" s="23">
        <f t="shared" si="131"/>
        <v>1</v>
      </c>
      <c r="CR254" s="23">
        <f t="shared" si="132"/>
        <v>1</v>
      </c>
      <c r="CS254" s="23">
        <f t="shared" si="133"/>
        <v>1</v>
      </c>
      <c r="CT254" s="23">
        <f t="shared" si="134"/>
        <v>1</v>
      </c>
      <c r="CU254" s="23">
        <f t="shared" si="135"/>
        <v>1</v>
      </c>
      <c r="CV254" s="23">
        <f t="shared" si="136"/>
        <v>1</v>
      </c>
    </row>
    <row r="255" spans="1:100" ht="13.5">
      <c r="A255" s="15">
        <v>211</v>
      </c>
      <c r="B255" s="38" t="s">
        <v>997</v>
      </c>
      <c r="C255" t="s">
        <v>580</v>
      </c>
      <c r="E255" t="s">
        <v>465</v>
      </c>
      <c r="F255" t="s">
        <v>581</v>
      </c>
      <c r="G255" t="s">
        <v>465</v>
      </c>
      <c r="H255" t="s">
        <v>582</v>
      </c>
      <c r="I255" s="6" t="s">
        <v>136</v>
      </c>
      <c r="J255" s="6">
        <v>0</v>
      </c>
      <c r="L255" s="15">
        <v>1</v>
      </c>
      <c r="N255" s="7">
        <v>46122</v>
      </c>
      <c r="O255" s="7">
        <v>46118</v>
      </c>
      <c r="P255" s="7">
        <v>46119</v>
      </c>
      <c r="S255" s="6" t="s">
        <v>465</v>
      </c>
      <c r="U255" s="6" t="s">
        <v>464</v>
      </c>
      <c r="V255" s="6" t="str">
        <f t="shared" si="103"/>
        <v>26/04</v>
      </c>
      <c r="W255">
        <v>1559</v>
      </c>
      <c r="AA255">
        <v>913</v>
      </c>
      <c r="AC255">
        <v>966</v>
      </c>
      <c r="AI255" s="23">
        <v>0</v>
      </c>
      <c r="AJ255" s="23">
        <v>0</v>
      </c>
      <c r="AK255" s="23">
        <v>0</v>
      </c>
      <c r="AL255" s="23">
        <v>0</v>
      </c>
      <c r="AM255" s="23">
        <v>0</v>
      </c>
      <c r="AN255" s="23">
        <v>0</v>
      </c>
      <c r="AO255" s="23">
        <v>0</v>
      </c>
      <c r="AP255" s="23">
        <v>0</v>
      </c>
      <c r="AQ255" s="23">
        <v>0</v>
      </c>
      <c r="AR255" s="23">
        <v>0</v>
      </c>
      <c r="AS255" s="23">
        <v>0</v>
      </c>
      <c r="AT255" s="23">
        <v>0</v>
      </c>
      <c r="AU255" s="23">
        <v>0</v>
      </c>
      <c r="AV255" s="23">
        <v>0</v>
      </c>
      <c r="AW255" s="23">
        <v>0</v>
      </c>
      <c r="AX255" s="23">
        <v>0</v>
      </c>
      <c r="AY255" s="23">
        <v>0</v>
      </c>
      <c r="AZ255" s="23">
        <v>0</v>
      </c>
      <c r="BA255" s="23">
        <v>0</v>
      </c>
      <c r="BB255" s="23">
        <v>0</v>
      </c>
      <c r="BC255" s="23">
        <v>0</v>
      </c>
      <c r="BD255" s="23">
        <v>0</v>
      </c>
      <c r="BE255" s="23">
        <v>0</v>
      </c>
      <c r="BF255" s="23">
        <v>0</v>
      </c>
      <c r="BG255" s="23">
        <v>1</v>
      </c>
      <c r="BH255" s="23">
        <v>1</v>
      </c>
      <c r="BI255" s="23">
        <v>1</v>
      </c>
      <c r="BJ255" s="23">
        <v>1</v>
      </c>
      <c r="BK255" s="23">
        <v>1</v>
      </c>
      <c r="BL255" s="23">
        <v>1</v>
      </c>
      <c r="BM255" s="23">
        <v>1</v>
      </c>
      <c r="BN255" s="23">
        <v>1</v>
      </c>
      <c r="BO255" s="23">
        <v>1</v>
      </c>
      <c r="BP255" s="23">
        <f t="shared" si="104"/>
        <v>0</v>
      </c>
      <c r="BQ255" s="23">
        <f t="shared" si="105"/>
        <v>0</v>
      </c>
      <c r="BR255" s="23">
        <f t="shared" si="106"/>
        <v>0</v>
      </c>
      <c r="BS255" s="23">
        <f t="shared" si="107"/>
        <v>0</v>
      </c>
      <c r="BT255" s="23">
        <f t="shared" si="108"/>
        <v>0</v>
      </c>
      <c r="BU255" s="23">
        <f t="shared" si="109"/>
        <v>0</v>
      </c>
      <c r="BV255" s="23">
        <f t="shared" si="110"/>
        <v>0</v>
      </c>
      <c r="BW255" s="23">
        <f t="shared" si="111"/>
        <v>0</v>
      </c>
      <c r="BX255" s="23">
        <f t="shared" si="112"/>
        <v>0</v>
      </c>
      <c r="BY255" s="23">
        <f t="shared" si="113"/>
        <v>0</v>
      </c>
      <c r="BZ255" s="23">
        <f t="shared" si="114"/>
        <v>0</v>
      </c>
      <c r="CA255" s="23">
        <f t="shared" si="115"/>
        <v>0</v>
      </c>
      <c r="CB255" s="23">
        <f t="shared" si="116"/>
        <v>0</v>
      </c>
      <c r="CC255" s="23">
        <f t="shared" si="117"/>
        <v>0</v>
      </c>
      <c r="CD255" s="23">
        <f t="shared" si="118"/>
        <v>0</v>
      </c>
      <c r="CE255" s="23">
        <f t="shared" si="119"/>
        <v>0</v>
      </c>
      <c r="CF255" s="23">
        <f t="shared" si="120"/>
        <v>0</v>
      </c>
      <c r="CG255" s="23">
        <f t="shared" si="121"/>
        <v>0</v>
      </c>
      <c r="CH255" s="23">
        <f t="shared" si="122"/>
        <v>0</v>
      </c>
      <c r="CI255" s="23">
        <f t="shared" si="123"/>
        <v>0</v>
      </c>
      <c r="CJ255" s="23">
        <f t="shared" si="124"/>
        <v>0</v>
      </c>
      <c r="CK255" s="23">
        <f t="shared" si="125"/>
        <v>0</v>
      </c>
      <c r="CL255" s="23">
        <f t="shared" si="126"/>
        <v>0</v>
      </c>
      <c r="CM255" s="23">
        <f t="shared" si="127"/>
        <v>0</v>
      </c>
      <c r="CN255" s="23">
        <f t="shared" si="128"/>
        <v>1</v>
      </c>
      <c r="CO255" s="23">
        <f t="shared" si="129"/>
        <v>1</v>
      </c>
      <c r="CP255" s="23">
        <f t="shared" si="130"/>
        <v>1</v>
      </c>
      <c r="CQ255" s="23">
        <f t="shared" si="131"/>
        <v>1</v>
      </c>
      <c r="CR255" s="23">
        <f t="shared" si="132"/>
        <v>1</v>
      </c>
      <c r="CS255" s="23">
        <f t="shared" si="133"/>
        <v>1</v>
      </c>
      <c r="CT255" s="23">
        <f t="shared" si="134"/>
        <v>1</v>
      </c>
      <c r="CU255" s="23">
        <f t="shared" si="135"/>
        <v>1</v>
      </c>
      <c r="CV255" s="23">
        <f t="shared" si="136"/>
        <v>1</v>
      </c>
    </row>
    <row r="256" spans="1:100" ht="13.5">
      <c r="A256" s="15">
        <v>211</v>
      </c>
      <c r="B256" s="38" t="s">
        <v>998</v>
      </c>
      <c r="C256" t="s">
        <v>580</v>
      </c>
      <c r="E256" t="s">
        <v>465</v>
      </c>
      <c r="F256" t="s">
        <v>581</v>
      </c>
      <c r="G256" t="s">
        <v>465</v>
      </c>
      <c r="H256" t="s">
        <v>582</v>
      </c>
      <c r="I256" s="6" t="s">
        <v>136</v>
      </c>
      <c r="J256" s="6">
        <v>0</v>
      </c>
      <c r="L256" s="15">
        <v>1</v>
      </c>
      <c r="N256" s="7">
        <v>46122</v>
      </c>
      <c r="O256" s="7">
        <v>46118</v>
      </c>
      <c r="P256" s="7">
        <v>46119</v>
      </c>
      <c r="S256" s="6" t="s">
        <v>465</v>
      </c>
      <c r="U256" s="6" t="s">
        <v>464</v>
      </c>
      <c r="V256" s="6" t="str">
        <f t="shared" si="103"/>
        <v>26/04</v>
      </c>
      <c r="W256">
        <v>1560</v>
      </c>
      <c r="AA256">
        <v>914</v>
      </c>
      <c r="AC256">
        <v>967</v>
      </c>
      <c r="AI256" s="23">
        <v>0</v>
      </c>
      <c r="AJ256" s="23">
        <v>0</v>
      </c>
      <c r="AK256" s="23">
        <v>0</v>
      </c>
      <c r="AL256" s="23">
        <v>0</v>
      </c>
      <c r="AM256" s="23">
        <v>0</v>
      </c>
      <c r="AN256" s="23">
        <v>0</v>
      </c>
      <c r="AO256" s="23">
        <v>0</v>
      </c>
      <c r="AP256" s="23">
        <v>0</v>
      </c>
      <c r="AQ256" s="23">
        <v>0</v>
      </c>
      <c r="AR256" s="23">
        <v>0</v>
      </c>
      <c r="AS256" s="23">
        <v>0</v>
      </c>
      <c r="AT256" s="23">
        <v>0</v>
      </c>
      <c r="AU256" s="23">
        <v>0</v>
      </c>
      <c r="AV256" s="23">
        <v>0</v>
      </c>
      <c r="AW256" s="23">
        <v>0</v>
      </c>
      <c r="AX256" s="23">
        <v>0</v>
      </c>
      <c r="AY256" s="23">
        <v>0</v>
      </c>
      <c r="AZ256" s="23">
        <v>0</v>
      </c>
      <c r="BA256" s="23">
        <v>0</v>
      </c>
      <c r="BB256" s="23">
        <v>0</v>
      </c>
      <c r="BC256" s="23">
        <v>0</v>
      </c>
      <c r="BD256" s="23">
        <v>0</v>
      </c>
      <c r="BE256" s="23">
        <v>0</v>
      </c>
      <c r="BF256" s="23">
        <v>0</v>
      </c>
      <c r="BG256" s="23">
        <v>1</v>
      </c>
      <c r="BH256" s="23">
        <v>1</v>
      </c>
      <c r="BI256" s="23">
        <v>1</v>
      </c>
      <c r="BJ256" s="23">
        <v>1</v>
      </c>
      <c r="BK256" s="23">
        <v>1</v>
      </c>
      <c r="BL256" s="23">
        <v>1</v>
      </c>
      <c r="BM256" s="23">
        <v>1</v>
      </c>
      <c r="BN256" s="23">
        <v>1</v>
      </c>
      <c r="BO256" s="23">
        <v>1</v>
      </c>
      <c r="BP256" s="23">
        <f t="shared" si="104"/>
        <v>0</v>
      </c>
      <c r="BQ256" s="23">
        <f t="shared" si="105"/>
        <v>0</v>
      </c>
      <c r="BR256" s="23">
        <f t="shared" si="106"/>
        <v>0</v>
      </c>
      <c r="BS256" s="23">
        <f t="shared" si="107"/>
        <v>0</v>
      </c>
      <c r="BT256" s="23">
        <f t="shared" si="108"/>
        <v>0</v>
      </c>
      <c r="BU256" s="23">
        <f t="shared" si="109"/>
        <v>0</v>
      </c>
      <c r="BV256" s="23">
        <f t="shared" si="110"/>
        <v>0</v>
      </c>
      <c r="BW256" s="23">
        <f t="shared" si="111"/>
        <v>0</v>
      </c>
      <c r="BX256" s="23">
        <f t="shared" si="112"/>
        <v>0</v>
      </c>
      <c r="BY256" s="23">
        <f t="shared" si="113"/>
        <v>0</v>
      </c>
      <c r="BZ256" s="23">
        <f t="shared" si="114"/>
        <v>0</v>
      </c>
      <c r="CA256" s="23">
        <f t="shared" si="115"/>
        <v>0</v>
      </c>
      <c r="CB256" s="23">
        <f t="shared" si="116"/>
        <v>0</v>
      </c>
      <c r="CC256" s="23">
        <f t="shared" si="117"/>
        <v>0</v>
      </c>
      <c r="CD256" s="23">
        <f t="shared" si="118"/>
        <v>0</v>
      </c>
      <c r="CE256" s="23">
        <f t="shared" si="119"/>
        <v>0</v>
      </c>
      <c r="CF256" s="23">
        <f t="shared" si="120"/>
        <v>0</v>
      </c>
      <c r="CG256" s="23">
        <f t="shared" si="121"/>
        <v>0</v>
      </c>
      <c r="CH256" s="23">
        <f t="shared" si="122"/>
        <v>0</v>
      </c>
      <c r="CI256" s="23">
        <f t="shared" si="123"/>
        <v>0</v>
      </c>
      <c r="CJ256" s="23">
        <f t="shared" si="124"/>
        <v>0</v>
      </c>
      <c r="CK256" s="23">
        <f t="shared" si="125"/>
        <v>0</v>
      </c>
      <c r="CL256" s="23">
        <f t="shared" si="126"/>
        <v>0</v>
      </c>
      <c r="CM256" s="23">
        <f t="shared" si="127"/>
        <v>0</v>
      </c>
      <c r="CN256" s="23">
        <f t="shared" si="128"/>
        <v>1</v>
      </c>
      <c r="CO256" s="23">
        <f t="shared" si="129"/>
        <v>1</v>
      </c>
      <c r="CP256" s="23">
        <f t="shared" si="130"/>
        <v>1</v>
      </c>
      <c r="CQ256" s="23">
        <f t="shared" si="131"/>
        <v>1</v>
      </c>
      <c r="CR256" s="23">
        <f t="shared" si="132"/>
        <v>1</v>
      </c>
      <c r="CS256" s="23">
        <f t="shared" si="133"/>
        <v>1</v>
      </c>
      <c r="CT256" s="23">
        <f t="shared" si="134"/>
        <v>1</v>
      </c>
      <c r="CU256" s="23">
        <f t="shared" si="135"/>
        <v>1</v>
      </c>
      <c r="CV256" s="23">
        <f t="shared" si="136"/>
        <v>1</v>
      </c>
    </row>
    <row r="257" spans="1:100" ht="13.5">
      <c r="A257" s="15">
        <v>211</v>
      </c>
      <c r="B257" s="38" t="s">
        <v>999</v>
      </c>
      <c r="C257" t="s">
        <v>580</v>
      </c>
      <c r="E257" t="s">
        <v>465</v>
      </c>
      <c r="F257" t="s">
        <v>581</v>
      </c>
      <c r="G257" t="s">
        <v>465</v>
      </c>
      <c r="H257" t="s">
        <v>582</v>
      </c>
      <c r="I257" s="6" t="s">
        <v>136</v>
      </c>
      <c r="J257" s="6">
        <v>0</v>
      </c>
      <c r="L257" s="15">
        <v>1</v>
      </c>
      <c r="N257" s="7">
        <v>46125</v>
      </c>
      <c r="O257" s="7">
        <v>46118</v>
      </c>
      <c r="P257" s="7">
        <v>46119</v>
      </c>
      <c r="S257" s="6" t="s">
        <v>465</v>
      </c>
      <c r="U257" s="6" t="s">
        <v>464</v>
      </c>
      <c r="V257" s="6" t="str">
        <f t="shared" si="103"/>
        <v>26/04</v>
      </c>
      <c r="W257">
        <v>1561</v>
      </c>
      <c r="AA257">
        <v>915</v>
      </c>
      <c r="AC257">
        <v>968</v>
      </c>
      <c r="AI257" s="23">
        <v>0</v>
      </c>
      <c r="AJ257" s="23">
        <v>0</v>
      </c>
      <c r="AK257" s="23">
        <v>0</v>
      </c>
      <c r="AL257" s="23">
        <v>0</v>
      </c>
      <c r="AM257" s="23">
        <v>0</v>
      </c>
      <c r="AN257" s="23">
        <v>0</v>
      </c>
      <c r="AO257" s="23">
        <v>0</v>
      </c>
      <c r="AP257" s="23">
        <v>0</v>
      </c>
      <c r="AQ257" s="23">
        <v>0</v>
      </c>
      <c r="AR257" s="23">
        <v>0</v>
      </c>
      <c r="AS257" s="23">
        <v>0</v>
      </c>
      <c r="AT257" s="23">
        <v>0</v>
      </c>
      <c r="AU257" s="23">
        <v>0</v>
      </c>
      <c r="AV257" s="23">
        <v>0</v>
      </c>
      <c r="AW257" s="23">
        <v>0</v>
      </c>
      <c r="AX257" s="23">
        <v>0</v>
      </c>
      <c r="AY257" s="23">
        <v>0</v>
      </c>
      <c r="AZ257" s="23">
        <v>0</v>
      </c>
      <c r="BA257" s="23">
        <v>0</v>
      </c>
      <c r="BB257" s="23">
        <v>0</v>
      </c>
      <c r="BC257" s="23">
        <v>0</v>
      </c>
      <c r="BD257" s="23">
        <v>0</v>
      </c>
      <c r="BE257" s="23">
        <v>0</v>
      </c>
      <c r="BF257" s="23">
        <v>0</v>
      </c>
      <c r="BG257" s="23">
        <v>1</v>
      </c>
      <c r="BH257" s="23">
        <v>1</v>
      </c>
      <c r="BI257" s="23">
        <v>1</v>
      </c>
      <c r="BJ257" s="23">
        <v>1</v>
      </c>
      <c r="BK257" s="23">
        <v>1</v>
      </c>
      <c r="BL257" s="23">
        <v>1</v>
      </c>
      <c r="BM257" s="23">
        <v>1</v>
      </c>
      <c r="BN257" s="23">
        <v>1</v>
      </c>
      <c r="BO257" s="23">
        <v>1</v>
      </c>
      <c r="BP257" s="23">
        <f t="shared" si="104"/>
        <v>0</v>
      </c>
      <c r="BQ257" s="23">
        <f t="shared" si="105"/>
        <v>0</v>
      </c>
      <c r="BR257" s="23">
        <f t="shared" si="106"/>
        <v>0</v>
      </c>
      <c r="BS257" s="23">
        <f t="shared" si="107"/>
        <v>0</v>
      </c>
      <c r="BT257" s="23">
        <f t="shared" si="108"/>
        <v>0</v>
      </c>
      <c r="BU257" s="23">
        <f t="shared" si="109"/>
        <v>0</v>
      </c>
      <c r="BV257" s="23">
        <f t="shared" si="110"/>
        <v>0</v>
      </c>
      <c r="BW257" s="23">
        <f t="shared" si="111"/>
        <v>0</v>
      </c>
      <c r="BX257" s="23">
        <f t="shared" si="112"/>
        <v>0</v>
      </c>
      <c r="BY257" s="23">
        <f t="shared" si="113"/>
        <v>0</v>
      </c>
      <c r="BZ257" s="23">
        <f t="shared" si="114"/>
        <v>0</v>
      </c>
      <c r="CA257" s="23">
        <f t="shared" si="115"/>
        <v>0</v>
      </c>
      <c r="CB257" s="23">
        <f t="shared" si="116"/>
        <v>0</v>
      </c>
      <c r="CC257" s="23">
        <f t="shared" si="117"/>
        <v>0</v>
      </c>
      <c r="CD257" s="23">
        <f t="shared" si="118"/>
        <v>0</v>
      </c>
      <c r="CE257" s="23">
        <f t="shared" si="119"/>
        <v>0</v>
      </c>
      <c r="CF257" s="23">
        <f t="shared" si="120"/>
        <v>0</v>
      </c>
      <c r="CG257" s="23">
        <f t="shared" si="121"/>
        <v>0</v>
      </c>
      <c r="CH257" s="23">
        <f t="shared" si="122"/>
        <v>0</v>
      </c>
      <c r="CI257" s="23">
        <f t="shared" si="123"/>
        <v>0</v>
      </c>
      <c r="CJ257" s="23">
        <f t="shared" si="124"/>
        <v>0</v>
      </c>
      <c r="CK257" s="23">
        <f t="shared" si="125"/>
        <v>0</v>
      </c>
      <c r="CL257" s="23">
        <f t="shared" si="126"/>
        <v>0</v>
      </c>
      <c r="CM257" s="23">
        <f t="shared" si="127"/>
        <v>0</v>
      </c>
      <c r="CN257" s="23">
        <f t="shared" si="128"/>
        <v>1</v>
      </c>
      <c r="CO257" s="23">
        <f t="shared" si="129"/>
        <v>1</v>
      </c>
      <c r="CP257" s="23">
        <f t="shared" si="130"/>
        <v>1</v>
      </c>
      <c r="CQ257" s="23">
        <f t="shared" si="131"/>
        <v>1</v>
      </c>
      <c r="CR257" s="23">
        <f t="shared" si="132"/>
        <v>1</v>
      </c>
      <c r="CS257" s="23">
        <f t="shared" si="133"/>
        <v>1</v>
      </c>
      <c r="CT257" s="23">
        <f t="shared" si="134"/>
        <v>1</v>
      </c>
      <c r="CU257" s="23">
        <f t="shared" si="135"/>
        <v>1</v>
      </c>
      <c r="CV257" s="23">
        <f t="shared" si="136"/>
        <v>1</v>
      </c>
    </row>
    <row r="258" spans="1:100" ht="13.5">
      <c r="A258" s="15">
        <v>211</v>
      </c>
      <c r="B258" s="38" t="s">
        <v>1000</v>
      </c>
      <c r="C258" t="s">
        <v>580</v>
      </c>
      <c r="E258" t="s">
        <v>465</v>
      </c>
      <c r="F258" t="s">
        <v>581</v>
      </c>
      <c r="G258" t="s">
        <v>465</v>
      </c>
      <c r="H258" t="s">
        <v>582</v>
      </c>
      <c r="I258" s="6" t="s">
        <v>136</v>
      </c>
      <c r="J258" s="6">
        <v>0</v>
      </c>
      <c r="L258" s="15">
        <v>1</v>
      </c>
      <c r="N258" s="7">
        <v>46125</v>
      </c>
      <c r="O258" s="7">
        <v>46118</v>
      </c>
      <c r="P258" s="7">
        <v>46119</v>
      </c>
      <c r="S258" s="6" t="s">
        <v>465</v>
      </c>
      <c r="U258" s="6" t="s">
        <v>464</v>
      </c>
      <c r="V258" s="6" t="str">
        <f t="shared" si="103"/>
        <v>26/04</v>
      </c>
      <c r="W258">
        <v>1562</v>
      </c>
      <c r="AA258">
        <v>916</v>
      </c>
      <c r="AC258">
        <v>969</v>
      </c>
      <c r="AI258" s="23">
        <v>0</v>
      </c>
      <c r="AJ258" s="23">
        <v>0</v>
      </c>
      <c r="AK258" s="23">
        <v>0</v>
      </c>
      <c r="AL258" s="23">
        <v>0</v>
      </c>
      <c r="AM258" s="23">
        <v>0</v>
      </c>
      <c r="AN258" s="23">
        <v>0</v>
      </c>
      <c r="AO258" s="23">
        <v>0</v>
      </c>
      <c r="AP258" s="23">
        <v>0</v>
      </c>
      <c r="AQ258" s="23">
        <v>0</v>
      </c>
      <c r="AR258" s="23">
        <v>0</v>
      </c>
      <c r="AS258" s="23">
        <v>0</v>
      </c>
      <c r="AT258" s="23">
        <v>0</v>
      </c>
      <c r="AU258" s="23">
        <v>0</v>
      </c>
      <c r="AV258" s="23">
        <v>0</v>
      </c>
      <c r="AW258" s="23">
        <v>0</v>
      </c>
      <c r="AX258" s="23">
        <v>0</v>
      </c>
      <c r="AY258" s="23">
        <v>0</v>
      </c>
      <c r="AZ258" s="23">
        <v>0</v>
      </c>
      <c r="BA258" s="23">
        <v>0</v>
      </c>
      <c r="BB258" s="23">
        <v>0</v>
      </c>
      <c r="BC258" s="23">
        <v>0</v>
      </c>
      <c r="BD258" s="23">
        <v>0</v>
      </c>
      <c r="BE258" s="23">
        <v>0</v>
      </c>
      <c r="BF258" s="23">
        <v>0</v>
      </c>
      <c r="BG258" s="23">
        <v>1</v>
      </c>
      <c r="BH258" s="23">
        <v>1</v>
      </c>
      <c r="BI258" s="23">
        <v>1</v>
      </c>
      <c r="BJ258" s="23">
        <v>1</v>
      </c>
      <c r="BK258" s="23">
        <v>1</v>
      </c>
      <c r="BL258" s="23">
        <v>1</v>
      </c>
      <c r="BM258" s="23">
        <v>1</v>
      </c>
      <c r="BN258" s="23">
        <v>1</v>
      </c>
      <c r="BO258" s="23">
        <v>1</v>
      </c>
      <c r="BP258" s="23">
        <f t="shared" si="104"/>
        <v>0</v>
      </c>
      <c r="BQ258" s="23">
        <f t="shared" si="105"/>
        <v>0</v>
      </c>
      <c r="BR258" s="23">
        <f t="shared" si="106"/>
        <v>0</v>
      </c>
      <c r="BS258" s="23">
        <f t="shared" si="107"/>
        <v>0</v>
      </c>
      <c r="BT258" s="23">
        <f t="shared" si="108"/>
        <v>0</v>
      </c>
      <c r="BU258" s="23">
        <f t="shared" si="109"/>
        <v>0</v>
      </c>
      <c r="BV258" s="23">
        <f t="shared" si="110"/>
        <v>0</v>
      </c>
      <c r="BW258" s="23">
        <f t="shared" si="111"/>
        <v>0</v>
      </c>
      <c r="BX258" s="23">
        <f t="shared" si="112"/>
        <v>0</v>
      </c>
      <c r="BY258" s="23">
        <f t="shared" si="113"/>
        <v>0</v>
      </c>
      <c r="BZ258" s="23">
        <f t="shared" si="114"/>
        <v>0</v>
      </c>
      <c r="CA258" s="23">
        <f t="shared" si="115"/>
        <v>0</v>
      </c>
      <c r="CB258" s="23">
        <f t="shared" si="116"/>
        <v>0</v>
      </c>
      <c r="CC258" s="23">
        <f t="shared" si="117"/>
        <v>0</v>
      </c>
      <c r="CD258" s="23">
        <f t="shared" si="118"/>
        <v>0</v>
      </c>
      <c r="CE258" s="23">
        <f t="shared" si="119"/>
        <v>0</v>
      </c>
      <c r="CF258" s="23">
        <f t="shared" si="120"/>
        <v>0</v>
      </c>
      <c r="CG258" s="23">
        <f t="shared" si="121"/>
        <v>0</v>
      </c>
      <c r="CH258" s="23">
        <f t="shared" si="122"/>
        <v>0</v>
      </c>
      <c r="CI258" s="23">
        <f t="shared" si="123"/>
        <v>0</v>
      </c>
      <c r="CJ258" s="23">
        <f t="shared" si="124"/>
        <v>0</v>
      </c>
      <c r="CK258" s="23">
        <f t="shared" si="125"/>
        <v>0</v>
      </c>
      <c r="CL258" s="23">
        <f t="shared" si="126"/>
        <v>0</v>
      </c>
      <c r="CM258" s="23">
        <f t="shared" si="127"/>
        <v>0</v>
      </c>
      <c r="CN258" s="23">
        <f t="shared" si="128"/>
        <v>1</v>
      </c>
      <c r="CO258" s="23">
        <f t="shared" si="129"/>
        <v>1</v>
      </c>
      <c r="CP258" s="23">
        <f t="shared" si="130"/>
        <v>1</v>
      </c>
      <c r="CQ258" s="23">
        <f t="shared" si="131"/>
        <v>1</v>
      </c>
      <c r="CR258" s="23">
        <f t="shared" si="132"/>
        <v>1</v>
      </c>
      <c r="CS258" s="23">
        <f t="shared" si="133"/>
        <v>1</v>
      </c>
      <c r="CT258" s="23">
        <f t="shared" si="134"/>
        <v>1</v>
      </c>
      <c r="CU258" s="23">
        <f t="shared" si="135"/>
        <v>1</v>
      </c>
      <c r="CV258" s="23">
        <f t="shared" si="136"/>
        <v>1</v>
      </c>
    </row>
    <row r="259" spans="1:100" ht="13.5">
      <c r="A259" s="15">
        <v>211</v>
      </c>
      <c r="B259" s="38" t="s">
        <v>780</v>
      </c>
      <c r="C259" t="s">
        <v>580</v>
      </c>
      <c r="E259" t="s">
        <v>465</v>
      </c>
      <c r="F259" t="s">
        <v>581</v>
      </c>
      <c r="G259" t="s">
        <v>465</v>
      </c>
      <c r="H259" t="s">
        <v>582</v>
      </c>
      <c r="I259" s="6" t="s">
        <v>136</v>
      </c>
      <c r="J259" s="6">
        <v>0</v>
      </c>
      <c r="L259" s="15">
        <v>1</v>
      </c>
      <c r="N259" s="7">
        <v>46126</v>
      </c>
      <c r="O259" s="7">
        <v>46118</v>
      </c>
      <c r="P259" s="7">
        <v>46119</v>
      </c>
      <c r="S259" s="6" t="s">
        <v>465</v>
      </c>
      <c r="U259" s="6" t="s">
        <v>464</v>
      </c>
      <c r="V259" s="6" t="str">
        <f t="shared" si="103"/>
        <v>26/04</v>
      </c>
      <c r="W259">
        <v>1563</v>
      </c>
      <c r="AA259">
        <v>917</v>
      </c>
      <c r="AC259">
        <v>970</v>
      </c>
      <c r="AI259" s="23">
        <v>0</v>
      </c>
      <c r="AJ259" s="23">
        <v>0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  <c r="AP259" s="23">
        <v>0</v>
      </c>
      <c r="AQ259" s="23">
        <v>0</v>
      </c>
      <c r="AR259" s="23">
        <v>0</v>
      </c>
      <c r="AS259" s="23">
        <v>0</v>
      </c>
      <c r="AT259" s="23">
        <v>0</v>
      </c>
      <c r="AU259" s="23">
        <v>0</v>
      </c>
      <c r="AV259" s="23">
        <v>0</v>
      </c>
      <c r="AW259" s="23">
        <v>0</v>
      </c>
      <c r="AX259" s="23">
        <v>0</v>
      </c>
      <c r="AY259" s="23">
        <v>0</v>
      </c>
      <c r="AZ259" s="23">
        <v>0</v>
      </c>
      <c r="BA259" s="23">
        <v>0</v>
      </c>
      <c r="BB259" s="23">
        <v>0</v>
      </c>
      <c r="BC259" s="23">
        <v>0</v>
      </c>
      <c r="BD259" s="23">
        <v>0</v>
      </c>
      <c r="BE259" s="23">
        <v>0</v>
      </c>
      <c r="BF259" s="23">
        <v>0</v>
      </c>
      <c r="BG259" s="23">
        <v>1</v>
      </c>
      <c r="BH259" s="23">
        <v>1</v>
      </c>
      <c r="BI259" s="23">
        <v>1</v>
      </c>
      <c r="BJ259" s="23">
        <v>1</v>
      </c>
      <c r="BK259" s="23">
        <v>1</v>
      </c>
      <c r="BL259" s="23">
        <v>1</v>
      </c>
      <c r="BM259" s="23">
        <v>1</v>
      </c>
      <c r="BN259" s="23">
        <v>1</v>
      </c>
      <c r="BO259" s="23">
        <v>1</v>
      </c>
      <c r="BP259" s="23">
        <f t="shared" si="104"/>
        <v>0</v>
      </c>
      <c r="BQ259" s="23">
        <f t="shared" si="105"/>
        <v>0</v>
      </c>
      <c r="BR259" s="23">
        <f t="shared" si="106"/>
        <v>0</v>
      </c>
      <c r="BS259" s="23">
        <f t="shared" si="107"/>
        <v>0</v>
      </c>
      <c r="BT259" s="23">
        <f t="shared" si="108"/>
        <v>0</v>
      </c>
      <c r="BU259" s="23">
        <f t="shared" si="109"/>
        <v>0</v>
      </c>
      <c r="BV259" s="23">
        <f t="shared" si="110"/>
        <v>0</v>
      </c>
      <c r="BW259" s="23">
        <f t="shared" si="111"/>
        <v>0</v>
      </c>
      <c r="BX259" s="23">
        <f t="shared" si="112"/>
        <v>0</v>
      </c>
      <c r="BY259" s="23">
        <f t="shared" si="113"/>
        <v>0</v>
      </c>
      <c r="BZ259" s="23">
        <f t="shared" si="114"/>
        <v>0</v>
      </c>
      <c r="CA259" s="23">
        <f t="shared" si="115"/>
        <v>0</v>
      </c>
      <c r="CB259" s="23">
        <f t="shared" si="116"/>
        <v>0</v>
      </c>
      <c r="CC259" s="23">
        <f t="shared" si="117"/>
        <v>0</v>
      </c>
      <c r="CD259" s="23">
        <f t="shared" si="118"/>
        <v>0</v>
      </c>
      <c r="CE259" s="23">
        <f t="shared" si="119"/>
        <v>0</v>
      </c>
      <c r="CF259" s="23">
        <f t="shared" si="120"/>
        <v>0</v>
      </c>
      <c r="CG259" s="23">
        <f t="shared" si="121"/>
        <v>0</v>
      </c>
      <c r="CH259" s="23">
        <f t="shared" si="122"/>
        <v>0</v>
      </c>
      <c r="CI259" s="23">
        <f t="shared" si="123"/>
        <v>0</v>
      </c>
      <c r="CJ259" s="23">
        <f t="shared" si="124"/>
        <v>0</v>
      </c>
      <c r="CK259" s="23">
        <f t="shared" si="125"/>
        <v>0</v>
      </c>
      <c r="CL259" s="23">
        <f t="shared" si="126"/>
        <v>0</v>
      </c>
      <c r="CM259" s="23">
        <f t="shared" si="127"/>
        <v>0</v>
      </c>
      <c r="CN259" s="23">
        <f t="shared" si="128"/>
        <v>1</v>
      </c>
      <c r="CO259" s="23">
        <f t="shared" si="129"/>
        <v>1</v>
      </c>
      <c r="CP259" s="23">
        <f t="shared" si="130"/>
        <v>1</v>
      </c>
      <c r="CQ259" s="23">
        <f t="shared" si="131"/>
        <v>1</v>
      </c>
      <c r="CR259" s="23">
        <f t="shared" si="132"/>
        <v>1</v>
      </c>
      <c r="CS259" s="23">
        <f t="shared" si="133"/>
        <v>1</v>
      </c>
      <c r="CT259" s="23">
        <f t="shared" si="134"/>
        <v>1</v>
      </c>
      <c r="CU259" s="23">
        <f t="shared" si="135"/>
        <v>1</v>
      </c>
      <c r="CV259" s="23">
        <f t="shared" si="136"/>
        <v>1</v>
      </c>
    </row>
    <row r="260" spans="1:100" ht="13.5">
      <c r="A260" s="15">
        <v>211</v>
      </c>
      <c r="B260" s="38" t="s">
        <v>781</v>
      </c>
      <c r="C260" t="s">
        <v>580</v>
      </c>
      <c r="E260" t="s">
        <v>465</v>
      </c>
      <c r="F260" t="s">
        <v>581</v>
      </c>
      <c r="G260" t="s">
        <v>465</v>
      </c>
      <c r="H260" t="s">
        <v>582</v>
      </c>
      <c r="I260" s="6" t="s">
        <v>136</v>
      </c>
      <c r="J260" s="6">
        <v>0</v>
      </c>
      <c r="L260" s="15">
        <v>1</v>
      </c>
      <c r="N260" s="7">
        <v>46126</v>
      </c>
      <c r="O260" s="7">
        <v>46118</v>
      </c>
      <c r="P260" s="7">
        <v>46119</v>
      </c>
      <c r="S260" s="6" t="s">
        <v>465</v>
      </c>
      <c r="U260" s="6" t="s">
        <v>464</v>
      </c>
      <c r="V260" s="6" t="str">
        <f t="shared" si="103"/>
        <v>26/04</v>
      </c>
      <c r="W260">
        <v>1564</v>
      </c>
      <c r="AA260">
        <v>918</v>
      </c>
      <c r="AC260">
        <v>971</v>
      </c>
      <c r="AI260" s="23">
        <v>0</v>
      </c>
      <c r="AJ260" s="23">
        <v>0</v>
      </c>
      <c r="AK260" s="23">
        <v>0</v>
      </c>
      <c r="AL260" s="23">
        <v>0</v>
      </c>
      <c r="AM260" s="23">
        <v>0</v>
      </c>
      <c r="AN260" s="23">
        <v>0</v>
      </c>
      <c r="AO260" s="23">
        <v>0</v>
      </c>
      <c r="AP260" s="23">
        <v>0</v>
      </c>
      <c r="AQ260" s="23">
        <v>0</v>
      </c>
      <c r="AR260" s="23">
        <v>0</v>
      </c>
      <c r="AS260" s="23">
        <v>0</v>
      </c>
      <c r="AT260" s="23">
        <v>0</v>
      </c>
      <c r="AU260" s="23">
        <v>0</v>
      </c>
      <c r="AV260" s="23">
        <v>0</v>
      </c>
      <c r="AW260" s="23">
        <v>0</v>
      </c>
      <c r="AX260" s="23">
        <v>0</v>
      </c>
      <c r="AY260" s="23">
        <v>0</v>
      </c>
      <c r="AZ260" s="23">
        <v>0</v>
      </c>
      <c r="BA260" s="23">
        <v>0</v>
      </c>
      <c r="BB260" s="23">
        <v>0</v>
      </c>
      <c r="BC260" s="23">
        <v>0</v>
      </c>
      <c r="BD260" s="23">
        <v>0</v>
      </c>
      <c r="BE260" s="23">
        <v>0</v>
      </c>
      <c r="BF260" s="23">
        <v>0</v>
      </c>
      <c r="BG260" s="23">
        <v>1</v>
      </c>
      <c r="BH260" s="23">
        <v>1</v>
      </c>
      <c r="BI260" s="23">
        <v>1</v>
      </c>
      <c r="BJ260" s="23">
        <v>1</v>
      </c>
      <c r="BK260" s="23">
        <v>1</v>
      </c>
      <c r="BL260" s="23">
        <v>1</v>
      </c>
      <c r="BM260" s="23">
        <v>1</v>
      </c>
      <c r="BN260" s="23">
        <v>1</v>
      </c>
      <c r="BO260" s="23">
        <v>1</v>
      </c>
      <c r="BP260" s="23">
        <f t="shared" si="104"/>
        <v>0</v>
      </c>
      <c r="BQ260" s="23">
        <f t="shared" si="105"/>
        <v>0</v>
      </c>
      <c r="BR260" s="23">
        <f t="shared" si="106"/>
        <v>0</v>
      </c>
      <c r="BS260" s="23">
        <f t="shared" si="107"/>
        <v>0</v>
      </c>
      <c r="BT260" s="23">
        <f t="shared" si="108"/>
        <v>0</v>
      </c>
      <c r="BU260" s="23">
        <f t="shared" si="109"/>
        <v>0</v>
      </c>
      <c r="BV260" s="23">
        <f t="shared" si="110"/>
        <v>0</v>
      </c>
      <c r="BW260" s="23">
        <f t="shared" si="111"/>
        <v>0</v>
      </c>
      <c r="BX260" s="23">
        <f t="shared" si="112"/>
        <v>0</v>
      </c>
      <c r="BY260" s="23">
        <f t="shared" si="113"/>
        <v>0</v>
      </c>
      <c r="BZ260" s="23">
        <f t="shared" si="114"/>
        <v>0</v>
      </c>
      <c r="CA260" s="23">
        <f t="shared" si="115"/>
        <v>0</v>
      </c>
      <c r="CB260" s="23">
        <f t="shared" si="116"/>
        <v>0</v>
      </c>
      <c r="CC260" s="23">
        <f t="shared" si="117"/>
        <v>0</v>
      </c>
      <c r="CD260" s="23">
        <f t="shared" si="118"/>
        <v>0</v>
      </c>
      <c r="CE260" s="23">
        <f t="shared" si="119"/>
        <v>0</v>
      </c>
      <c r="CF260" s="23">
        <f t="shared" si="120"/>
        <v>0</v>
      </c>
      <c r="CG260" s="23">
        <f t="shared" si="121"/>
        <v>0</v>
      </c>
      <c r="CH260" s="23">
        <f t="shared" si="122"/>
        <v>0</v>
      </c>
      <c r="CI260" s="23">
        <f t="shared" si="123"/>
        <v>0</v>
      </c>
      <c r="CJ260" s="23">
        <f t="shared" si="124"/>
        <v>0</v>
      </c>
      <c r="CK260" s="23">
        <f t="shared" si="125"/>
        <v>0</v>
      </c>
      <c r="CL260" s="23">
        <f t="shared" si="126"/>
        <v>0</v>
      </c>
      <c r="CM260" s="23">
        <f t="shared" si="127"/>
        <v>0</v>
      </c>
      <c r="CN260" s="23">
        <f t="shared" si="128"/>
        <v>1</v>
      </c>
      <c r="CO260" s="23">
        <f t="shared" si="129"/>
        <v>1</v>
      </c>
      <c r="CP260" s="23">
        <f t="shared" si="130"/>
        <v>1</v>
      </c>
      <c r="CQ260" s="23">
        <f t="shared" si="131"/>
        <v>1</v>
      </c>
      <c r="CR260" s="23">
        <f t="shared" si="132"/>
        <v>1</v>
      </c>
      <c r="CS260" s="23">
        <f t="shared" si="133"/>
        <v>1</v>
      </c>
      <c r="CT260" s="23">
        <f t="shared" si="134"/>
        <v>1</v>
      </c>
      <c r="CU260" s="23">
        <f t="shared" si="135"/>
        <v>1</v>
      </c>
      <c r="CV260" s="23">
        <f t="shared" si="136"/>
        <v>1</v>
      </c>
    </row>
    <row r="261" spans="1:100" ht="13.5">
      <c r="A261" s="15">
        <v>213</v>
      </c>
      <c r="B261" s="38" t="s">
        <v>1001</v>
      </c>
      <c r="C261" t="s">
        <v>580</v>
      </c>
      <c r="E261" t="s">
        <v>465</v>
      </c>
      <c r="F261" t="s">
        <v>581</v>
      </c>
      <c r="G261" t="s">
        <v>465</v>
      </c>
      <c r="H261" t="s">
        <v>582</v>
      </c>
      <c r="I261" s="6" t="s">
        <v>136</v>
      </c>
      <c r="J261" s="6">
        <v>0</v>
      </c>
      <c r="L261" s="15">
        <v>1</v>
      </c>
      <c r="N261" s="7">
        <v>46127</v>
      </c>
      <c r="O261" s="7">
        <v>46125</v>
      </c>
      <c r="P261" s="7">
        <v>46126</v>
      </c>
      <c r="S261" s="6" t="s">
        <v>465</v>
      </c>
      <c r="U261" s="6" t="s">
        <v>464</v>
      </c>
      <c r="V261" s="6" t="str">
        <f t="shared" ref="V261:V324" si="137">TEXT(N261,"YY/MM")</f>
        <v>26/04</v>
      </c>
      <c r="W261">
        <v>1565</v>
      </c>
      <c r="AA261">
        <v>919</v>
      </c>
      <c r="AC261">
        <v>972</v>
      </c>
      <c r="AI261" s="23">
        <v>0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  <c r="AP261" s="23">
        <v>0</v>
      </c>
      <c r="AQ261" s="23">
        <v>0</v>
      </c>
      <c r="AR261" s="23">
        <v>0</v>
      </c>
      <c r="AS261" s="23">
        <v>0</v>
      </c>
      <c r="AT261" s="23">
        <v>0</v>
      </c>
      <c r="AU261" s="23">
        <v>0</v>
      </c>
      <c r="AV261" s="23">
        <v>0</v>
      </c>
      <c r="AW261" s="23">
        <v>0</v>
      </c>
      <c r="AX261" s="23">
        <v>0</v>
      </c>
      <c r="AY261" s="23">
        <v>0</v>
      </c>
      <c r="AZ261" s="23">
        <v>0</v>
      </c>
      <c r="BA261" s="23">
        <v>0</v>
      </c>
      <c r="BB261" s="23">
        <v>0</v>
      </c>
      <c r="BC261" s="23">
        <v>0</v>
      </c>
      <c r="BD261" s="23">
        <v>0</v>
      </c>
      <c r="BE261" s="23">
        <v>0</v>
      </c>
      <c r="BF261" s="23">
        <v>0</v>
      </c>
      <c r="BG261" s="23">
        <v>1</v>
      </c>
      <c r="BH261" s="23">
        <v>1</v>
      </c>
      <c r="BI261" s="23">
        <v>1</v>
      </c>
      <c r="BJ261" s="23">
        <v>1</v>
      </c>
      <c r="BK261" s="23">
        <v>1</v>
      </c>
      <c r="BL261" s="23">
        <v>1</v>
      </c>
      <c r="BM261" s="23">
        <v>1</v>
      </c>
      <c r="BN261" s="23">
        <v>1</v>
      </c>
      <c r="BO261" s="23">
        <v>1</v>
      </c>
      <c r="BP261" s="23">
        <f t="shared" ref="BP261:BP324" si="138">$L261*AI261</f>
        <v>0</v>
      </c>
      <c r="BQ261" s="23">
        <f t="shared" ref="BQ261:BQ324" si="139">$L261*AJ261</f>
        <v>0</v>
      </c>
      <c r="BR261" s="23">
        <f t="shared" ref="BR261:BR324" si="140">$L261*AK261</f>
        <v>0</v>
      </c>
      <c r="BS261" s="23">
        <f t="shared" ref="BS261:BS324" si="141">$L261*AL261</f>
        <v>0</v>
      </c>
      <c r="BT261" s="23">
        <f t="shared" ref="BT261:BT324" si="142">$L261*AM261</f>
        <v>0</v>
      </c>
      <c r="BU261" s="23">
        <f t="shared" ref="BU261:BU324" si="143">$L261*AN261</f>
        <v>0</v>
      </c>
      <c r="BV261" s="23">
        <f t="shared" ref="BV261:BV324" si="144">$L261*AO261</f>
        <v>0</v>
      </c>
      <c r="BW261" s="23">
        <f t="shared" ref="BW261:BW324" si="145">$L261*AP261</f>
        <v>0</v>
      </c>
      <c r="BX261" s="23">
        <f t="shared" ref="BX261:BX324" si="146">$L261*AQ261</f>
        <v>0</v>
      </c>
      <c r="BY261" s="23">
        <f t="shared" ref="BY261:BY324" si="147">$L261*AR261</f>
        <v>0</v>
      </c>
      <c r="BZ261" s="23">
        <f t="shared" ref="BZ261:BZ324" si="148">$L261*AS261</f>
        <v>0</v>
      </c>
      <c r="CA261" s="23">
        <f t="shared" ref="CA261:CA324" si="149">$L261*AT261</f>
        <v>0</v>
      </c>
      <c r="CB261" s="23">
        <f t="shared" ref="CB261:CB324" si="150">$L261*AU261</f>
        <v>0</v>
      </c>
      <c r="CC261" s="23">
        <f t="shared" ref="CC261:CC324" si="151">$L261*AV261</f>
        <v>0</v>
      </c>
      <c r="CD261" s="23">
        <f t="shared" ref="CD261:CD324" si="152">$L261*AW261</f>
        <v>0</v>
      </c>
      <c r="CE261" s="23">
        <f t="shared" ref="CE261:CE324" si="153">$L261*AX261</f>
        <v>0</v>
      </c>
      <c r="CF261" s="23">
        <f t="shared" ref="CF261:CF324" si="154">$L261*AY261</f>
        <v>0</v>
      </c>
      <c r="CG261" s="23">
        <f t="shared" ref="CG261:CG324" si="155">$L261*AZ261</f>
        <v>0</v>
      </c>
      <c r="CH261" s="23">
        <f t="shared" ref="CH261:CH324" si="156">$L261*BA261</f>
        <v>0</v>
      </c>
      <c r="CI261" s="23">
        <f t="shared" ref="CI261:CI324" si="157">$L261*BB261</f>
        <v>0</v>
      </c>
      <c r="CJ261" s="23">
        <f t="shared" ref="CJ261:CJ324" si="158">$L261*BC261</f>
        <v>0</v>
      </c>
      <c r="CK261" s="23">
        <f t="shared" ref="CK261:CK324" si="159">$L261*BD261</f>
        <v>0</v>
      </c>
      <c r="CL261" s="23">
        <f t="shared" ref="CL261:CL324" si="160">$L261*BE261</f>
        <v>0</v>
      </c>
      <c r="CM261" s="23">
        <f t="shared" ref="CM261:CM324" si="161">$L261*BF261</f>
        <v>0</v>
      </c>
      <c r="CN261" s="23">
        <f t="shared" ref="CN261:CN324" si="162">$L261*BG261</f>
        <v>1</v>
      </c>
      <c r="CO261" s="23">
        <f t="shared" ref="CO261:CO324" si="163">$L261*BH261</f>
        <v>1</v>
      </c>
      <c r="CP261" s="23">
        <f t="shared" ref="CP261:CP324" si="164">$L261*BI261</f>
        <v>1</v>
      </c>
      <c r="CQ261" s="23">
        <f t="shared" ref="CQ261:CQ324" si="165">$L261*BJ261</f>
        <v>1</v>
      </c>
      <c r="CR261" s="23">
        <f t="shared" ref="CR261:CR324" si="166">$L261*BK261</f>
        <v>1</v>
      </c>
      <c r="CS261" s="23">
        <f t="shared" ref="CS261:CS324" si="167">$L261*BL261</f>
        <v>1</v>
      </c>
      <c r="CT261" s="23">
        <f t="shared" ref="CT261:CT324" si="168">$L261*BM261</f>
        <v>1</v>
      </c>
      <c r="CU261" s="23">
        <f t="shared" ref="CU261:CU324" si="169">$L261*BN261</f>
        <v>1</v>
      </c>
      <c r="CV261" s="23">
        <f t="shared" ref="CV261:CV324" si="170">$L261*BO261</f>
        <v>1</v>
      </c>
    </row>
    <row r="262" spans="1:100" ht="13.5">
      <c r="A262" s="15">
        <v>213</v>
      </c>
      <c r="B262" s="38" t="s">
        <v>1002</v>
      </c>
      <c r="C262" t="s">
        <v>580</v>
      </c>
      <c r="E262" t="s">
        <v>465</v>
      </c>
      <c r="F262" t="s">
        <v>581</v>
      </c>
      <c r="G262" t="s">
        <v>465</v>
      </c>
      <c r="H262" t="s">
        <v>582</v>
      </c>
      <c r="I262" s="6" t="s">
        <v>136</v>
      </c>
      <c r="J262" s="6">
        <v>0</v>
      </c>
      <c r="L262" s="15">
        <v>1</v>
      </c>
      <c r="N262" s="7">
        <v>46127</v>
      </c>
      <c r="O262" s="7">
        <v>46125</v>
      </c>
      <c r="P262" s="7">
        <v>46126</v>
      </c>
      <c r="S262" s="6" t="s">
        <v>465</v>
      </c>
      <c r="U262" s="6" t="s">
        <v>464</v>
      </c>
      <c r="V262" s="6" t="str">
        <f t="shared" si="137"/>
        <v>26/04</v>
      </c>
      <c r="W262">
        <v>1566</v>
      </c>
      <c r="AA262">
        <v>920</v>
      </c>
      <c r="AC262">
        <v>973</v>
      </c>
      <c r="AI262" s="23">
        <v>0</v>
      </c>
      <c r="AJ262" s="23">
        <v>0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  <c r="AP262" s="23">
        <v>0</v>
      </c>
      <c r="AQ262" s="23">
        <v>0</v>
      </c>
      <c r="AR262" s="23">
        <v>0</v>
      </c>
      <c r="AS262" s="23">
        <v>0</v>
      </c>
      <c r="AT262" s="23">
        <v>0</v>
      </c>
      <c r="AU262" s="23">
        <v>0</v>
      </c>
      <c r="AV262" s="23">
        <v>0</v>
      </c>
      <c r="AW262" s="23">
        <v>0</v>
      </c>
      <c r="AX262" s="23">
        <v>0</v>
      </c>
      <c r="AY262" s="23">
        <v>0</v>
      </c>
      <c r="AZ262" s="23">
        <v>0</v>
      </c>
      <c r="BA262" s="23">
        <v>0</v>
      </c>
      <c r="BB262" s="23">
        <v>0</v>
      </c>
      <c r="BC262" s="23">
        <v>0</v>
      </c>
      <c r="BD262" s="23">
        <v>0</v>
      </c>
      <c r="BE262" s="23">
        <v>0</v>
      </c>
      <c r="BF262" s="23">
        <v>0</v>
      </c>
      <c r="BG262" s="23">
        <v>1</v>
      </c>
      <c r="BH262" s="23">
        <v>1</v>
      </c>
      <c r="BI262" s="23">
        <v>1</v>
      </c>
      <c r="BJ262" s="23">
        <v>1</v>
      </c>
      <c r="BK262" s="23">
        <v>1</v>
      </c>
      <c r="BL262" s="23">
        <v>1</v>
      </c>
      <c r="BM262" s="23">
        <v>1</v>
      </c>
      <c r="BN262" s="23">
        <v>1</v>
      </c>
      <c r="BO262" s="23">
        <v>1</v>
      </c>
      <c r="BP262" s="23">
        <f t="shared" si="138"/>
        <v>0</v>
      </c>
      <c r="BQ262" s="23">
        <f t="shared" si="139"/>
        <v>0</v>
      </c>
      <c r="BR262" s="23">
        <f t="shared" si="140"/>
        <v>0</v>
      </c>
      <c r="BS262" s="23">
        <f t="shared" si="141"/>
        <v>0</v>
      </c>
      <c r="BT262" s="23">
        <f t="shared" si="142"/>
        <v>0</v>
      </c>
      <c r="BU262" s="23">
        <f t="shared" si="143"/>
        <v>0</v>
      </c>
      <c r="BV262" s="23">
        <f t="shared" si="144"/>
        <v>0</v>
      </c>
      <c r="BW262" s="23">
        <f t="shared" si="145"/>
        <v>0</v>
      </c>
      <c r="BX262" s="23">
        <f t="shared" si="146"/>
        <v>0</v>
      </c>
      <c r="BY262" s="23">
        <f t="shared" si="147"/>
        <v>0</v>
      </c>
      <c r="BZ262" s="23">
        <f t="shared" si="148"/>
        <v>0</v>
      </c>
      <c r="CA262" s="23">
        <f t="shared" si="149"/>
        <v>0</v>
      </c>
      <c r="CB262" s="23">
        <f t="shared" si="150"/>
        <v>0</v>
      </c>
      <c r="CC262" s="23">
        <f t="shared" si="151"/>
        <v>0</v>
      </c>
      <c r="CD262" s="23">
        <f t="shared" si="152"/>
        <v>0</v>
      </c>
      <c r="CE262" s="23">
        <f t="shared" si="153"/>
        <v>0</v>
      </c>
      <c r="CF262" s="23">
        <f t="shared" si="154"/>
        <v>0</v>
      </c>
      <c r="CG262" s="23">
        <f t="shared" si="155"/>
        <v>0</v>
      </c>
      <c r="CH262" s="23">
        <f t="shared" si="156"/>
        <v>0</v>
      </c>
      <c r="CI262" s="23">
        <f t="shared" si="157"/>
        <v>0</v>
      </c>
      <c r="CJ262" s="23">
        <f t="shared" si="158"/>
        <v>0</v>
      </c>
      <c r="CK262" s="23">
        <f t="shared" si="159"/>
        <v>0</v>
      </c>
      <c r="CL262" s="23">
        <f t="shared" si="160"/>
        <v>0</v>
      </c>
      <c r="CM262" s="23">
        <f t="shared" si="161"/>
        <v>0</v>
      </c>
      <c r="CN262" s="23">
        <f t="shared" si="162"/>
        <v>1</v>
      </c>
      <c r="CO262" s="23">
        <f t="shared" si="163"/>
        <v>1</v>
      </c>
      <c r="CP262" s="23">
        <f t="shared" si="164"/>
        <v>1</v>
      </c>
      <c r="CQ262" s="23">
        <f t="shared" si="165"/>
        <v>1</v>
      </c>
      <c r="CR262" s="23">
        <f t="shared" si="166"/>
        <v>1</v>
      </c>
      <c r="CS262" s="23">
        <f t="shared" si="167"/>
        <v>1</v>
      </c>
      <c r="CT262" s="23">
        <f t="shared" si="168"/>
        <v>1</v>
      </c>
      <c r="CU262" s="23">
        <f t="shared" si="169"/>
        <v>1</v>
      </c>
      <c r="CV262" s="23">
        <f t="shared" si="170"/>
        <v>1</v>
      </c>
    </row>
    <row r="263" spans="1:100" ht="13.5">
      <c r="A263" s="15">
        <v>213</v>
      </c>
      <c r="B263" s="38" t="s">
        <v>1003</v>
      </c>
      <c r="C263" t="s">
        <v>580</v>
      </c>
      <c r="E263" t="s">
        <v>465</v>
      </c>
      <c r="F263" t="s">
        <v>581</v>
      </c>
      <c r="G263" t="s">
        <v>465</v>
      </c>
      <c r="H263" t="s">
        <v>582</v>
      </c>
      <c r="I263" s="6" t="s">
        <v>136</v>
      </c>
      <c r="J263" s="6">
        <v>0</v>
      </c>
      <c r="L263" s="15">
        <v>1</v>
      </c>
      <c r="N263" s="7">
        <v>46127</v>
      </c>
      <c r="O263" s="7">
        <v>46125</v>
      </c>
      <c r="P263" s="7">
        <v>46126</v>
      </c>
      <c r="S263" s="6" t="s">
        <v>465</v>
      </c>
      <c r="U263" s="6" t="s">
        <v>464</v>
      </c>
      <c r="V263" s="6" t="str">
        <f t="shared" si="137"/>
        <v>26/04</v>
      </c>
      <c r="W263">
        <v>1567</v>
      </c>
      <c r="AA263">
        <v>921</v>
      </c>
      <c r="AC263">
        <v>974</v>
      </c>
      <c r="AI263" s="23">
        <v>0</v>
      </c>
      <c r="AJ263" s="23">
        <v>0</v>
      </c>
      <c r="AK263" s="23">
        <v>0</v>
      </c>
      <c r="AL263" s="23">
        <v>0</v>
      </c>
      <c r="AM263" s="23">
        <v>0</v>
      </c>
      <c r="AN263" s="23">
        <v>0</v>
      </c>
      <c r="AO263" s="23">
        <v>0</v>
      </c>
      <c r="AP263" s="23">
        <v>0</v>
      </c>
      <c r="AQ263" s="23">
        <v>0</v>
      </c>
      <c r="AR263" s="23">
        <v>0</v>
      </c>
      <c r="AS263" s="23">
        <v>0</v>
      </c>
      <c r="AT263" s="23">
        <v>0</v>
      </c>
      <c r="AU263" s="23">
        <v>0</v>
      </c>
      <c r="AV263" s="23">
        <v>0</v>
      </c>
      <c r="AW263" s="23">
        <v>0</v>
      </c>
      <c r="AX263" s="23">
        <v>0</v>
      </c>
      <c r="AY263" s="23">
        <v>0</v>
      </c>
      <c r="AZ263" s="23">
        <v>0</v>
      </c>
      <c r="BA263" s="23">
        <v>0</v>
      </c>
      <c r="BB263" s="23">
        <v>0</v>
      </c>
      <c r="BC263" s="23">
        <v>0</v>
      </c>
      <c r="BD263" s="23">
        <v>0</v>
      </c>
      <c r="BE263" s="23">
        <v>0</v>
      </c>
      <c r="BF263" s="23">
        <v>0</v>
      </c>
      <c r="BG263" s="23">
        <v>1</v>
      </c>
      <c r="BH263" s="23">
        <v>1</v>
      </c>
      <c r="BI263" s="23">
        <v>1</v>
      </c>
      <c r="BJ263" s="23">
        <v>1</v>
      </c>
      <c r="BK263" s="23">
        <v>1</v>
      </c>
      <c r="BL263" s="23">
        <v>1</v>
      </c>
      <c r="BM263" s="23">
        <v>1</v>
      </c>
      <c r="BN263" s="23">
        <v>1</v>
      </c>
      <c r="BO263" s="23">
        <v>1</v>
      </c>
      <c r="BP263" s="23">
        <f t="shared" si="138"/>
        <v>0</v>
      </c>
      <c r="BQ263" s="23">
        <f t="shared" si="139"/>
        <v>0</v>
      </c>
      <c r="BR263" s="23">
        <f t="shared" si="140"/>
        <v>0</v>
      </c>
      <c r="BS263" s="23">
        <f t="shared" si="141"/>
        <v>0</v>
      </c>
      <c r="BT263" s="23">
        <f t="shared" si="142"/>
        <v>0</v>
      </c>
      <c r="BU263" s="23">
        <f t="shared" si="143"/>
        <v>0</v>
      </c>
      <c r="BV263" s="23">
        <f t="shared" si="144"/>
        <v>0</v>
      </c>
      <c r="BW263" s="23">
        <f t="shared" si="145"/>
        <v>0</v>
      </c>
      <c r="BX263" s="23">
        <f t="shared" si="146"/>
        <v>0</v>
      </c>
      <c r="BY263" s="23">
        <f t="shared" si="147"/>
        <v>0</v>
      </c>
      <c r="BZ263" s="23">
        <f t="shared" si="148"/>
        <v>0</v>
      </c>
      <c r="CA263" s="23">
        <f t="shared" si="149"/>
        <v>0</v>
      </c>
      <c r="CB263" s="23">
        <f t="shared" si="150"/>
        <v>0</v>
      </c>
      <c r="CC263" s="23">
        <f t="shared" si="151"/>
        <v>0</v>
      </c>
      <c r="CD263" s="23">
        <f t="shared" si="152"/>
        <v>0</v>
      </c>
      <c r="CE263" s="23">
        <f t="shared" si="153"/>
        <v>0</v>
      </c>
      <c r="CF263" s="23">
        <f t="shared" si="154"/>
        <v>0</v>
      </c>
      <c r="CG263" s="23">
        <f t="shared" si="155"/>
        <v>0</v>
      </c>
      <c r="CH263" s="23">
        <f t="shared" si="156"/>
        <v>0</v>
      </c>
      <c r="CI263" s="23">
        <f t="shared" si="157"/>
        <v>0</v>
      </c>
      <c r="CJ263" s="23">
        <f t="shared" si="158"/>
        <v>0</v>
      </c>
      <c r="CK263" s="23">
        <f t="shared" si="159"/>
        <v>0</v>
      </c>
      <c r="CL263" s="23">
        <f t="shared" si="160"/>
        <v>0</v>
      </c>
      <c r="CM263" s="23">
        <f t="shared" si="161"/>
        <v>0</v>
      </c>
      <c r="CN263" s="23">
        <f t="shared" si="162"/>
        <v>1</v>
      </c>
      <c r="CO263" s="23">
        <f t="shared" si="163"/>
        <v>1</v>
      </c>
      <c r="CP263" s="23">
        <f t="shared" si="164"/>
        <v>1</v>
      </c>
      <c r="CQ263" s="23">
        <f t="shared" si="165"/>
        <v>1</v>
      </c>
      <c r="CR263" s="23">
        <f t="shared" si="166"/>
        <v>1</v>
      </c>
      <c r="CS263" s="23">
        <f t="shared" si="167"/>
        <v>1</v>
      </c>
      <c r="CT263" s="23">
        <f t="shared" si="168"/>
        <v>1</v>
      </c>
      <c r="CU263" s="23">
        <f t="shared" si="169"/>
        <v>1</v>
      </c>
      <c r="CV263" s="23">
        <f t="shared" si="170"/>
        <v>1</v>
      </c>
    </row>
    <row r="264" spans="1:100" ht="13.5">
      <c r="A264" s="15">
        <v>213</v>
      </c>
      <c r="B264" s="38" t="s">
        <v>1004</v>
      </c>
      <c r="C264" t="s">
        <v>580</v>
      </c>
      <c r="E264" t="s">
        <v>465</v>
      </c>
      <c r="F264" t="s">
        <v>581</v>
      </c>
      <c r="G264" t="s">
        <v>465</v>
      </c>
      <c r="H264" t="s">
        <v>582</v>
      </c>
      <c r="I264" s="6" t="s">
        <v>136</v>
      </c>
      <c r="J264" s="6">
        <v>0</v>
      </c>
      <c r="L264" s="15">
        <v>1</v>
      </c>
      <c r="N264" s="7">
        <v>46128</v>
      </c>
      <c r="O264" s="7">
        <v>46125</v>
      </c>
      <c r="P264" s="7">
        <v>46126</v>
      </c>
      <c r="S264" s="6" t="s">
        <v>465</v>
      </c>
      <c r="U264" s="6" t="s">
        <v>464</v>
      </c>
      <c r="V264" s="6" t="str">
        <f t="shared" si="137"/>
        <v>26/04</v>
      </c>
      <c r="W264">
        <v>1568</v>
      </c>
      <c r="AA264">
        <v>922</v>
      </c>
      <c r="AC264">
        <v>975</v>
      </c>
      <c r="AI264" s="23">
        <v>0</v>
      </c>
      <c r="AJ264" s="23">
        <v>0</v>
      </c>
      <c r="AK264" s="23">
        <v>0</v>
      </c>
      <c r="AL264" s="23">
        <v>0</v>
      </c>
      <c r="AM264" s="23">
        <v>0</v>
      </c>
      <c r="AN264" s="23">
        <v>0</v>
      </c>
      <c r="AO264" s="23">
        <v>0</v>
      </c>
      <c r="AP264" s="23">
        <v>0</v>
      </c>
      <c r="AQ264" s="23">
        <v>0</v>
      </c>
      <c r="AR264" s="23">
        <v>0</v>
      </c>
      <c r="AS264" s="23">
        <v>0</v>
      </c>
      <c r="AT264" s="23">
        <v>0</v>
      </c>
      <c r="AU264" s="23">
        <v>0</v>
      </c>
      <c r="AV264" s="23">
        <v>0</v>
      </c>
      <c r="AW264" s="23">
        <v>0</v>
      </c>
      <c r="AX264" s="23">
        <v>0</v>
      </c>
      <c r="AY264" s="23">
        <v>0</v>
      </c>
      <c r="AZ264" s="23">
        <v>0</v>
      </c>
      <c r="BA264" s="23">
        <v>0</v>
      </c>
      <c r="BB264" s="23">
        <v>0</v>
      </c>
      <c r="BC264" s="23">
        <v>0</v>
      </c>
      <c r="BD264" s="23">
        <v>0</v>
      </c>
      <c r="BE264" s="23">
        <v>0</v>
      </c>
      <c r="BF264" s="23">
        <v>0</v>
      </c>
      <c r="BG264" s="23">
        <v>1</v>
      </c>
      <c r="BH264" s="23">
        <v>1</v>
      </c>
      <c r="BI264" s="23">
        <v>1</v>
      </c>
      <c r="BJ264" s="23">
        <v>1</v>
      </c>
      <c r="BK264" s="23">
        <v>1</v>
      </c>
      <c r="BL264" s="23">
        <v>1</v>
      </c>
      <c r="BM264" s="23">
        <v>1</v>
      </c>
      <c r="BN264" s="23">
        <v>1</v>
      </c>
      <c r="BO264" s="23">
        <v>1</v>
      </c>
      <c r="BP264" s="23">
        <f t="shared" si="138"/>
        <v>0</v>
      </c>
      <c r="BQ264" s="23">
        <f t="shared" si="139"/>
        <v>0</v>
      </c>
      <c r="BR264" s="23">
        <f t="shared" si="140"/>
        <v>0</v>
      </c>
      <c r="BS264" s="23">
        <f t="shared" si="141"/>
        <v>0</v>
      </c>
      <c r="BT264" s="23">
        <f t="shared" si="142"/>
        <v>0</v>
      </c>
      <c r="BU264" s="23">
        <f t="shared" si="143"/>
        <v>0</v>
      </c>
      <c r="BV264" s="23">
        <f t="shared" si="144"/>
        <v>0</v>
      </c>
      <c r="BW264" s="23">
        <f t="shared" si="145"/>
        <v>0</v>
      </c>
      <c r="BX264" s="23">
        <f t="shared" si="146"/>
        <v>0</v>
      </c>
      <c r="BY264" s="23">
        <f t="shared" si="147"/>
        <v>0</v>
      </c>
      <c r="BZ264" s="23">
        <f t="shared" si="148"/>
        <v>0</v>
      </c>
      <c r="CA264" s="23">
        <f t="shared" si="149"/>
        <v>0</v>
      </c>
      <c r="CB264" s="23">
        <f t="shared" si="150"/>
        <v>0</v>
      </c>
      <c r="CC264" s="23">
        <f t="shared" si="151"/>
        <v>0</v>
      </c>
      <c r="CD264" s="23">
        <f t="shared" si="152"/>
        <v>0</v>
      </c>
      <c r="CE264" s="23">
        <f t="shared" si="153"/>
        <v>0</v>
      </c>
      <c r="CF264" s="23">
        <f t="shared" si="154"/>
        <v>0</v>
      </c>
      <c r="CG264" s="23">
        <f t="shared" si="155"/>
        <v>0</v>
      </c>
      <c r="CH264" s="23">
        <f t="shared" si="156"/>
        <v>0</v>
      </c>
      <c r="CI264" s="23">
        <f t="shared" si="157"/>
        <v>0</v>
      </c>
      <c r="CJ264" s="23">
        <f t="shared" si="158"/>
        <v>0</v>
      </c>
      <c r="CK264" s="23">
        <f t="shared" si="159"/>
        <v>0</v>
      </c>
      <c r="CL264" s="23">
        <f t="shared" si="160"/>
        <v>0</v>
      </c>
      <c r="CM264" s="23">
        <f t="shared" si="161"/>
        <v>0</v>
      </c>
      <c r="CN264" s="23">
        <f t="shared" si="162"/>
        <v>1</v>
      </c>
      <c r="CO264" s="23">
        <f t="shared" si="163"/>
        <v>1</v>
      </c>
      <c r="CP264" s="23">
        <f t="shared" si="164"/>
        <v>1</v>
      </c>
      <c r="CQ264" s="23">
        <f t="shared" si="165"/>
        <v>1</v>
      </c>
      <c r="CR264" s="23">
        <f t="shared" si="166"/>
        <v>1</v>
      </c>
      <c r="CS264" s="23">
        <f t="shared" si="167"/>
        <v>1</v>
      </c>
      <c r="CT264" s="23">
        <f t="shared" si="168"/>
        <v>1</v>
      </c>
      <c r="CU264" s="23">
        <f t="shared" si="169"/>
        <v>1</v>
      </c>
      <c r="CV264" s="23">
        <f t="shared" si="170"/>
        <v>1</v>
      </c>
    </row>
    <row r="265" spans="1:100" ht="13.5">
      <c r="A265" s="15">
        <v>213</v>
      </c>
      <c r="B265" s="38" t="s">
        <v>1005</v>
      </c>
      <c r="C265" t="s">
        <v>580</v>
      </c>
      <c r="E265" t="s">
        <v>465</v>
      </c>
      <c r="F265" t="s">
        <v>581</v>
      </c>
      <c r="G265" t="s">
        <v>465</v>
      </c>
      <c r="H265" t="s">
        <v>582</v>
      </c>
      <c r="I265" s="6" t="s">
        <v>136</v>
      </c>
      <c r="J265" s="6">
        <v>0</v>
      </c>
      <c r="L265" s="15">
        <v>1</v>
      </c>
      <c r="N265" s="7">
        <v>46128</v>
      </c>
      <c r="O265" s="7">
        <v>46125</v>
      </c>
      <c r="P265" s="7">
        <v>46126</v>
      </c>
      <c r="S265" s="6" t="s">
        <v>465</v>
      </c>
      <c r="U265" s="6" t="s">
        <v>464</v>
      </c>
      <c r="V265" s="6" t="str">
        <f t="shared" si="137"/>
        <v>26/04</v>
      </c>
      <c r="W265">
        <v>1569</v>
      </c>
      <c r="AA265">
        <v>923</v>
      </c>
      <c r="AC265">
        <v>976</v>
      </c>
      <c r="AI265" s="23">
        <v>0</v>
      </c>
      <c r="AJ265" s="23">
        <v>0</v>
      </c>
      <c r="AK265" s="23">
        <v>0</v>
      </c>
      <c r="AL265" s="23">
        <v>0</v>
      </c>
      <c r="AM265" s="23">
        <v>0</v>
      </c>
      <c r="AN265" s="23">
        <v>0</v>
      </c>
      <c r="AO265" s="23">
        <v>0</v>
      </c>
      <c r="AP265" s="23">
        <v>0</v>
      </c>
      <c r="AQ265" s="23">
        <v>0</v>
      </c>
      <c r="AR265" s="23">
        <v>0</v>
      </c>
      <c r="AS265" s="23">
        <v>0</v>
      </c>
      <c r="AT265" s="23">
        <v>0</v>
      </c>
      <c r="AU265" s="23">
        <v>0</v>
      </c>
      <c r="AV265" s="23">
        <v>0</v>
      </c>
      <c r="AW265" s="23">
        <v>0</v>
      </c>
      <c r="AX265" s="23">
        <v>0</v>
      </c>
      <c r="AY265" s="23">
        <v>0</v>
      </c>
      <c r="AZ265" s="23">
        <v>0</v>
      </c>
      <c r="BA265" s="23">
        <v>0</v>
      </c>
      <c r="BB265" s="23">
        <v>0</v>
      </c>
      <c r="BC265" s="23">
        <v>0</v>
      </c>
      <c r="BD265" s="23">
        <v>0</v>
      </c>
      <c r="BE265" s="23">
        <v>0</v>
      </c>
      <c r="BF265" s="23">
        <v>0</v>
      </c>
      <c r="BG265" s="23">
        <v>1</v>
      </c>
      <c r="BH265" s="23">
        <v>1</v>
      </c>
      <c r="BI265" s="23">
        <v>1</v>
      </c>
      <c r="BJ265" s="23">
        <v>1</v>
      </c>
      <c r="BK265" s="23">
        <v>1</v>
      </c>
      <c r="BL265" s="23">
        <v>1</v>
      </c>
      <c r="BM265" s="23">
        <v>1</v>
      </c>
      <c r="BN265" s="23">
        <v>1</v>
      </c>
      <c r="BO265" s="23">
        <v>1</v>
      </c>
      <c r="BP265" s="23">
        <f t="shared" si="138"/>
        <v>0</v>
      </c>
      <c r="BQ265" s="23">
        <f t="shared" si="139"/>
        <v>0</v>
      </c>
      <c r="BR265" s="23">
        <f t="shared" si="140"/>
        <v>0</v>
      </c>
      <c r="BS265" s="23">
        <f t="shared" si="141"/>
        <v>0</v>
      </c>
      <c r="BT265" s="23">
        <f t="shared" si="142"/>
        <v>0</v>
      </c>
      <c r="BU265" s="23">
        <f t="shared" si="143"/>
        <v>0</v>
      </c>
      <c r="BV265" s="23">
        <f t="shared" si="144"/>
        <v>0</v>
      </c>
      <c r="BW265" s="23">
        <f t="shared" si="145"/>
        <v>0</v>
      </c>
      <c r="BX265" s="23">
        <f t="shared" si="146"/>
        <v>0</v>
      </c>
      <c r="BY265" s="23">
        <f t="shared" si="147"/>
        <v>0</v>
      </c>
      <c r="BZ265" s="23">
        <f t="shared" si="148"/>
        <v>0</v>
      </c>
      <c r="CA265" s="23">
        <f t="shared" si="149"/>
        <v>0</v>
      </c>
      <c r="CB265" s="23">
        <f t="shared" si="150"/>
        <v>0</v>
      </c>
      <c r="CC265" s="23">
        <f t="shared" si="151"/>
        <v>0</v>
      </c>
      <c r="CD265" s="23">
        <f t="shared" si="152"/>
        <v>0</v>
      </c>
      <c r="CE265" s="23">
        <f t="shared" si="153"/>
        <v>0</v>
      </c>
      <c r="CF265" s="23">
        <f t="shared" si="154"/>
        <v>0</v>
      </c>
      <c r="CG265" s="23">
        <f t="shared" si="155"/>
        <v>0</v>
      </c>
      <c r="CH265" s="23">
        <f t="shared" si="156"/>
        <v>0</v>
      </c>
      <c r="CI265" s="23">
        <f t="shared" si="157"/>
        <v>0</v>
      </c>
      <c r="CJ265" s="23">
        <f t="shared" si="158"/>
        <v>0</v>
      </c>
      <c r="CK265" s="23">
        <f t="shared" si="159"/>
        <v>0</v>
      </c>
      <c r="CL265" s="23">
        <f t="shared" si="160"/>
        <v>0</v>
      </c>
      <c r="CM265" s="23">
        <f t="shared" si="161"/>
        <v>0</v>
      </c>
      <c r="CN265" s="23">
        <f t="shared" si="162"/>
        <v>1</v>
      </c>
      <c r="CO265" s="23">
        <f t="shared" si="163"/>
        <v>1</v>
      </c>
      <c r="CP265" s="23">
        <f t="shared" si="164"/>
        <v>1</v>
      </c>
      <c r="CQ265" s="23">
        <f t="shared" si="165"/>
        <v>1</v>
      </c>
      <c r="CR265" s="23">
        <f t="shared" si="166"/>
        <v>1</v>
      </c>
      <c r="CS265" s="23">
        <f t="shared" si="167"/>
        <v>1</v>
      </c>
      <c r="CT265" s="23">
        <f t="shared" si="168"/>
        <v>1</v>
      </c>
      <c r="CU265" s="23">
        <f t="shared" si="169"/>
        <v>1</v>
      </c>
      <c r="CV265" s="23">
        <f t="shared" si="170"/>
        <v>1</v>
      </c>
    </row>
    <row r="266" spans="1:100" ht="13.5">
      <c r="A266" s="15">
        <v>213</v>
      </c>
      <c r="B266" s="38" t="s">
        <v>1006</v>
      </c>
      <c r="C266" t="s">
        <v>580</v>
      </c>
      <c r="E266" t="s">
        <v>465</v>
      </c>
      <c r="F266" t="s">
        <v>581</v>
      </c>
      <c r="G266" t="s">
        <v>465</v>
      </c>
      <c r="H266" t="s">
        <v>582</v>
      </c>
      <c r="I266" s="6" t="s">
        <v>136</v>
      </c>
      <c r="J266" s="6">
        <v>0</v>
      </c>
      <c r="L266" s="15">
        <v>1</v>
      </c>
      <c r="N266" s="7">
        <v>46128</v>
      </c>
      <c r="O266" s="7">
        <v>46125</v>
      </c>
      <c r="P266" s="7">
        <v>46126</v>
      </c>
      <c r="S266" s="6" t="s">
        <v>465</v>
      </c>
      <c r="U266" s="6" t="s">
        <v>464</v>
      </c>
      <c r="V266" s="6" t="str">
        <f t="shared" si="137"/>
        <v>26/04</v>
      </c>
      <c r="W266">
        <v>1570</v>
      </c>
      <c r="AA266">
        <v>924</v>
      </c>
      <c r="AC266">
        <v>977</v>
      </c>
      <c r="AI266" s="23">
        <v>0</v>
      </c>
      <c r="AJ266" s="23">
        <v>0</v>
      </c>
      <c r="AK266" s="23">
        <v>0</v>
      </c>
      <c r="AL266" s="23">
        <v>0</v>
      </c>
      <c r="AM266" s="23">
        <v>0</v>
      </c>
      <c r="AN266" s="23">
        <v>0</v>
      </c>
      <c r="AO266" s="23">
        <v>0</v>
      </c>
      <c r="AP266" s="23">
        <v>0</v>
      </c>
      <c r="AQ266" s="23">
        <v>0</v>
      </c>
      <c r="AR266" s="23">
        <v>0</v>
      </c>
      <c r="AS266" s="23">
        <v>0</v>
      </c>
      <c r="AT266" s="23">
        <v>0</v>
      </c>
      <c r="AU266" s="23">
        <v>0</v>
      </c>
      <c r="AV266" s="23">
        <v>0</v>
      </c>
      <c r="AW266" s="23">
        <v>0</v>
      </c>
      <c r="AX266" s="23">
        <v>0</v>
      </c>
      <c r="AY266" s="23">
        <v>0</v>
      </c>
      <c r="AZ266" s="23">
        <v>0</v>
      </c>
      <c r="BA266" s="23">
        <v>0</v>
      </c>
      <c r="BB266" s="23">
        <v>0</v>
      </c>
      <c r="BC266" s="23">
        <v>0</v>
      </c>
      <c r="BD266" s="23">
        <v>0</v>
      </c>
      <c r="BE266" s="23">
        <v>0</v>
      </c>
      <c r="BF266" s="23">
        <v>0</v>
      </c>
      <c r="BG266" s="23">
        <v>1</v>
      </c>
      <c r="BH266" s="23">
        <v>1</v>
      </c>
      <c r="BI266" s="23">
        <v>1</v>
      </c>
      <c r="BJ266" s="23">
        <v>1</v>
      </c>
      <c r="BK266" s="23">
        <v>1</v>
      </c>
      <c r="BL266" s="23">
        <v>1</v>
      </c>
      <c r="BM266" s="23">
        <v>1</v>
      </c>
      <c r="BN266" s="23">
        <v>1</v>
      </c>
      <c r="BO266" s="23">
        <v>1</v>
      </c>
      <c r="BP266" s="23">
        <f t="shared" si="138"/>
        <v>0</v>
      </c>
      <c r="BQ266" s="23">
        <f t="shared" si="139"/>
        <v>0</v>
      </c>
      <c r="BR266" s="23">
        <f t="shared" si="140"/>
        <v>0</v>
      </c>
      <c r="BS266" s="23">
        <f t="shared" si="141"/>
        <v>0</v>
      </c>
      <c r="BT266" s="23">
        <f t="shared" si="142"/>
        <v>0</v>
      </c>
      <c r="BU266" s="23">
        <f t="shared" si="143"/>
        <v>0</v>
      </c>
      <c r="BV266" s="23">
        <f t="shared" si="144"/>
        <v>0</v>
      </c>
      <c r="BW266" s="23">
        <f t="shared" si="145"/>
        <v>0</v>
      </c>
      <c r="BX266" s="23">
        <f t="shared" si="146"/>
        <v>0</v>
      </c>
      <c r="BY266" s="23">
        <f t="shared" si="147"/>
        <v>0</v>
      </c>
      <c r="BZ266" s="23">
        <f t="shared" si="148"/>
        <v>0</v>
      </c>
      <c r="CA266" s="23">
        <f t="shared" si="149"/>
        <v>0</v>
      </c>
      <c r="CB266" s="23">
        <f t="shared" si="150"/>
        <v>0</v>
      </c>
      <c r="CC266" s="23">
        <f t="shared" si="151"/>
        <v>0</v>
      </c>
      <c r="CD266" s="23">
        <f t="shared" si="152"/>
        <v>0</v>
      </c>
      <c r="CE266" s="23">
        <f t="shared" si="153"/>
        <v>0</v>
      </c>
      <c r="CF266" s="23">
        <f t="shared" si="154"/>
        <v>0</v>
      </c>
      <c r="CG266" s="23">
        <f t="shared" si="155"/>
        <v>0</v>
      </c>
      <c r="CH266" s="23">
        <f t="shared" si="156"/>
        <v>0</v>
      </c>
      <c r="CI266" s="23">
        <f t="shared" si="157"/>
        <v>0</v>
      </c>
      <c r="CJ266" s="23">
        <f t="shared" si="158"/>
        <v>0</v>
      </c>
      <c r="CK266" s="23">
        <f t="shared" si="159"/>
        <v>0</v>
      </c>
      <c r="CL266" s="23">
        <f t="shared" si="160"/>
        <v>0</v>
      </c>
      <c r="CM266" s="23">
        <f t="shared" si="161"/>
        <v>0</v>
      </c>
      <c r="CN266" s="23">
        <f t="shared" si="162"/>
        <v>1</v>
      </c>
      <c r="CO266" s="23">
        <f t="shared" si="163"/>
        <v>1</v>
      </c>
      <c r="CP266" s="23">
        <f t="shared" si="164"/>
        <v>1</v>
      </c>
      <c r="CQ266" s="23">
        <f t="shared" si="165"/>
        <v>1</v>
      </c>
      <c r="CR266" s="23">
        <f t="shared" si="166"/>
        <v>1</v>
      </c>
      <c r="CS266" s="23">
        <f t="shared" si="167"/>
        <v>1</v>
      </c>
      <c r="CT266" s="23">
        <f t="shared" si="168"/>
        <v>1</v>
      </c>
      <c r="CU266" s="23">
        <f t="shared" si="169"/>
        <v>1</v>
      </c>
      <c r="CV266" s="23">
        <f t="shared" si="170"/>
        <v>1</v>
      </c>
    </row>
    <row r="267" spans="1:100" ht="13.5">
      <c r="A267" s="15">
        <v>213</v>
      </c>
      <c r="B267" s="38" t="s">
        <v>1007</v>
      </c>
      <c r="C267" t="s">
        <v>580</v>
      </c>
      <c r="E267" t="s">
        <v>465</v>
      </c>
      <c r="F267" t="s">
        <v>581</v>
      </c>
      <c r="G267" t="s">
        <v>465</v>
      </c>
      <c r="H267" t="s">
        <v>582</v>
      </c>
      <c r="I267" s="6" t="s">
        <v>136</v>
      </c>
      <c r="J267" s="6">
        <v>0</v>
      </c>
      <c r="L267" s="15">
        <v>1</v>
      </c>
      <c r="N267" s="7">
        <v>46129</v>
      </c>
      <c r="O267" s="7">
        <v>46125</v>
      </c>
      <c r="P267" s="7">
        <v>46126</v>
      </c>
      <c r="S267" s="6" t="s">
        <v>465</v>
      </c>
      <c r="U267" s="6" t="s">
        <v>464</v>
      </c>
      <c r="V267" s="6" t="str">
        <f t="shared" si="137"/>
        <v>26/04</v>
      </c>
      <c r="W267">
        <v>1571</v>
      </c>
      <c r="AA267">
        <v>925</v>
      </c>
      <c r="AC267">
        <v>978</v>
      </c>
      <c r="AI267" s="23">
        <v>0</v>
      </c>
      <c r="AJ267" s="23">
        <v>0</v>
      </c>
      <c r="AK267" s="23">
        <v>0</v>
      </c>
      <c r="AL267" s="23">
        <v>0</v>
      </c>
      <c r="AM267" s="23">
        <v>0</v>
      </c>
      <c r="AN267" s="23">
        <v>0</v>
      </c>
      <c r="AO267" s="23">
        <v>0</v>
      </c>
      <c r="AP267" s="23">
        <v>0</v>
      </c>
      <c r="AQ267" s="23">
        <v>0</v>
      </c>
      <c r="AR267" s="23">
        <v>0</v>
      </c>
      <c r="AS267" s="23">
        <v>0</v>
      </c>
      <c r="AT267" s="23">
        <v>0</v>
      </c>
      <c r="AU267" s="23">
        <v>0</v>
      </c>
      <c r="AV267" s="23">
        <v>0</v>
      </c>
      <c r="AW267" s="23">
        <v>0</v>
      </c>
      <c r="AX267" s="23">
        <v>0</v>
      </c>
      <c r="AY267" s="23">
        <v>0</v>
      </c>
      <c r="AZ267" s="23">
        <v>0</v>
      </c>
      <c r="BA267" s="23">
        <v>0</v>
      </c>
      <c r="BB267" s="23">
        <v>0</v>
      </c>
      <c r="BC267" s="23">
        <v>0</v>
      </c>
      <c r="BD267" s="23">
        <v>0</v>
      </c>
      <c r="BE267" s="23">
        <v>0</v>
      </c>
      <c r="BF267" s="23">
        <v>0</v>
      </c>
      <c r="BG267" s="23">
        <v>1</v>
      </c>
      <c r="BH267" s="23">
        <v>1</v>
      </c>
      <c r="BI267" s="23">
        <v>1</v>
      </c>
      <c r="BJ267" s="23">
        <v>1</v>
      </c>
      <c r="BK267" s="23">
        <v>1</v>
      </c>
      <c r="BL267" s="23">
        <v>1</v>
      </c>
      <c r="BM267" s="23">
        <v>1</v>
      </c>
      <c r="BN267" s="23">
        <v>1</v>
      </c>
      <c r="BO267" s="23">
        <v>1</v>
      </c>
      <c r="BP267" s="23">
        <f t="shared" si="138"/>
        <v>0</v>
      </c>
      <c r="BQ267" s="23">
        <f t="shared" si="139"/>
        <v>0</v>
      </c>
      <c r="BR267" s="23">
        <f t="shared" si="140"/>
        <v>0</v>
      </c>
      <c r="BS267" s="23">
        <f t="shared" si="141"/>
        <v>0</v>
      </c>
      <c r="BT267" s="23">
        <f t="shared" si="142"/>
        <v>0</v>
      </c>
      <c r="BU267" s="23">
        <f t="shared" si="143"/>
        <v>0</v>
      </c>
      <c r="BV267" s="23">
        <f t="shared" si="144"/>
        <v>0</v>
      </c>
      <c r="BW267" s="23">
        <f t="shared" si="145"/>
        <v>0</v>
      </c>
      <c r="BX267" s="23">
        <f t="shared" si="146"/>
        <v>0</v>
      </c>
      <c r="BY267" s="23">
        <f t="shared" si="147"/>
        <v>0</v>
      </c>
      <c r="BZ267" s="23">
        <f t="shared" si="148"/>
        <v>0</v>
      </c>
      <c r="CA267" s="23">
        <f t="shared" si="149"/>
        <v>0</v>
      </c>
      <c r="CB267" s="23">
        <f t="shared" si="150"/>
        <v>0</v>
      </c>
      <c r="CC267" s="23">
        <f t="shared" si="151"/>
        <v>0</v>
      </c>
      <c r="CD267" s="23">
        <f t="shared" si="152"/>
        <v>0</v>
      </c>
      <c r="CE267" s="23">
        <f t="shared" si="153"/>
        <v>0</v>
      </c>
      <c r="CF267" s="23">
        <f t="shared" si="154"/>
        <v>0</v>
      </c>
      <c r="CG267" s="23">
        <f t="shared" si="155"/>
        <v>0</v>
      </c>
      <c r="CH267" s="23">
        <f t="shared" si="156"/>
        <v>0</v>
      </c>
      <c r="CI267" s="23">
        <f t="shared" si="157"/>
        <v>0</v>
      </c>
      <c r="CJ267" s="23">
        <f t="shared" si="158"/>
        <v>0</v>
      </c>
      <c r="CK267" s="23">
        <f t="shared" si="159"/>
        <v>0</v>
      </c>
      <c r="CL267" s="23">
        <f t="shared" si="160"/>
        <v>0</v>
      </c>
      <c r="CM267" s="23">
        <f t="shared" si="161"/>
        <v>0</v>
      </c>
      <c r="CN267" s="23">
        <f t="shared" si="162"/>
        <v>1</v>
      </c>
      <c r="CO267" s="23">
        <f t="shared" si="163"/>
        <v>1</v>
      </c>
      <c r="CP267" s="23">
        <f t="shared" si="164"/>
        <v>1</v>
      </c>
      <c r="CQ267" s="23">
        <f t="shared" si="165"/>
        <v>1</v>
      </c>
      <c r="CR267" s="23">
        <f t="shared" si="166"/>
        <v>1</v>
      </c>
      <c r="CS267" s="23">
        <f t="shared" si="167"/>
        <v>1</v>
      </c>
      <c r="CT267" s="23">
        <f t="shared" si="168"/>
        <v>1</v>
      </c>
      <c r="CU267" s="23">
        <f t="shared" si="169"/>
        <v>1</v>
      </c>
      <c r="CV267" s="23">
        <f t="shared" si="170"/>
        <v>1</v>
      </c>
    </row>
    <row r="268" spans="1:100" ht="13.5">
      <c r="A268" s="15">
        <v>213</v>
      </c>
      <c r="B268" s="38" t="s">
        <v>1008</v>
      </c>
      <c r="C268" t="s">
        <v>580</v>
      </c>
      <c r="E268" t="s">
        <v>465</v>
      </c>
      <c r="F268" t="s">
        <v>581</v>
      </c>
      <c r="G268" t="s">
        <v>465</v>
      </c>
      <c r="H268" t="s">
        <v>582</v>
      </c>
      <c r="I268" s="6" t="s">
        <v>136</v>
      </c>
      <c r="J268" s="6">
        <v>0</v>
      </c>
      <c r="L268" s="15">
        <v>1</v>
      </c>
      <c r="N268" s="7">
        <v>46129</v>
      </c>
      <c r="O268" s="7">
        <v>46125</v>
      </c>
      <c r="P268" s="7">
        <v>46126</v>
      </c>
      <c r="S268" s="6" t="s">
        <v>465</v>
      </c>
      <c r="U268" s="6" t="s">
        <v>464</v>
      </c>
      <c r="V268" s="6" t="str">
        <f t="shared" si="137"/>
        <v>26/04</v>
      </c>
      <c r="W268">
        <v>1572</v>
      </c>
      <c r="AA268">
        <v>926</v>
      </c>
      <c r="AC268">
        <v>979</v>
      </c>
      <c r="AI268" s="23">
        <v>0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23">
        <v>0</v>
      </c>
      <c r="AR268" s="23">
        <v>0</v>
      </c>
      <c r="AS268" s="23">
        <v>0</v>
      </c>
      <c r="AT268" s="23">
        <v>0</v>
      </c>
      <c r="AU268" s="23">
        <v>0</v>
      </c>
      <c r="AV268" s="23">
        <v>0</v>
      </c>
      <c r="AW268" s="23">
        <v>0</v>
      </c>
      <c r="AX268" s="23">
        <v>0</v>
      </c>
      <c r="AY268" s="23">
        <v>0</v>
      </c>
      <c r="AZ268" s="23">
        <v>0</v>
      </c>
      <c r="BA268" s="23">
        <v>0</v>
      </c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1</v>
      </c>
      <c r="BH268" s="23">
        <v>1</v>
      </c>
      <c r="BI268" s="23">
        <v>1</v>
      </c>
      <c r="BJ268" s="23">
        <v>1</v>
      </c>
      <c r="BK268" s="23">
        <v>1</v>
      </c>
      <c r="BL268" s="23">
        <v>1</v>
      </c>
      <c r="BM268" s="23">
        <v>1</v>
      </c>
      <c r="BN268" s="23">
        <v>1</v>
      </c>
      <c r="BO268" s="23">
        <v>1</v>
      </c>
      <c r="BP268" s="23">
        <f t="shared" si="138"/>
        <v>0</v>
      </c>
      <c r="BQ268" s="23">
        <f t="shared" si="139"/>
        <v>0</v>
      </c>
      <c r="BR268" s="23">
        <f t="shared" si="140"/>
        <v>0</v>
      </c>
      <c r="BS268" s="23">
        <f t="shared" si="141"/>
        <v>0</v>
      </c>
      <c r="BT268" s="23">
        <f t="shared" si="142"/>
        <v>0</v>
      </c>
      <c r="BU268" s="23">
        <f t="shared" si="143"/>
        <v>0</v>
      </c>
      <c r="BV268" s="23">
        <f t="shared" si="144"/>
        <v>0</v>
      </c>
      <c r="BW268" s="23">
        <f t="shared" si="145"/>
        <v>0</v>
      </c>
      <c r="BX268" s="23">
        <f t="shared" si="146"/>
        <v>0</v>
      </c>
      <c r="BY268" s="23">
        <f t="shared" si="147"/>
        <v>0</v>
      </c>
      <c r="BZ268" s="23">
        <f t="shared" si="148"/>
        <v>0</v>
      </c>
      <c r="CA268" s="23">
        <f t="shared" si="149"/>
        <v>0</v>
      </c>
      <c r="CB268" s="23">
        <f t="shared" si="150"/>
        <v>0</v>
      </c>
      <c r="CC268" s="23">
        <f t="shared" si="151"/>
        <v>0</v>
      </c>
      <c r="CD268" s="23">
        <f t="shared" si="152"/>
        <v>0</v>
      </c>
      <c r="CE268" s="23">
        <f t="shared" si="153"/>
        <v>0</v>
      </c>
      <c r="CF268" s="23">
        <f t="shared" si="154"/>
        <v>0</v>
      </c>
      <c r="CG268" s="23">
        <f t="shared" si="155"/>
        <v>0</v>
      </c>
      <c r="CH268" s="23">
        <f t="shared" si="156"/>
        <v>0</v>
      </c>
      <c r="CI268" s="23">
        <f t="shared" si="157"/>
        <v>0</v>
      </c>
      <c r="CJ268" s="23">
        <f t="shared" si="158"/>
        <v>0</v>
      </c>
      <c r="CK268" s="23">
        <f t="shared" si="159"/>
        <v>0</v>
      </c>
      <c r="CL268" s="23">
        <f t="shared" si="160"/>
        <v>0</v>
      </c>
      <c r="CM268" s="23">
        <f t="shared" si="161"/>
        <v>0</v>
      </c>
      <c r="CN268" s="23">
        <f t="shared" si="162"/>
        <v>1</v>
      </c>
      <c r="CO268" s="23">
        <f t="shared" si="163"/>
        <v>1</v>
      </c>
      <c r="CP268" s="23">
        <f t="shared" si="164"/>
        <v>1</v>
      </c>
      <c r="CQ268" s="23">
        <f t="shared" si="165"/>
        <v>1</v>
      </c>
      <c r="CR268" s="23">
        <f t="shared" si="166"/>
        <v>1</v>
      </c>
      <c r="CS268" s="23">
        <f t="shared" si="167"/>
        <v>1</v>
      </c>
      <c r="CT268" s="23">
        <f t="shared" si="168"/>
        <v>1</v>
      </c>
      <c r="CU268" s="23">
        <f t="shared" si="169"/>
        <v>1</v>
      </c>
      <c r="CV268" s="23">
        <f t="shared" si="170"/>
        <v>1</v>
      </c>
    </row>
    <row r="269" spans="1:100" ht="13.5">
      <c r="A269" s="15">
        <v>213</v>
      </c>
      <c r="B269" s="38" t="s">
        <v>1009</v>
      </c>
      <c r="C269" t="s">
        <v>580</v>
      </c>
      <c r="E269" t="s">
        <v>465</v>
      </c>
      <c r="F269" t="s">
        <v>581</v>
      </c>
      <c r="G269" t="s">
        <v>465</v>
      </c>
      <c r="H269" t="s">
        <v>582</v>
      </c>
      <c r="I269" s="6" t="s">
        <v>136</v>
      </c>
      <c r="J269" s="6">
        <v>0</v>
      </c>
      <c r="L269" s="15">
        <v>1</v>
      </c>
      <c r="N269" s="7">
        <v>46129</v>
      </c>
      <c r="O269" s="7">
        <v>46125</v>
      </c>
      <c r="P269" s="7">
        <v>46126</v>
      </c>
      <c r="S269" s="6" t="s">
        <v>465</v>
      </c>
      <c r="U269" s="6" t="s">
        <v>464</v>
      </c>
      <c r="V269" s="6" t="str">
        <f t="shared" si="137"/>
        <v>26/04</v>
      </c>
      <c r="W269">
        <v>1573</v>
      </c>
      <c r="AA269">
        <v>927</v>
      </c>
      <c r="AC269">
        <v>980</v>
      </c>
      <c r="AI269" s="23">
        <v>0</v>
      </c>
      <c r="AJ269" s="23">
        <v>0</v>
      </c>
      <c r="AK269" s="23">
        <v>0</v>
      </c>
      <c r="AL269" s="23">
        <v>0</v>
      </c>
      <c r="AM269" s="23">
        <v>0</v>
      </c>
      <c r="AN269" s="23">
        <v>0</v>
      </c>
      <c r="AO269" s="23">
        <v>0</v>
      </c>
      <c r="AP269" s="23">
        <v>0</v>
      </c>
      <c r="AQ269" s="23">
        <v>0</v>
      </c>
      <c r="AR269" s="23">
        <v>0</v>
      </c>
      <c r="AS269" s="23">
        <v>0</v>
      </c>
      <c r="AT269" s="23">
        <v>0</v>
      </c>
      <c r="AU269" s="23">
        <v>0</v>
      </c>
      <c r="AV269" s="23">
        <v>0</v>
      </c>
      <c r="AW269" s="23">
        <v>0</v>
      </c>
      <c r="AX269" s="23">
        <v>0</v>
      </c>
      <c r="AY269" s="23">
        <v>0</v>
      </c>
      <c r="AZ269" s="23">
        <v>0</v>
      </c>
      <c r="BA269" s="23">
        <v>0</v>
      </c>
      <c r="BB269" s="23">
        <v>0</v>
      </c>
      <c r="BC269" s="23">
        <v>0</v>
      </c>
      <c r="BD269" s="23">
        <v>0</v>
      </c>
      <c r="BE269" s="23">
        <v>0</v>
      </c>
      <c r="BF269" s="23">
        <v>0</v>
      </c>
      <c r="BG269" s="23">
        <v>1</v>
      </c>
      <c r="BH269" s="23">
        <v>1</v>
      </c>
      <c r="BI269" s="23">
        <v>1</v>
      </c>
      <c r="BJ269" s="23">
        <v>1</v>
      </c>
      <c r="BK269" s="23">
        <v>1</v>
      </c>
      <c r="BL269" s="23">
        <v>1</v>
      </c>
      <c r="BM269" s="23">
        <v>1</v>
      </c>
      <c r="BN269" s="23">
        <v>1</v>
      </c>
      <c r="BO269" s="23">
        <v>1</v>
      </c>
      <c r="BP269" s="23">
        <f t="shared" si="138"/>
        <v>0</v>
      </c>
      <c r="BQ269" s="23">
        <f t="shared" si="139"/>
        <v>0</v>
      </c>
      <c r="BR269" s="23">
        <f t="shared" si="140"/>
        <v>0</v>
      </c>
      <c r="BS269" s="23">
        <f t="shared" si="141"/>
        <v>0</v>
      </c>
      <c r="BT269" s="23">
        <f t="shared" si="142"/>
        <v>0</v>
      </c>
      <c r="BU269" s="23">
        <f t="shared" si="143"/>
        <v>0</v>
      </c>
      <c r="BV269" s="23">
        <f t="shared" si="144"/>
        <v>0</v>
      </c>
      <c r="BW269" s="23">
        <f t="shared" si="145"/>
        <v>0</v>
      </c>
      <c r="BX269" s="23">
        <f t="shared" si="146"/>
        <v>0</v>
      </c>
      <c r="BY269" s="23">
        <f t="shared" si="147"/>
        <v>0</v>
      </c>
      <c r="BZ269" s="23">
        <f t="shared" si="148"/>
        <v>0</v>
      </c>
      <c r="CA269" s="23">
        <f t="shared" si="149"/>
        <v>0</v>
      </c>
      <c r="CB269" s="23">
        <f t="shared" si="150"/>
        <v>0</v>
      </c>
      <c r="CC269" s="23">
        <f t="shared" si="151"/>
        <v>0</v>
      </c>
      <c r="CD269" s="23">
        <f t="shared" si="152"/>
        <v>0</v>
      </c>
      <c r="CE269" s="23">
        <f t="shared" si="153"/>
        <v>0</v>
      </c>
      <c r="CF269" s="23">
        <f t="shared" si="154"/>
        <v>0</v>
      </c>
      <c r="CG269" s="23">
        <f t="shared" si="155"/>
        <v>0</v>
      </c>
      <c r="CH269" s="23">
        <f t="shared" si="156"/>
        <v>0</v>
      </c>
      <c r="CI269" s="23">
        <f t="shared" si="157"/>
        <v>0</v>
      </c>
      <c r="CJ269" s="23">
        <f t="shared" si="158"/>
        <v>0</v>
      </c>
      <c r="CK269" s="23">
        <f t="shared" si="159"/>
        <v>0</v>
      </c>
      <c r="CL269" s="23">
        <f t="shared" si="160"/>
        <v>0</v>
      </c>
      <c r="CM269" s="23">
        <f t="shared" si="161"/>
        <v>0</v>
      </c>
      <c r="CN269" s="23">
        <f t="shared" si="162"/>
        <v>1</v>
      </c>
      <c r="CO269" s="23">
        <f t="shared" si="163"/>
        <v>1</v>
      </c>
      <c r="CP269" s="23">
        <f t="shared" si="164"/>
        <v>1</v>
      </c>
      <c r="CQ269" s="23">
        <f t="shared" si="165"/>
        <v>1</v>
      </c>
      <c r="CR269" s="23">
        <f t="shared" si="166"/>
        <v>1</v>
      </c>
      <c r="CS269" s="23">
        <f t="shared" si="167"/>
        <v>1</v>
      </c>
      <c r="CT269" s="23">
        <f t="shared" si="168"/>
        <v>1</v>
      </c>
      <c r="CU269" s="23">
        <f t="shared" si="169"/>
        <v>1</v>
      </c>
      <c r="CV269" s="23">
        <f t="shared" si="170"/>
        <v>1</v>
      </c>
    </row>
    <row r="270" spans="1:100" ht="13.5">
      <c r="A270" s="15">
        <v>213</v>
      </c>
      <c r="B270" s="38" t="s">
        <v>782</v>
      </c>
      <c r="C270" t="s">
        <v>580</v>
      </c>
      <c r="E270" t="s">
        <v>465</v>
      </c>
      <c r="F270" t="s">
        <v>581</v>
      </c>
      <c r="G270" t="s">
        <v>465</v>
      </c>
      <c r="H270" t="s">
        <v>582</v>
      </c>
      <c r="I270" s="6" t="s">
        <v>136</v>
      </c>
      <c r="J270" s="6">
        <v>0</v>
      </c>
      <c r="L270" s="15">
        <v>1</v>
      </c>
      <c r="N270" s="7">
        <v>46132</v>
      </c>
      <c r="O270" s="7">
        <v>46125</v>
      </c>
      <c r="P270" s="7">
        <v>46126</v>
      </c>
      <c r="S270" s="6" t="s">
        <v>465</v>
      </c>
      <c r="U270" s="6" t="s">
        <v>464</v>
      </c>
      <c r="V270" s="6" t="str">
        <f t="shared" si="137"/>
        <v>26/04</v>
      </c>
      <c r="W270">
        <v>1574</v>
      </c>
      <c r="AA270">
        <v>928</v>
      </c>
      <c r="AC270">
        <v>981</v>
      </c>
      <c r="AI270" s="23">
        <v>0</v>
      </c>
      <c r="AJ270" s="23">
        <v>0</v>
      </c>
      <c r="AK270" s="23">
        <v>0</v>
      </c>
      <c r="AL270" s="23">
        <v>0</v>
      </c>
      <c r="AM270" s="23">
        <v>0</v>
      </c>
      <c r="AN270" s="23">
        <v>0</v>
      </c>
      <c r="AO270" s="23">
        <v>0</v>
      </c>
      <c r="AP270" s="23">
        <v>0</v>
      </c>
      <c r="AQ270" s="23">
        <v>0</v>
      </c>
      <c r="AR270" s="23">
        <v>0</v>
      </c>
      <c r="AS270" s="23">
        <v>0</v>
      </c>
      <c r="AT270" s="23">
        <v>0</v>
      </c>
      <c r="AU270" s="23">
        <v>0</v>
      </c>
      <c r="AV270" s="23">
        <v>0</v>
      </c>
      <c r="AW270" s="23">
        <v>0</v>
      </c>
      <c r="AX270" s="23">
        <v>0</v>
      </c>
      <c r="AY270" s="23">
        <v>0</v>
      </c>
      <c r="AZ270" s="23">
        <v>0</v>
      </c>
      <c r="BA270" s="23">
        <v>0</v>
      </c>
      <c r="BB270" s="23">
        <v>0</v>
      </c>
      <c r="BC270" s="23">
        <v>0</v>
      </c>
      <c r="BD270" s="23">
        <v>0</v>
      </c>
      <c r="BE270" s="23">
        <v>0</v>
      </c>
      <c r="BF270" s="23">
        <v>0</v>
      </c>
      <c r="BG270" s="23">
        <v>1</v>
      </c>
      <c r="BH270" s="23">
        <v>1</v>
      </c>
      <c r="BI270" s="23">
        <v>1</v>
      </c>
      <c r="BJ270" s="23">
        <v>1</v>
      </c>
      <c r="BK270" s="23">
        <v>1</v>
      </c>
      <c r="BL270" s="23">
        <v>1</v>
      </c>
      <c r="BM270" s="23">
        <v>1</v>
      </c>
      <c r="BN270" s="23">
        <v>1</v>
      </c>
      <c r="BO270" s="23">
        <v>1</v>
      </c>
      <c r="BP270" s="23">
        <f t="shared" si="138"/>
        <v>0</v>
      </c>
      <c r="BQ270" s="23">
        <f t="shared" si="139"/>
        <v>0</v>
      </c>
      <c r="BR270" s="23">
        <f t="shared" si="140"/>
        <v>0</v>
      </c>
      <c r="BS270" s="23">
        <f t="shared" si="141"/>
        <v>0</v>
      </c>
      <c r="BT270" s="23">
        <f t="shared" si="142"/>
        <v>0</v>
      </c>
      <c r="BU270" s="23">
        <f t="shared" si="143"/>
        <v>0</v>
      </c>
      <c r="BV270" s="23">
        <f t="shared" si="144"/>
        <v>0</v>
      </c>
      <c r="BW270" s="23">
        <f t="shared" si="145"/>
        <v>0</v>
      </c>
      <c r="BX270" s="23">
        <f t="shared" si="146"/>
        <v>0</v>
      </c>
      <c r="BY270" s="23">
        <f t="shared" si="147"/>
        <v>0</v>
      </c>
      <c r="BZ270" s="23">
        <f t="shared" si="148"/>
        <v>0</v>
      </c>
      <c r="CA270" s="23">
        <f t="shared" si="149"/>
        <v>0</v>
      </c>
      <c r="CB270" s="23">
        <f t="shared" si="150"/>
        <v>0</v>
      </c>
      <c r="CC270" s="23">
        <f t="shared" si="151"/>
        <v>0</v>
      </c>
      <c r="CD270" s="23">
        <f t="shared" si="152"/>
        <v>0</v>
      </c>
      <c r="CE270" s="23">
        <f t="shared" si="153"/>
        <v>0</v>
      </c>
      <c r="CF270" s="23">
        <f t="shared" si="154"/>
        <v>0</v>
      </c>
      <c r="CG270" s="23">
        <f t="shared" si="155"/>
        <v>0</v>
      </c>
      <c r="CH270" s="23">
        <f t="shared" si="156"/>
        <v>0</v>
      </c>
      <c r="CI270" s="23">
        <f t="shared" si="157"/>
        <v>0</v>
      </c>
      <c r="CJ270" s="23">
        <f t="shared" si="158"/>
        <v>0</v>
      </c>
      <c r="CK270" s="23">
        <f t="shared" si="159"/>
        <v>0</v>
      </c>
      <c r="CL270" s="23">
        <f t="shared" si="160"/>
        <v>0</v>
      </c>
      <c r="CM270" s="23">
        <f t="shared" si="161"/>
        <v>0</v>
      </c>
      <c r="CN270" s="23">
        <f t="shared" si="162"/>
        <v>1</v>
      </c>
      <c r="CO270" s="23">
        <f t="shared" si="163"/>
        <v>1</v>
      </c>
      <c r="CP270" s="23">
        <f t="shared" si="164"/>
        <v>1</v>
      </c>
      <c r="CQ270" s="23">
        <f t="shared" si="165"/>
        <v>1</v>
      </c>
      <c r="CR270" s="23">
        <f t="shared" si="166"/>
        <v>1</v>
      </c>
      <c r="CS270" s="23">
        <f t="shared" si="167"/>
        <v>1</v>
      </c>
      <c r="CT270" s="23">
        <f t="shared" si="168"/>
        <v>1</v>
      </c>
      <c r="CU270" s="23">
        <f t="shared" si="169"/>
        <v>1</v>
      </c>
      <c r="CV270" s="23">
        <f t="shared" si="170"/>
        <v>1</v>
      </c>
    </row>
    <row r="271" spans="1:100" ht="13.5">
      <c r="A271" s="15">
        <v>213</v>
      </c>
      <c r="B271" s="38" t="s">
        <v>783</v>
      </c>
      <c r="C271" t="s">
        <v>580</v>
      </c>
      <c r="E271" t="s">
        <v>465</v>
      </c>
      <c r="F271" t="s">
        <v>581</v>
      </c>
      <c r="G271" t="s">
        <v>465</v>
      </c>
      <c r="H271" t="s">
        <v>582</v>
      </c>
      <c r="I271" s="6" t="s">
        <v>136</v>
      </c>
      <c r="J271" s="6">
        <v>0</v>
      </c>
      <c r="L271" s="15">
        <v>1</v>
      </c>
      <c r="N271" s="7">
        <v>46132</v>
      </c>
      <c r="O271" s="7">
        <v>46125</v>
      </c>
      <c r="P271" s="7">
        <v>46126</v>
      </c>
      <c r="S271" s="6" t="s">
        <v>465</v>
      </c>
      <c r="U271" s="6" t="s">
        <v>464</v>
      </c>
      <c r="V271" s="6" t="str">
        <f t="shared" si="137"/>
        <v>26/04</v>
      </c>
      <c r="W271">
        <v>1575</v>
      </c>
      <c r="AA271">
        <v>929</v>
      </c>
      <c r="AC271">
        <v>982</v>
      </c>
      <c r="AI271" s="23">
        <v>0</v>
      </c>
      <c r="AJ271" s="23">
        <v>0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  <c r="AP271" s="23">
        <v>0</v>
      </c>
      <c r="AQ271" s="23">
        <v>0</v>
      </c>
      <c r="AR271" s="23">
        <v>0</v>
      </c>
      <c r="AS271" s="23">
        <v>0</v>
      </c>
      <c r="AT271" s="23">
        <v>0</v>
      </c>
      <c r="AU271" s="23">
        <v>0</v>
      </c>
      <c r="AV271" s="23">
        <v>0</v>
      </c>
      <c r="AW271" s="23">
        <v>0</v>
      </c>
      <c r="AX271" s="23">
        <v>0</v>
      </c>
      <c r="AY271" s="23">
        <v>0</v>
      </c>
      <c r="AZ271" s="23">
        <v>0</v>
      </c>
      <c r="BA271" s="23">
        <v>0</v>
      </c>
      <c r="BB271" s="23">
        <v>0</v>
      </c>
      <c r="BC271" s="23">
        <v>0</v>
      </c>
      <c r="BD271" s="23">
        <v>0</v>
      </c>
      <c r="BE271" s="23">
        <v>0</v>
      </c>
      <c r="BF271" s="23">
        <v>0</v>
      </c>
      <c r="BG271" s="23">
        <v>1</v>
      </c>
      <c r="BH271" s="23">
        <v>1</v>
      </c>
      <c r="BI271" s="23">
        <v>1</v>
      </c>
      <c r="BJ271" s="23">
        <v>1</v>
      </c>
      <c r="BK271" s="23">
        <v>1</v>
      </c>
      <c r="BL271" s="23">
        <v>1</v>
      </c>
      <c r="BM271" s="23">
        <v>1</v>
      </c>
      <c r="BN271" s="23">
        <v>1</v>
      </c>
      <c r="BO271" s="23">
        <v>1</v>
      </c>
      <c r="BP271" s="23">
        <f t="shared" si="138"/>
        <v>0</v>
      </c>
      <c r="BQ271" s="23">
        <f t="shared" si="139"/>
        <v>0</v>
      </c>
      <c r="BR271" s="23">
        <f t="shared" si="140"/>
        <v>0</v>
      </c>
      <c r="BS271" s="23">
        <f t="shared" si="141"/>
        <v>0</v>
      </c>
      <c r="BT271" s="23">
        <f t="shared" si="142"/>
        <v>0</v>
      </c>
      <c r="BU271" s="23">
        <f t="shared" si="143"/>
        <v>0</v>
      </c>
      <c r="BV271" s="23">
        <f t="shared" si="144"/>
        <v>0</v>
      </c>
      <c r="BW271" s="23">
        <f t="shared" si="145"/>
        <v>0</v>
      </c>
      <c r="BX271" s="23">
        <f t="shared" si="146"/>
        <v>0</v>
      </c>
      <c r="BY271" s="23">
        <f t="shared" si="147"/>
        <v>0</v>
      </c>
      <c r="BZ271" s="23">
        <f t="shared" si="148"/>
        <v>0</v>
      </c>
      <c r="CA271" s="23">
        <f t="shared" si="149"/>
        <v>0</v>
      </c>
      <c r="CB271" s="23">
        <f t="shared" si="150"/>
        <v>0</v>
      </c>
      <c r="CC271" s="23">
        <f t="shared" si="151"/>
        <v>0</v>
      </c>
      <c r="CD271" s="23">
        <f t="shared" si="152"/>
        <v>0</v>
      </c>
      <c r="CE271" s="23">
        <f t="shared" si="153"/>
        <v>0</v>
      </c>
      <c r="CF271" s="23">
        <f t="shared" si="154"/>
        <v>0</v>
      </c>
      <c r="CG271" s="23">
        <f t="shared" si="155"/>
        <v>0</v>
      </c>
      <c r="CH271" s="23">
        <f t="shared" si="156"/>
        <v>0</v>
      </c>
      <c r="CI271" s="23">
        <f t="shared" si="157"/>
        <v>0</v>
      </c>
      <c r="CJ271" s="23">
        <f t="shared" si="158"/>
        <v>0</v>
      </c>
      <c r="CK271" s="23">
        <f t="shared" si="159"/>
        <v>0</v>
      </c>
      <c r="CL271" s="23">
        <f t="shared" si="160"/>
        <v>0</v>
      </c>
      <c r="CM271" s="23">
        <f t="shared" si="161"/>
        <v>0</v>
      </c>
      <c r="CN271" s="23">
        <f t="shared" si="162"/>
        <v>1</v>
      </c>
      <c r="CO271" s="23">
        <f t="shared" si="163"/>
        <v>1</v>
      </c>
      <c r="CP271" s="23">
        <f t="shared" si="164"/>
        <v>1</v>
      </c>
      <c r="CQ271" s="23">
        <f t="shared" si="165"/>
        <v>1</v>
      </c>
      <c r="CR271" s="23">
        <f t="shared" si="166"/>
        <v>1</v>
      </c>
      <c r="CS271" s="23">
        <f t="shared" si="167"/>
        <v>1</v>
      </c>
      <c r="CT271" s="23">
        <f t="shared" si="168"/>
        <v>1</v>
      </c>
      <c r="CU271" s="23">
        <f t="shared" si="169"/>
        <v>1</v>
      </c>
      <c r="CV271" s="23">
        <f t="shared" si="170"/>
        <v>1</v>
      </c>
    </row>
    <row r="272" spans="1:100" ht="13.5">
      <c r="A272" s="15">
        <v>222</v>
      </c>
      <c r="B272" s="38" t="s">
        <v>1010</v>
      </c>
      <c r="C272" t="s">
        <v>580</v>
      </c>
      <c r="E272" t="s">
        <v>465</v>
      </c>
      <c r="F272" t="s">
        <v>581</v>
      </c>
      <c r="G272" t="s">
        <v>465</v>
      </c>
      <c r="H272" t="s">
        <v>582</v>
      </c>
      <c r="I272" s="6" t="s">
        <v>136</v>
      </c>
      <c r="J272" s="6">
        <v>0</v>
      </c>
      <c r="L272" s="15">
        <v>1</v>
      </c>
      <c r="N272" s="7">
        <v>46133</v>
      </c>
      <c r="O272" s="7">
        <v>46129</v>
      </c>
      <c r="P272" s="7">
        <v>46132</v>
      </c>
      <c r="S272" s="6" t="s">
        <v>465</v>
      </c>
      <c r="U272" s="6" t="s">
        <v>464</v>
      </c>
      <c r="V272" s="6" t="str">
        <f t="shared" si="137"/>
        <v>26/04</v>
      </c>
      <c r="W272">
        <v>1576</v>
      </c>
      <c r="AA272">
        <v>930</v>
      </c>
      <c r="AC272">
        <v>983</v>
      </c>
      <c r="AI272" s="23">
        <v>0</v>
      </c>
      <c r="AJ272" s="23">
        <v>0</v>
      </c>
      <c r="AK272" s="23">
        <v>0</v>
      </c>
      <c r="AL272" s="23">
        <v>0</v>
      </c>
      <c r="AM272" s="23">
        <v>0</v>
      </c>
      <c r="AN272" s="23">
        <v>0</v>
      </c>
      <c r="AO272" s="23">
        <v>0</v>
      </c>
      <c r="AP272" s="23">
        <v>0</v>
      </c>
      <c r="AQ272" s="23">
        <v>0</v>
      </c>
      <c r="AR272" s="23">
        <v>0</v>
      </c>
      <c r="AS272" s="23">
        <v>0</v>
      </c>
      <c r="AT272" s="23">
        <v>0</v>
      </c>
      <c r="AU272" s="23">
        <v>0</v>
      </c>
      <c r="AV272" s="23">
        <v>0</v>
      </c>
      <c r="AW272" s="23">
        <v>0</v>
      </c>
      <c r="AX272" s="23">
        <v>0</v>
      </c>
      <c r="AY272" s="23">
        <v>0</v>
      </c>
      <c r="AZ272" s="23">
        <v>0</v>
      </c>
      <c r="BA272" s="23">
        <v>0</v>
      </c>
      <c r="BB272" s="23">
        <v>0</v>
      </c>
      <c r="BC272" s="23">
        <v>0</v>
      </c>
      <c r="BD272" s="23">
        <v>0</v>
      </c>
      <c r="BE272" s="23">
        <v>0</v>
      </c>
      <c r="BF272" s="23">
        <v>0</v>
      </c>
      <c r="BG272" s="23">
        <v>1</v>
      </c>
      <c r="BH272" s="23">
        <v>1</v>
      </c>
      <c r="BI272" s="23">
        <v>1</v>
      </c>
      <c r="BJ272" s="23">
        <v>1</v>
      </c>
      <c r="BK272" s="23">
        <v>1</v>
      </c>
      <c r="BL272" s="23">
        <v>1</v>
      </c>
      <c r="BM272" s="23">
        <v>1</v>
      </c>
      <c r="BN272" s="23">
        <v>1</v>
      </c>
      <c r="BO272" s="23">
        <v>1</v>
      </c>
      <c r="BP272" s="23">
        <f t="shared" si="138"/>
        <v>0</v>
      </c>
      <c r="BQ272" s="23">
        <f t="shared" si="139"/>
        <v>0</v>
      </c>
      <c r="BR272" s="23">
        <f t="shared" si="140"/>
        <v>0</v>
      </c>
      <c r="BS272" s="23">
        <f t="shared" si="141"/>
        <v>0</v>
      </c>
      <c r="BT272" s="23">
        <f t="shared" si="142"/>
        <v>0</v>
      </c>
      <c r="BU272" s="23">
        <f t="shared" si="143"/>
        <v>0</v>
      </c>
      <c r="BV272" s="23">
        <f t="shared" si="144"/>
        <v>0</v>
      </c>
      <c r="BW272" s="23">
        <f t="shared" si="145"/>
        <v>0</v>
      </c>
      <c r="BX272" s="23">
        <f t="shared" si="146"/>
        <v>0</v>
      </c>
      <c r="BY272" s="23">
        <f t="shared" si="147"/>
        <v>0</v>
      </c>
      <c r="BZ272" s="23">
        <f t="shared" si="148"/>
        <v>0</v>
      </c>
      <c r="CA272" s="23">
        <f t="shared" si="149"/>
        <v>0</v>
      </c>
      <c r="CB272" s="23">
        <f t="shared" si="150"/>
        <v>0</v>
      </c>
      <c r="CC272" s="23">
        <f t="shared" si="151"/>
        <v>0</v>
      </c>
      <c r="CD272" s="23">
        <f t="shared" si="152"/>
        <v>0</v>
      </c>
      <c r="CE272" s="23">
        <f t="shared" si="153"/>
        <v>0</v>
      </c>
      <c r="CF272" s="23">
        <f t="shared" si="154"/>
        <v>0</v>
      </c>
      <c r="CG272" s="23">
        <f t="shared" si="155"/>
        <v>0</v>
      </c>
      <c r="CH272" s="23">
        <f t="shared" si="156"/>
        <v>0</v>
      </c>
      <c r="CI272" s="23">
        <f t="shared" si="157"/>
        <v>0</v>
      </c>
      <c r="CJ272" s="23">
        <f t="shared" si="158"/>
        <v>0</v>
      </c>
      <c r="CK272" s="23">
        <f t="shared" si="159"/>
        <v>0</v>
      </c>
      <c r="CL272" s="23">
        <f t="shared" si="160"/>
        <v>0</v>
      </c>
      <c r="CM272" s="23">
        <f t="shared" si="161"/>
        <v>0</v>
      </c>
      <c r="CN272" s="23">
        <f t="shared" si="162"/>
        <v>1</v>
      </c>
      <c r="CO272" s="23">
        <f t="shared" si="163"/>
        <v>1</v>
      </c>
      <c r="CP272" s="23">
        <f t="shared" si="164"/>
        <v>1</v>
      </c>
      <c r="CQ272" s="23">
        <f t="shared" si="165"/>
        <v>1</v>
      </c>
      <c r="CR272" s="23">
        <f t="shared" si="166"/>
        <v>1</v>
      </c>
      <c r="CS272" s="23">
        <f t="shared" si="167"/>
        <v>1</v>
      </c>
      <c r="CT272" s="23">
        <f t="shared" si="168"/>
        <v>1</v>
      </c>
      <c r="CU272" s="23">
        <f t="shared" si="169"/>
        <v>1</v>
      </c>
      <c r="CV272" s="23">
        <f t="shared" si="170"/>
        <v>1</v>
      </c>
    </row>
    <row r="273" spans="1:100" ht="13.5">
      <c r="A273" s="15">
        <v>222</v>
      </c>
      <c r="B273" s="38" t="s">
        <v>1011</v>
      </c>
      <c r="C273" t="s">
        <v>580</v>
      </c>
      <c r="E273" t="s">
        <v>465</v>
      </c>
      <c r="F273" t="s">
        <v>581</v>
      </c>
      <c r="G273" t="s">
        <v>465</v>
      </c>
      <c r="H273" t="s">
        <v>582</v>
      </c>
      <c r="I273" s="6" t="s">
        <v>136</v>
      </c>
      <c r="J273" s="6">
        <v>0</v>
      </c>
      <c r="L273" s="15">
        <v>1</v>
      </c>
      <c r="N273" s="7">
        <v>46133</v>
      </c>
      <c r="O273" s="7">
        <v>46129</v>
      </c>
      <c r="P273" s="7">
        <v>46132</v>
      </c>
      <c r="S273" s="6" t="s">
        <v>465</v>
      </c>
      <c r="U273" s="6" t="s">
        <v>464</v>
      </c>
      <c r="V273" s="6" t="str">
        <f t="shared" si="137"/>
        <v>26/04</v>
      </c>
      <c r="W273">
        <v>1577</v>
      </c>
      <c r="AA273">
        <v>931</v>
      </c>
      <c r="AC273">
        <v>984</v>
      </c>
      <c r="AI273" s="23">
        <v>0</v>
      </c>
      <c r="AJ273" s="23">
        <v>0</v>
      </c>
      <c r="AK273" s="23">
        <v>0</v>
      </c>
      <c r="AL273" s="23">
        <v>0</v>
      </c>
      <c r="AM273" s="23">
        <v>0</v>
      </c>
      <c r="AN273" s="23">
        <v>0</v>
      </c>
      <c r="AO273" s="23">
        <v>0</v>
      </c>
      <c r="AP273" s="23">
        <v>0</v>
      </c>
      <c r="AQ273" s="23">
        <v>0</v>
      </c>
      <c r="AR273" s="23">
        <v>0</v>
      </c>
      <c r="AS273" s="23">
        <v>0</v>
      </c>
      <c r="AT273" s="23">
        <v>0</v>
      </c>
      <c r="AU273" s="23">
        <v>0</v>
      </c>
      <c r="AV273" s="23">
        <v>0</v>
      </c>
      <c r="AW273" s="23">
        <v>0</v>
      </c>
      <c r="AX273" s="23">
        <v>0</v>
      </c>
      <c r="AY273" s="23">
        <v>0</v>
      </c>
      <c r="AZ273" s="23">
        <v>0</v>
      </c>
      <c r="BA273" s="23">
        <v>0</v>
      </c>
      <c r="BB273" s="23">
        <v>0</v>
      </c>
      <c r="BC273" s="23">
        <v>0</v>
      </c>
      <c r="BD273" s="23">
        <v>0</v>
      </c>
      <c r="BE273" s="23">
        <v>0</v>
      </c>
      <c r="BF273" s="23">
        <v>0</v>
      </c>
      <c r="BG273" s="23">
        <v>1</v>
      </c>
      <c r="BH273" s="23">
        <v>1</v>
      </c>
      <c r="BI273" s="23">
        <v>1</v>
      </c>
      <c r="BJ273" s="23">
        <v>1</v>
      </c>
      <c r="BK273" s="23">
        <v>1</v>
      </c>
      <c r="BL273" s="23">
        <v>1</v>
      </c>
      <c r="BM273" s="23">
        <v>1</v>
      </c>
      <c r="BN273" s="23">
        <v>1</v>
      </c>
      <c r="BO273" s="23">
        <v>1</v>
      </c>
      <c r="BP273" s="23">
        <f t="shared" si="138"/>
        <v>0</v>
      </c>
      <c r="BQ273" s="23">
        <f t="shared" si="139"/>
        <v>0</v>
      </c>
      <c r="BR273" s="23">
        <f t="shared" si="140"/>
        <v>0</v>
      </c>
      <c r="BS273" s="23">
        <f t="shared" si="141"/>
        <v>0</v>
      </c>
      <c r="BT273" s="23">
        <f t="shared" si="142"/>
        <v>0</v>
      </c>
      <c r="BU273" s="23">
        <f t="shared" si="143"/>
        <v>0</v>
      </c>
      <c r="BV273" s="23">
        <f t="shared" si="144"/>
        <v>0</v>
      </c>
      <c r="BW273" s="23">
        <f t="shared" si="145"/>
        <v>0</v>
      </c>
      <c r="BX273" s="23">
        <f t="shared" si="146"/>
        <v>0</v>
      </c>
      <c r="BY273" s="23">
        <f t="shared" si="147"/>
        <v>0</v>
      </c>
      <c r="BZ273" s="23">
        <f t="shared" si="148"/>
        <v>0</v>
      </c>
      <c r="CA273" s="23">
        <f t="shared" si="149"/>
        <v>0</v>
      </c>
      <c r="CB273" s="23">
        <f t="shared" si="150"/>
        <v>0</v>
      </c>
      <c r="CC273" s="23">
        <f t="shared" si="151"/>
        <v>0</v>
      </c>
      <c r="CD273" s="23">
        <f t="shared" si="152"/>
        <v>0</v>
      </c>
      <c r="CE273" s="23">
        <f t="shared" si="153"/>
        <v>0</v>
      </c>
      <c r="CF273" s="23">
        <f t="shared" si="154"/>
        <v>0</v>
      </c>
      <c r="CG273" s="23">
        <f t="shared" si="155"/>
        <v>0</v>
      </c>
      <c r="CH273" s="23">
        <f t="shared" si="156"/>
        <v>0</v>
      </c>
      <c r="CI273" s="23">
        <f t="shared" si="157"/>
        <v>0</v>
      </c>
      <c r="CJ273" s="23">
        <f t="shared" si="158"/>
        <v>0</v>
      </c>
      <c r="CK273" s="23">
        <f t="shared" si="159"/>
        <v>0</v>
      </c>
      <c r="CL273" s="23">
        <f t="shared" si="160"/>
        <v>0</v>
      </c>
      <c r="CM273" s="23">
        <f t="shared" si="161"/>
        <v>0</v>
      </c>
      <c r="CN273" s="23">
        <f t="shared" si="162"/>
        <v>1</v>
      </c>
      <c r="CO273" s="23">
        <f t="shared" si="163"/>
        <v>1</v>
      </c>
      <c r="CP273" s="23">
        <f t="shared" si="164"/>
        <v>1</v>
      </c>
      <c r="CQ273" s="23">
        <f t="shared" si="165"/>
        <v>1</v>
      </c>
      <c r="CR273" s="23">
        <f t="shared" si="166"/>
        <v>1</v>
      </c>
      <c r="CS273" s="23">
        <f t="shared" si="167"/>
        <v>1</v>
      </c>
      <c r="CT273" s="23">
        <f t="shared" si="168"/>
        <v>1</v>
      </c>
      <c r="CU273" s="23">
        <f t="shared" si="169"/>
        <v>1</v>
      </c>
      <c r="CV273" s="23">
        <f t="shared" si="170"/>
        <v>1</v>
      </c>
    </row>
    <row r="274" spans="1:100" ht="13.5">
      <c r="A274" s="15">
        <v>222</v>
      </c>
      <c r="B274" s="38" t="s">
        <v>1012</v>
      </c>
      <c r="C274" t="s">
        <v>580</v>
      </c>
      <c r="E274" t="s">
        <v>465</v>
      </c>
      <c r="F274" t="s">
        <v>581</v>
      </c>
      <c r="G274" t="s">
        <v>465</v>
      </c>
      <c r="H274" t="s">
        <v>582</v>
      </c>
      <c r="I274" s="6" t="s">
        <v>136</v>
      </c>
      <c r="J274" s="6">
        <v>0</v>
      </c>
      <c r="L274" s="15">
        <v>1</v>
      </c>
      <c r="N274" s="7">
        <v>46133</v>
      </c>
      <c r="O274" s="7">
        <v>46129</v>
      </c>
      <c r="P274" s="7">
        <v>46132</v>
      </c>
      <c r="S274" s="6" t="s">
        <v>465</v>
      </c>
      <c r="U274" s="6" t="s">
        <v>464</v>
      </c>
      <c r="V274" s="6" t="str">
        <f t="shared" si="137"/>
        <v>26/04</v>
      </c>
      <c r="W274">
        <v>1578</v>
      </c>
      <c r="AA274">
        <v>932</v>
      </c>
      <c r="AC274">
        <v>985</v>
      </c>
      <c r="AI274" s="23">
        <v>0</v>
      </c>
      <c r="AJ274" s="23">
        <v>0</v>
      </c>
      <c r="AK274" s="23">
        <v>0</v>
      </c>
      <c r="AL274" s="23">
        <v>0</v>
      </c>
      <c r="AM274" s="23">
        <v>0</v>
      </c>
      <c r="AN274" s="23">
        <v>0</v>
      </c>
      <c r="AO274" s="23">
        <v>0</v>
      </c>
      <c r="AP274" s="23">
        <v>0</v>
      </c>
      <c r="AQ274" s="23">
        <v>0</v>
      </c>
      <c r="AR274" s="23">
        <v>0</v>
      </c>
      <c r="AS274" s="23">
        <v>0</v>
      </c>
      <c r="AT274" s="23">
        <v>0</v>
      </c>
      <c r="AU274" s="23">
        <v>0</v>
      </c>
      <c r="AV274" s="23">
        <v>0</v>
      </c>
      <c r="AW274" s="23">
        <v>0</v>
      </c>
      <c r="AX274" s="23">
        <v>0</v>
      </c>
      <c r="AY274" s="23">
        <v>0</v>
      </c>
      <c r="AZ274" s="23">
        <v>0</v>
      </c>
      <c r="BA274" s="23">
        <v>0</v>
      </c>
      <c r="BB274" s="23">
        <v>0</v>
      </c>
      <c r="BC274" s="23">
        <v>0</v>
      </c>
      <c r="BD274" s="23">
        <v>0</v>
      </c>
      <c r="BE274" s="23">
        <v>0</v>
      </c>
      <c r="BF274" s="23">
        <v>0</v>
      </c>
      <c r="BG274" s="23">
        <v>1</v>
      </c>
      <c r="BH274" s="23">
        <v>1</v>
      </c>
      <c r="BI274" s="23">
        <v>1</v>
      </c>
      <c r="BJ274" s="23">
        <v>1</v>
      </c>
      <c r="BK274" s="23">
        <v>1</v>
      </c>
      <c r="BL274" s="23">
        <v>1</v>
      </c>
      <c r="BM274" s="23">
        <v>1</v>
      </c>
      <c r="BN274" s="23">
        <v>1</v>
      </c>
      <c r="BO274" s="23">
        <v>1</v>
      </c>
      <c r="BP274" s="23">
        <f t="shared" si="138"/>
        <v>0</v>
      </c>
      <c r="BQ274" s="23">
        <f t="shared" si="139"/>
        <v>0</v>
      </c>
      <c r="BR274" s="23">
        <f t="shared" si="140"/>
        <v>0</v>
      </c>
      <c r="BS274" s="23">
        <f t="shared" si="141"/>
        <v>0</v>
      </c>
      <c r="BT274" s="23">
        <f t="shared" si="142"/>
        <v>0</v>
      </c>
      <c r="BU274" s="23">
        <f t="shared" si="143"/>
        <v>0</v>
      </c>
      <c r="BV274" s="23">
        <f t="shared" si="144"/>
        <v>0</v>
      </c>
      <c r="BW274" s="23">
        <f t="shared" si="145"/>
        <v>0</v>
      </c>
      <c r="BX274" s="23">
        <f t="shared" si="146"/>
        <v>0</v>
      </c>
      <c r="BY274" s="23">
        <f t="shared" si="147"/>
        <v>0</v>
      </c>
      <c r="BZ274" s="23">
        <f t="shared" si="148"/>
        <v>0</v>
      </c>
      <c r="CA274" s="23">
        <f t="shared" si="149"/>
        <v>0</v>
      </c>
      <c r="CB274" s="23">
        <f t="shared" si="150"/>
        <v>0</v>
      </c>
      <c r="CC274" s="23">
        <f t="shared" si="151"/>
        <v>0</v>
      </c>
      <c r="CD274" s="23">
        <f t="shared" si="152"/>
        <v>0</v>
      </c>
      <c r="CE274" s="23">
        <f t="shared" si="153"/>
        <v>0</v>
      </c>
      <c r="CF274" s="23">
        <f t="shared" si="154"/>
        <v>0</v>
      </c>
      <c r="CG274" s="23">
        <f t="shared" si="155"/>
        <v>0</v>
      </c>
      <c r="CH274" s="23">
        <f t="shared" si="156"/>
        <v>0</v>
      </c>
      <c r="CI274" s="23">
        <f t="shared" si="157"/>
        <v>0</v>
      </c>
      <c r="CJ274" s="23">
        <f t="shared" si="158"/>
        <v>0</v>
      </c>
      <c r="CK274" s="23">
        <f t="shared" si="159"/>
        <v>0</v>
      </c>
      <c r="CL274" s="23">
        <f t="shared" si="160"/>
        <v>0</v>
      </c>
      <c r="CM274" s="23">
        <f t="shared" si="161"/>
        <v>0</v>
      </c>
      <c r="CN274" s="23">
        <f t="shared" si="162"/>
        <v>1</v>
      </c>
      <c r="CO274" s="23">
        <f t="shared" si="163"/>
        <v>1</v>
      </c>
      <c r="CP274" s="23">
        <f t="shared" si="164"/>
        <v>1</v>
      </c>
      <c r="CQ274" s="23">
        <f t="shared" si="165"/>
        <v>1</v>
      </c>
      <c r="CR274" s="23">
        <f t="shared" si="166"/>
        <v>1</v>
      </c>
      <c r="CS274" s="23">
        <f t="shared" si="167"/>
        <v>1</v>
      </c>
      <c r="CT274" s="23">
        <f t="shared" si="168"/>
        <v>1</v>
      </c>
      <c r="CU274" s="23">
        <f t="shared" si="169"/>
        <v>1</v>
      </c>
      <c r="CV274" s="23">
        <f t="shared" si="170"/>
        <v>1</v>
      </c>
    </row>
    <row r="275" spans="1:100" ht="13.5">
      <c r="A275" s="15">
        <v>222</v>
      </c>
      <c r="B275" s="38" t="s">
        <v>1013</v>
      </c>
      <c r="C275" t="s">
        <v>580</v>
      </c>
      <c r="E275" t="s">
        <v>465</v>
      </c>
      <c r="F275" t="s">
        <v>581</v>
      </c>
      <c r="G275" t="s">
        <v>465</v>
      </c>
      <c r="H275" t="s">
        <v>582</v>
      </c>
      <c r="I275" s="6" t="s">
        <v>136</v>
      </c>
      <c r="J275" s="6">
        <v>0</v>
      </c>
      <c r="L275" s="15">
        <v>1</v>
      </c>
      <c r="N275" s="7">
        <v>46133</v>
      </c>
      <c r="O275" s="7">
        <v>46129</v>
      </c>
      <c r="P275" s="7">
        <v>46132</v>
      </c>
      <c r="S275" s="6" t="s">
        <v>465</v>
      </c>
      <c r="U275" s="6" t="s">
        <v>464</v>
      </c>
      <c r="V275" s="6" t="str">
        <f t="shared" si="137"/>
        <v>26/04</v>
      </c>
      <c r="W275">
        <v>1579</v>
      </c>
      <c r="AA275">
        <v>933</v>
      </c>
      <c r="AC275">
        <v>986</v>
      </c>
      <c r="AI275" s="23">
        <v>0</v>
      </c>
      <c r="AJ275" s="23">
        <v>0</v>
      </c>
      <c r="AK275" s="23">
        <v>0</v>
      </c>
      <c r="AL275" s="23">
        <v>0</v>
      </c>
      <c r="AM275" s="23">
        <v>0</v>
      </c>
      <c r="AN275" s="23">
        <v>0</v>
      </c>
      <c r="AO275" s="23">
        <v>0</v>
      </c>
      <c r="AP275" s="23">
        <v>0</v>
      </c>
      <c r="AQ275" s="23">
        <v>0</v>
      </c>
      <c r="AR275" s="23">
        <v>0</v>
      </c>
      <c r="AS275" s="23">
        <v>0</v>
      </c>
      <c r="AT275" s="23">
        <v>0</v>
      </c>
      <c r="AU275" s="23">
        <v>0</v>
      </c>
      <c r="AV275" s="23">
        <v>0</v>
      </c>
      <c r="AW275" s="23">
        <v>0</v>
      </c>
      <c r="AX275" s="23">
        <v>0</v>
      </c>
      <c r="AY275" s="23">
        <v>0</v>
      </c>
      <c r="AZ275" s="23">
        <v>0</v>
      </c>
      <c r="BA275" s="23">
        <v>0</v>
      </c>
      <c r="BB275" s="23">
        <v>0</v>
      </c>
      <c r="BC275" s="23">
        <v>0</v>
      </c>
      <c r="BD275" s="23">
        <v>0</v>
      </c>
      <c r="BE275" s="23">
        <v>0</v>
      </c>
      <c r="BF275" s="23">
        <v>0</v>
      </c>
      <c r="BG275" s="23">
        <v>1</v>
      </c>
      <c r="BH275" s="23">
        <v>1</v>
      </c>
      <c r="BI275" s="23">
        <v>1</v>
      </c>
      <c r="BJ275" s="23">
        <v>1</v>
      </c>
      <c r="BK275" s="23">
        <v>1</v>
      </c>
      <c r="BL275" s="23">
        <v>1</v>
      </c>
      <c r="BM275" s="23">
        <v>1</v>
      </c>
      <c r="BN275" s="23">
        <v>1</v>
      </c>
      <c r="BO275" s="23">
        <v>1</v>
      </c>
      <c r="BP275" s="23">
        <f t="shared" si="138"/>
        <v>0</v>
      </c>
      <c r="BQ275" s="23">
        <f t="shared" si="139"/>
        <v>0</v>
      </c>
      <c r="BR275" s="23">
        <f t="shared" si="140"/>
        <v>0</v>
      </c>
      <c r="BS275" s="23">
        <f t="shared" si="141"/>
        <v>0</v>
      </c>
      <c r="BT275" s="23">
        <f t="shared" si="142"/>
        <v>0</v>
      </c>
      <c r="BU275" s="23">
        <f t="shared" si="143"/>
        <v>0</v>
      </c>
      <c r="BV275" s="23">
        <f t="shared" si="144"/>
        <v>0</v>
      </c>
      <c r="BW275" s="23">
        <f t="shared" si="145"/>
        <v>0</v>
      </c>
      <c r="BX275" s="23">
        <f t="shared" si="146"/>
        <v>0</v>
      </c>
      <c r="BY275" s="23">
        <f t="shared" si="147"/>
        <v>0</v>
      </c>
      <c r="BZ275" s="23">
        <f t="shared" si="148"/>
        <v>0</v>
      </c>
      <c r="CA275" s="23">
        <f t="shared" si="149"/>
        <v>0</v>
      </c>
      <c r="CB275" s="23">
        <f t="shared" si="150"/>
        <v>0</v>
      </c>
      <c r="CC275" s="23">
        <f t="shared" si="151"/>
        <v>0</v>
      </c>
      <c r="CD275" s="23">
        <f t="shared" si="152"/>
        <v>0</v>
      </c>
      <c r="CE275" s="23">
        <f t="shared" si="153"/>
        <v>0</v>
      </c>
      <c r="CF275" s="23">
        <f t="shared" si="154"/>
        <v>0</v>
      </c>
      <c r="CG275" s="23">
        <f t="shared" si="155"/>
        <v>0</v>
      </c>
      <c r="CH275" s="23">
        <f t="shared" si="156"/>
        <v>0</v>
      </c>
      <c r="CI275" s="23">
        <f t="shared" si="157"/>
        <v>0</v>
      </c>
      <c r="CJ275" s="23">
        <f t="shared" si="158"/>
        <v>0</v>
      </c>
      <c r="CK275" s="23">
        <f t="shared" si="159"/>
        <v>0</v>
      </c>
      <c r="CL275" s="23">
        <f t="shared" si="160"/>
        <v>0</v>
      </c>
      <c r="CM275" s="23">
        <f t="shared" si="161"/>
        <v>0</v>
      </c>
      <c r="CN275" s="23">
        <f t="shared" si="162"/>
        <v>1</v>
      </c>
      <c r="CO275" s="23">
        <f t="shared" si="163"/>
        <v>1</v>
      </c>
      <c r="CP275" s="23">
        <f t="shared" si="164"/>
        <v>1</v>
      </c>
      <c r="CQ275" s="23">
        <f t="shared" si="165"/>
        <v>1</v>
      </c>
      <c r="CR275" s="23">
        <f t="shared" si="166"/>
        <v>1</v>
      </c>
      <c r="CS275" s="23">
        <f t="shared" si="167"/>
        <v>1</v>
      </c>
      <c r="CT275" s="23">
        <f t="shared" si="168"/>
        <v>1</v>
      </c>
      <c r="CU275" s="23">
        <f t="shared" si="169"/>
        <v>1</v>
      </c>
      <c r="CV275" s="23">
        <f t="shared" si="170"/>
        <v>1</v>
      </c>
    </row>
    <row r="276" spans="1:100" ht="13.5">
      <c r="A276" s="15">
        <v>222</v>
      </c>
      <c r="B276" s="38" t="s">
        <v>1014</v>
      </c>
      <c r="C276" t="s">
        <v>580</v>
      </c>
      <c r="E276" t="s">
        <v>465</v>
      </c>
      <c r="F276" t="s">
        <v>581</v>
      </c>
      <c r="G276" t="s">
        <v>465</v>
      </c>
      <c r="H276" t="s">
        <v>582</v>
      </c>
      <c r="I276" s="6" t="s">
        <v>136</v>
      </c>
      <c r="J276" s="6">
        <v>0</v>
      </c>
      <c r="L276" s="15">
        <v>1</v>
      </c>
      <c r="N276" s="7">
        <v>46133</v>
      </c>
      <c r="O276" s="7">
        <v>46129</v>
      </c>
      <c r="P276" s="7">
        <v>46132</v>
      </c>
      <c r="S276" s="6" t="s">
        <v>465</v>
      </c>
      <c r="U276" s="6" t="s">
        <v>464</v>
      </c>
      <c r="V276" s="6" t="str">
        <f t="shared" si="137"/>
        <v>26/04</v>
      </c>
      <c r="W276">
        <v>1580</v>
      </c>
      <c r="AA276">
        <v>934</v>
      </c>
      <c r="AC276">
        <v>987</v>
      </c>
      <c r="AI276" s="23">
        <v>0</v>
      </c>
      <c r="AJ276" s="23">
        <v>0</v>
      </c>
      <c r="AK276" s="23">
        <v>0</v>
      </c>
      <c r="AL276" s="23">
        <v>0</v>
      </c>
      <c r="AM276" s="23">
        <v>0</v>
      </c>
      <c r="AN276" s="23">
        <v>0</v>
      </c>
      <c r="AO276" s="23">
        <v>0</v>
      </c>
      <c r="AP276" s="23">
        <v>0</v>
      </c>
      <c r="AQ276" s="23">
        <v>0</v>
      </c>
      <c r="AR276" s="23">
        <v>0</v>
      </c>
      <c r="AS276" s="23">
        <v>0</v>
      </c>
      <c r="AT276" s="23">
        <v>0</v>
      </c>
      <c r="AU276" s="23">
        <v>0</v>
      </c>
      <c r="AV276" s="23">
        <v>0</v>
      </c>
      <c r="AW276" s="23">
        <v>0</v>
      </c>
      <c r="AX276" s="23">
        <v>0</v>
      </c>
      <c r="AY276" s="23">
        <v>0</v>
      </c>
      <c r="AZ276" s="23">
        <v>0</v>
      </c>
      <c r="BA276" s="23">
        <v>0</v>
      </c>
      <c r="BB276" s="23">
        <v>0</v>
      </c>
      <c r="BC276" s="23">
        <v>0</v>
      </c>
      <c r="BD276" s="23">
        <v>0</v>
      </c>
      <c r="BE276" s="23">
        <v>0</v>
      </c>
      <c r="BF276" s="23">
        <v>0</v>
      </c>
      <c r="BG276" s="23">
        <v>1</v>
      </c>
      <c r="BH276" s="23">
        <v>1</v>
      </c>
      <c r="BI276" s="23">
        <v>1</v>
      </c>
      <c r="BJ276" s="23">
        <v>1</v>
      </c>
      <c r="BK276" s="23">
        <v>1</v>
      </c>
      <c r="BL276" s="23">
        <v>1</v>
      </c>
      <c r="BM276" s="23">
        <v>1</v>
      </c>
      <c r="BN276" s="23">
        <v>1</v>
      </c>
      <c r="BO276" s="23">
        <v>1</v>
      </c>
      <c r="BP276" s="23">
        <f t="shared" si="138"/>
        <v>0</v>
      </c>
      <c r="BQ276" s="23">
        <f t="shared" si="139"/>
        <v>0</v>
      </c>
      <c r="BR276" s="23">
        <f t="shared" si="140"/>
        <v>0</v>
      </c>
      <c r="BS276" s="23">
        <f t="shared" si="141"/>
        <v>0</v>
      </c>
      <c r="BT276" s="23">
        <f t="shared" si="142"/>
        <v>0</v>
      </c>
      <c r="BU276" s="23">
        <f t="shared" si="143"/>
        <v>0</v>
      </c>
      <c r="BV276" s="23">
        <f t="shared" si="144"/>
        <v>0</v>
      </c>
      <c r="BW276" s="23">
        <f t="shared" si="145"/>
        <v>0</v>
      </c>
      <c r="BX276" s="23">
        <f t="shared" si="146"/>
        <v>0</v>
      </c>
      <c r="BY276" s="23">
        <f t="shared" si="147"/>
        <v>0</v>
      </c>
      <c r="BZ276" s="23">
        <f t="shared" si="148"/>
        <v>0</v>
      </c>
      <c r="CA276" s="23">
        <f t="shared" si="149"/>
        <v>0</v>
      </c>
      <c r="CB276" s="23">
        <f t="shared" si="150"/>
        <v>0</v>
      </c>
      <c r="CC276" s="23">
        <f t="shared" si="151"/>
        <v>0</v>
      </c>
      <c r="CD276" s="23">
        <f t="shared" si="152"/>
        <v>0</v>
      </c>
      <c r="CE276" s="23">
        <f t="shared" si="153"/>
        <v>0</v>
      </c>
      <c r="CF276" s="23">
        <f t="shared" si="154"/>
        <v>0</v>
      </c>
      <c r="CG276" s="23">
        <f t="shared" si="155"/>
        <v>0</v>
      </c>
      <c r="CH276" s="23">
        <f t="shared" si="156"/>
        <v>0</v>
      </c>
      <c r="CI276" s="23">
        <f t="shared" si="157"/>
        <v>0</v>
      </c>
      <c r="CJ276" s="23">
        <f t="shared" si="158"/>
        <v>0</v>
      </c>
      <c r="CK276" s="23">
        <f t="shared" si="159"/>
        <v>0</v>
      </c>
      <c r="CL276" s="23">
        <f t="shared" si="160"/>
        <v>0</v>
      </c>
      <c r="CM276" s="23">
        <f t="shared" si="161"/>
        <v>0</v>
      </c>
      <c r="CN276" s="23">
        <f t="shared" si="162"/>
        <v>1</v>
      </c>
      <c r="CO276" s="23">
        <f t="shared" si="163"/>
        <v>1</v>
      </c>
      <c r="CP276" s="23">
        <f t="shared" si="164"/>
        <v>1</v>
      </c>
      <c r="CQ276" s="23">
        <f t="shared" si="165"/>
        <v>1</v>
      </c>
      <c r="CR276" s="23">
        <f t="shared" si="166"/>
        <v>1</v>
      </c>
      <c r="CS276" s="23">
        <f t="shared" si="167"/>
        <v>1</v>
      </c>
      <c r="CT276" s="23">
        <f t="shared" si="168"/>
        <v>1</v>
      </c>
      <c r="CU276" s="23">
        <f t="shared" si="169"/>
        <v>1</v>
      </c>
      <c r="CV276" s="23">
        <f t="shared" si="170"/>
        <v>1</v>
      </c>
    </row>
    <row r="277" spans="1:100" ht="13.5">
      <c r="A277" s="15">
        <v>222</v>
      </c>
      <c r="B277" s="38" t="s">
        <v>1015</v>
      </c>
      <c r="C277" t="s">
        <v>580</v>
      </c>
      <c r="E277" t="s">
        <v>465</v>
      </c>
      <c r="F277" t="s">
        <v>581</v>
      </c>
      <c r="G277" t="s">
        <v>465</v>
      </c>
      <c r="H277" t="s">
        <v>582</v>
      </c>
      <c r="I277" s="6" t="s">
        <v>136</v>
      </c>
      <c r="J277" s="6">
        <v>0</v>
      </c>
      <c r="L277" s="15">
        <v>1</v>
      </c>
      <c r="N277" s="7">
        <v>46133</v>
      </c>
      <c r="O277" s="7">
        <v>46129</v>
      </c>
      <c r="P277" s="7">
        <v>46132</v>
      </c>
      <c r="S277" s="6" t="s">
        <v>465</v>
      </c>
      <c r="U277" s="6" t="s">
        <v>464</v>
      </c>
      <c r="V277" s="6" t="str">
        <f t="shared" si="137"/>
        <v>26/04</v>
      </c>
      <c r="W277">
        <v>1581</v>
      </c>
      <c r="AA277">
        <v>935</v>
      </c>
      <c r="AC277">
        <v>988</v>
      </c>
      <c r="AI277" s="23">
        <v>0</v>
      </c>
      <c r="AJ277" s="23">
        <v>0</v>
      </c>
      <c r="AK277" s="23">
        <v>0</v>
      </c>
      <c r="AL277" s="23">
        <v>0</v>
      </c>
      <c r="AM277" s="23">
        <v>0</v>
      </c>
      <c r="AN277" s="23">
        <v>0</v>
      </c>
      <c r="AO277" s="23">
        <v>0</v>
      </c>
      <c r="AP277" s="23">
        <v>0</v>
      </c>
      <c r="AQ277" s="23">
        <v>0</v>
      </c>
      <c r="AR277" s="23">
        <v>0</v>
      </c>
      <c r="AS277" s="23">
        <v>0</v>
      </c>
      <c r="AT277" s="23">
        <v>0</v>
      </c>
      <c r="AU277" s="23">
        <v>0</v>
      </c>
      <c r="AV277" s="23">
        <v>0</v>
      </c>
      <c r="AW277" s="23">
        <v>0</v>
      </c>
      <c r="AX277" s="23">
        <v>0</v>
      </c>
      <c r="AY277" s="23">
        <v>0</v>
      </c>
      <c r="AZ277" s="23">
        <v>0</v>
      </c>
      <c r="BA277" s="23">
        <v>0</v>
      </c>
      <c r="BB277" s="23">
        <v>0</v>
      </c>
      <c r="BC277" s="23">
        <v>0</v>
      </c>
      <c r="BD277" s="23">
        <v>0</v>
      </c>
      <c r="BE277" s="23">
        <v>0</v>
      </c>
      <c r="BF277" s="23">
        <v>0</v>
      </c>
      <c r="BG277" s="23">
        <v>1</v>
      </c>
      <c r="BH277" s="23">
        <v>1</v>
      </c>
      <c r="BI277" s="23">
        <v>1</v>
      </c>
      <c r="BJ277" s="23">
        <v>1</v>
      </c>
      <c r="BK277" s="23">
        <v>1</v>
      </c>
      <c r="BL277" s="23">
        <v>1</v>
      </c>
      <c r="BM277" s="23">
        <v>1</v>
      </c>
      <c r="BN277" s="23">
        <v>1</v>
      </c>
      <c r="BO277" s="23">
        <v>1</v>
      </c>
      <c r="BP277" s="23">
        <f t="shared" si="138"/>
        <v>0</v>
      </c>
      <c r="BQ277" s="23">
        <f t="shared" si="139"/>
        <v>0</v>
      </c>
      <c r="BR277" s="23">
        <f t="shared" si="140"/>
        <v>0</v>
      </c>
      <c r="BS277" s="23">
        <f t="shared" si="141"/>
        <v>0</v>
      </c>
      <c r="BT277" s="23">
        <f t="shared" si="142"/>
        <v>0</v>
      </c>
      <c r="BU277" s="23">
        <f t="shared" si="143"/>
        <v>0</v>
      </c>
      <c r="BV277" s="23">
        <f t="shared" si="144"/>
        <v>0</v>
      </c>
      <c r="BW277" s="23">
        <f t="shared" si="145"/>
        <v>0</v>
      </c>
      <c r="BX277" s="23">
        <f t="shared" si="146"/>
        <v>0</v>
      </c>
      <c r="BY277" s="23">
        <f t="shared" si="147"/>
        <v>0</v>
      </c>
      <c r="BZ277" s="23">
        <f t="shared" si="148"/>
        <v>0</v>
      </c>
      <c r="CA277" s="23">
        <f t="shared" si="149"/>
        <v>0</v>
      </c>
      <c r="CB277" s="23">
        <f t="shared" si="150"/>
        <v>0</v>
      </c>
      <c r="CC277" s="23">
        <f t="shared" si="151"/>
        <v>0</v>
      </c>
      <c r="CD277" s="23">
        <f t="shared" si="152"/>
        <v>0</v>
      </c>
      <c r="CE277" s="23">
        <f t="shared" si="153"/>
        <v>0</v>
      </c>
      <c r="CF277" s="23">
        <f t="shared" si="154"/>
        <v>0</v>
      </c>
      <c r="CG277" s="23">
        <f t="shared" si="155"/>
        <v>0</v>
      </c>
      <c r="CH277" s="23">
        <f t="shared" si="156"/>
        <v>0</v>
      </c>
      <c r="CI277" s="23">
        <f t="shared" si="157"/>
        <v>0</v>
      </c>
      <c r="CJ277" s="23">
        <f t="shared" si="158"/>
        <v>0</v>
      </c>
      <c r="CK277" s="23">
        <f t="shared" si="159"/>
        <v>0</v>
      </c>
      <c r="CL277" s="23">
        <f t="shared" si="160"/>
        <v>0</v>
      </c>
      <c r="CM277" s="23">
        <f t="shared" si="161"/>
        <v>0</v>
      </c>
      <c r="CN277" s="23">
        <f t="shared" si="162"/>
        <v>1</v>
      </c>
      <c r="CO277" s="23">
        <f t="shared" si="163"/>
        <v>1</v>
      </c>
      <c r="CP277" s="23">
        <f t="shared" si="164"/>
        <v>1</v>
      </c>
      <c r="CQ277" s="23">
        <f t="shared" si="165"/>
        <v>1</v>
      </c>
      <c r="CR277" s="23">
        <f t="shared" si="166"/>
        <v>1</v>
      </c>
      <c r="CS277" s="23">
        <f t="shared" si="167"/>
        <v>1</v>
      </c>
      <c r="CT277" s="23">
        <f t="shared" si="168"/>
        <v>1</v>
      </c>
      <c r="CU277" s="23">
        <f t="shared" si="169"/>
        <v>1</v>
      </c>
      <c r="CV277" s="23">
        <f t="shared" si="170"/>
        <v>1</v>
      </c>
    </row>
    <row r="278" spans="1:100" ht="13.5">
      <c r="A278" s="15">
        <v>222</v>
      </c>
      <c r="B278" s="38" t="s">
        <v>1016</v>
      </c>
      <c r="C278" t="s">
        <v>580</v>
      </c>
      <c r="E278" t="s">
        <v>465</v>
      </c>
      <c r="F278" t="s">
        <v>581</v>
      </c>
      <c r="G278" t="s">
        <v>465</v>
      </c>
      <c r="H278" t="s">
        <v>582</v>
      </c>
      <c r="I278" s="6" t="s">
        <v>136</v>
      </c>
      <c r="J278" s="6">
        <v>0</v>
      </c>
      <c r="L278" s="15">
        <v>1</v>
      </c>
      <c r="N278" s="7">
        <v>46134</v>
      </c>
      <c r="O278" s="7">
        <v>46129</v>
      </c>
      <c r="P278" s="7">
        <v>46132</v>
      </c>
      <c r="S278" s="6" t="s">
        <v>465</v>
      </c>
      <c r="U278" s="6" t="s">
        <v>464</v>
      </c>
      <c r="V278" s="6" t="str">
        <f t="shared" si="137"/>
        <v>26/04</v>
      </c>
      <c r="W278">
        <v>1582</v>
      </c>
      <c r="AA278">
        <v>936</v>
      </c>
      <c r="AC278">
        <v>989</v>
      </c>
      <c r="AI278" s="23">
        <v>0</v>
      </c>
      <c r="AJ278" s="23">
        <v>0</v>
      </c>
      <c r="AK278" s="23">
        <v>0</v>
      </c>
      <c r="AL278" s="23">
        <v>0</v>
      </c>
      <c r="AM278" s="23">
        <v>0</v>
      </c>
      <c r="AN278" s="23">
        <v>0</v>
      </c>
      <c r="AO278" s="23">
        <v>0</v>
      </c>
      <c r="AP278" s="23">
        <v>0</v>
      </c>
      <c r="AQ278" s="23">
        <v>0</v>
      </c>
      <c r="AR278" s="23">
        <v>0</v>
      </c>
      <c r="AS278" s="23">
        <v>0</v>
      </c>
      <c r="AT278" s="23">
        <v>0</v>
      </c>
      <c r="AU278" s="23">
        <v>0</v>
      </c>
      <c r="AV278" s="23">
        <v>0</v>
      </c>
      <c r="AW278" s="23">
        <v>0</v>
      </c>
      <c r="AX278" s="23">
        <v>0</v>
      </c>
      <c r="AY278" s="23">
        <v>0</v>
      </c>
      <c r="AZ278" s="23">
        <v>0</v>
      </c>
      <c r="BA278" s="23">
        <v>0</v>
      </c>
      <c r="BB278" s="23">
        <v>0</v>
      </c>
      <c r="BC278" s="23">
        <v>0</v>
      </c>
      <c r="BD278" s="23">
        <v>0</v>
      </c>
      <c r="BE278" s="23">
        <v>0</v>
      </c>
      <c r="BF278" s="23">
        <v>0</v>
      </c>
      <c r="BG278" s="23">
        <v>1</v>
      </c>
      <c r="BH278" s="23">
        <v>1</v>
      </c>
      <c r="BI278" s="23">
        <v>1</v>
      </c>
      <c r="BJ278" s="23">
        <v>1</v>
      </c>
      <c r="BK278" s="23">
        <v>1</v>
      </c>
      <c r="BL278" s="23">
        <v>1</v>
      </c>
      <c r="BM278" s="23">
        <v>1</v>
      </c>
      <c r="BN278" s="23">
        <v>1</v>
      </c>
      <c r="BO278" s="23">
        <v>1</v>
      </c>
      <c r="BP278" s="23">
        <f t="shared" si="138"/>
        <v>0</v>
      </c>
      <c r="BQ278" s="23">
        <f t="shared" si="139"/>
        <v>0</v>
      </c>
      <c r="BR278" s="23">
        <f t="shared" si="140"/>
        <v>0</v>
      </c>
      <c r="BS278" s="23">
        <f t="shared" si="141"/>
        <v>0</v>
      </c>
      <c r="BT278" s="23">
        <f t="shared" si="142"/>
        <v>0</v>
      </c>
      <c r="BU278" s="23">
        <f t="shared" si="143"/>
        <v>0</v>
      </c>
      <c r="BV278" s="23">
        <f t="shared" si="144"/>
        <v>0</v>
      </c>
      <c r="BW278" s="23">
        <f t="shared" si="145"/>
        <v>0</v>
      </c>
      <c r="BX278" s="23">
        <f t="shared" si="146"/>
        <v>0</v>
      </c>
      <c r="BY278" s="23">
        <f t="shared" si="147"/>
        <v>0</v>
      </c>
      <c r="BZ278" s="23">
        <f t="shared" si="148"/>
        <v>0</v>
      </c>
      <c r="CA278" s="23">
        <f t="shared" si="149"/>
        <v>0</v>
      </c>
      <c r="CB278" s="23">
        <f t="shared" si="150"/>
        <v>0</v>
      </c>
      <c r="CC278" s="23">
        <f t="shared" si="151"/>
        <v>0</v>
      </c>
      <c r="CD278" s="23">
        <f t="shared" si="152"/>
        <v>0</v>
      </c>
      <c r="CE278" s="23">
        <f t="shared" si="153"/>
        <v>0</v>
      </c>
      <c r="CF278" s="23">
        <f t="shared" si="154"/>
        <v>0</v>
      </c>
      <c r="CG278" s="23">
        <f t="shared" si="155"/>
        <v>0</v>
      </c>
      <c r="CH278" s="23">
        <f t="shared" si="156"/>
        <v>0</v>
      </c>
      <c r="CI278" s="23">
        <f t="shared" si="157"/>
        <v>0</v>
      </c>
      <c r="CJ278" s="23">
        <f t="shared" si="158"/>
        <v>0</v>
      </c>
      <c r="CK278" s="23">
        <f t="shared" si="159"/>
        <v>0</v>
      </c>
      <c r="CL278" s="23">
        <f t="shared" si="160"/>
        <v>0</v>
      </c>
      <c r="CM278" s="23">
        <f t="shared" si="161"/>
        <v>0</v>
      </c>
      <c r="CN278" s="23">
        <f t="shared" si="162"/>
        <v>1</v>
      </c>
      <c r="CO278" s="23">
        <f t="shared" si="163"/>
        <v>1</v>
      </c>
      <c r="CP278" s="23">
        <f t="shared" si="164"/>
        <v>1</v>
      </c>
      <c r="CQ278" s="23">
        <f t="shared" si="165"/>
        <v>1</v>
      </c>
      <c r="CR278" s="23">
        <f t="shared" si="166"/>
        <v>1</v>
      </c>
      <c r="CS278" s="23">
        <f t="shared" si="167"/>
        <v>1</v>
      </c>
      <c r="CT278" s="23">
        <f t="shared" si="168"/>
        <v>1</v>
      </c>
      <c r="CU278" s="23">
        <f t="shared" si="169"/>
        <v>1</v>
      </c>
      <c r="CV278" s="23">
        <f t="shared" si="170"/>
        <v>1</v>
      </c>
    </row>
    <row r="279" spans="1:100" ht="13.5">
      <c r="A279" s="15">
        <v>222</v>
      </c>
      <c r="B279" s="38" t="s">
        <v>1017</v>
      </c>
      <c r="C279" t="s">
        <v>580</v>
      </c>
      <c r="E279" t="s">
        <v>465</v>
      </c>
      <c r="F279" t="s">
        <v>581</v>
      </c>
      <c r="G279" t="s">
        <v>465</v>
      </c>
      <c r="H279" t="s">
        <v>582</v>
      </c>
      <c r="I279" s="6" t="s">
        <v>136</v>
      </c>
      <c r="J279" s="6">
        <v>0</v>
      </c>
      <c r="L279" s="15">
        <v>1</v>
      </c>
      <c r="N279" s="7">
        <v>46134</v>
      </c>
      <c r="O279" s="7">
        <v>46129</v>
      </c>
      <c r="P279" s="7">
        <v>46132</v>
      </c>
      <c r="S279" s="6" t="s">
        <v>465</v>
      </c>
      <c r="U279" s="6" t="s">
        <v>464</v>
      </c>
      <c r="V279" s="6" t="str">
        <f t="shared" si="137"/>
        <v>26/04</v>
      </c>
      <c r="W279">
        <v>1583</v>
      </c>
      <c r="AA279">
        <v>937</v>
      </c>
      <c r="AC279">
        <v>990</v>
      </c>
      <c r="AI279" s="23">
        <v>0</v>
      </c>
      <c r="AJ279" s="23">
        <v>0</v>
      </c>
      <c r="AK279" s="23">
        <v>0</v>
      </c>
      <c r="AL279" s="23">
        <v>0</v>
      </c>
      <c r="AM279" s="23">
        <v>0</v>
      </c>
      <c r="AN279" s="23">
        <v>0</v>
      </c>
      <c r="AO279" s="23">
        <v>0</v>
      </c>
      <c r="AP279" s="23">
        <v>0</v>
      </c>
      <c r="AQ279" s="23">
        <v>0</v>
      </c>
      <c r="AR279" s="23">
        <v>0</v>
      </c>
      <c r="AS279" s="23">
        <v>0</v>
      </c>
      <c r="AT279" s="23">
        <v>0</v>
      </c>
      <c r="AU279" s="23">
        <v>0</v>
      </c>
      <c r="AV279" s="23">
        <v>0</v>
      </c>
      <c r="AW279" s="23">
        <v>0</v>
      </c>
      <c r="AX279" s="23">
        <v>0</v>
      </c>
      <c r="AY279" s="23">
        <v>0</v>
      </c>
      <c r="AZ279" s="23">
        <v>0</v>
      </c>
      <c r="BA279" s="23">
        <v>0</v>
      </c>
      <c r="BB279" s="23">
        <v>0</v>
      </c>
      <c r="BC279" s="23">
        <v>0</v>
      </c>
      <c r="BD279" s="23">
        <v>0</v>
      </c>
      <c r="BE279" s="23">
        <v>0</v>
      </c>
      <c r="BF279" s="23">
        <v>0</v>
      </c>
      <c r="BG279" s="23">
        <v>1</v>
      </c>
      <c r="BH279" s="23">
        <v>1</v>
      </c>
      <c r="BI279" s="23">
        <v>1</v>
      </c>
      <c r="BJ279" s="23">
        <v>1</v>
      </c>
      <c r="BK279" s="23">
        <v>1</v>
      </c>
      <c r="BL279" s="23">
        <v>1</v>
      </c>
      <c r="BM279" s="23">
        <v>1</v>
      </c>
      <c r="BN279" s="23">
        <v>1</v>
      </c>
      <c r="BO279" s="23">
        <v>1</v>
      </c>
      <c r="BP279" s="23">
        <f t="shared" si="138"/>
        <v>0</v>
      </c>
      <c r="BQ279" s="23">
        <f t="shared" si="139"/>
        <v>0</v>
      </c>
      <c r="BR279" s="23">
        <f t="shared" si="140"/>
        <v>0</v>
      </c>
      <c r="BS279" s="23">
        <f t="shared" si="141"/>
        <v>0</v>
      </c>
      <c r="BT279" s="23">
        <f t="shared" si="142"/>
        <v>0</v>
      </c>
      <c r="BU279" s="23">
        <f t="shared" si="143"/>
        <v>0</v>
      </c>
      <c r="BV279" s="23">
        <f t="shared" si="144"/>
        <v>0</v>
      </c>
      <c r="BW279" s="23">
        <f t="shared" si="145"/>
        <v>0</v>
      </c>
      <c r="BX279" s="23">
        <f t="shared" si="146"/>
        <v>0</v>
      </c>
      <c r="BY279" s="23">
        <f t="shared" si="147"/>
        <v>0</v>
      </c>
      <c r="BZ279" s="23">
        <f t="shared" si="148"/>
        <v>0</v>
      </c>
      <c r="CA279" s="23">
        <f t="shared" si="149"/>
        <v>0</v>
      </c>
      <c r="CB279" s="23">
        <f t="shared" si="150"/>
        <v>0</v>
      </c>
      <c r="CC279" s="23">
        <f t="shared" si="151"/>
        <v>0</v>
      </c>
      <c r="CD279" s="23">
        <f t="shared" si="152"/>
        <v>0</v>
      </c>
      <c r="CE279" s="23">
        <f t="shared" si="153"/>
        <v>0</v>
      </c>
      <c r="CF279" s="23">
        <f t="shared" si="154"/>
        <v>0</v>
      </c>
      <c r="CG279" s="23">
        <f t="shared" si="155"/>
        <v>0</v>
      </c>
      <c r="CH279" s="23">
        <f t="shared" si="156"/>
        <v>0</v>
      </c>
      <c r="CI279" s="23">
        <f t="shared" si="157"/>
        <v>0</v>
      </c>
      <c r="CJ279" s="23">
        <f t="shared" si="158"/>
        <v>0</v>
      </c>
      <c r="CK279" s="23">
        <f t="shared" si="159"/>
        <v>0</v>
      </c>
      <c r="CL279" s="23">
        <f t="shared" si="160"/>
        <v>0</v>
      </c>
      <c r="CM279" s="23">
        <f t="shared" si="161"/>
        <v>0</v>
      </c>
      <c r="CN279" s="23">
        <f t="shared" si="162"/>
        <v>1</v>
      </c>
      <c r="CO279" s="23">
        <f t="shared" si="163"/>
        <v>1</v>
      </c>
      <c r="CP279" s="23">
        <f t="shared" si="164"/>
        <v>1</v>
      </c>
      <c r="CQ279" s="23">
        <f t="shared" si="165"/>
        <v>1</v>
      </c>
      <c r="CR279" s="23">
        <f t="shared" si="166"/>
        <v>1</v>
      </c>
      <c r="CS279" s="23">
        <f t="shared" si="167"/>
        <v>1</v>
      </c>
      <c r="CT279" s="23">
        <f t="shared" si="168"/>
        <v>1</v>
      </c>
      <c r="CU279" s="23">
        <f t="shared" si="169"/>
        <v>1</v>
      </c>
      <c r="CV279" s="23">
        <f t="shared" si="170"/>
        <v>1</v>
      </c>
    </row>
    <row r="280" spans="1:100" ht="13.5">
      <c r="A280" s="15">
        <v>222</v>
      </c>
      <c r="B280" s="38" t="s">
        <v>1018</v>
      </c>
      <c r="C280" t="s">
        <v>580</v>
      </c>
      <c r="E280" t="s">
        <v>465</v>
      </c>
      <c r="F280" t="s">
        <v>581</v>
      </c>
      <c r="G280" t="s">
        <v>465</v>
      </c>
      <c r="H280" t="s">
        <v>582</v>
      </c>
      <c r="I280" s="6" t="s">
        <v>136</v>
      </c>
      <c r="J280" s="6">
        <v>0</v>
      </c>
      <c r="L280" s="15">
        <v>1</v>
      </c>
      <c r="N280" s="7">
        <v>46134</v>
      </c>
      <c r="O280" s="7">
        <v>46129</v>
      </c>
      <c r="P280" s="7">
        <v>46132</v>
      </c>
      <c r="S280" s="6" t="s">
        <v>465</v>
      </c>
      <c r="U280" s="6" t="s">
        <v>464</v>
      </c>
      <c r="V280" s="6" t="str">
        <f t="shared" si="137"/>
        <v>26/04</v>
      </c>
      <c r="W280">
        <v>1584</v>
      </c>
      <c r="AA280">
        <v>938</v>
      </c>
      <c r="AC280">
        <v>991</v>
      </c>
      <c r="AI280" s="23">
        <v>0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  <c r="AP280" s="23">
        <v>0</v>
      </c>
      <c r="AQ280" s="23">
        <v>0</v>
      </c>
      <c r="AR280" s="23">
        <v>0</v>
      </c>
      <c r="AS280" s="23">
        <v>0</v>
      </c>
      <c r="AT280" s="23">
        <v>0</v>
      </c>
      <c r="AU280" s="23">
        <v>0</v>
      </c>
      <c r="AV280" s="23">
        <v>0</v>
      </c>
      <c r="AW280" s="23">
        <v>0</v>
      </c>
      <c r="AX280" s="23">
        <v>0</v>
      </c>
      <c r="AY280" s="23">
        <v>0</v>
      </c>
      <c r="AZ280" s="23">
        <v>0</v>
      </c>
      <c r="BA280" s="23">
        <v>0</v>
      </c>
      <c r="BB280" s="23">
        <v>0</v>
      </c>
      <c r="BC280" s="23">
        <v>0</v>
      </c>
      <c r="BD280" s="23">
        <v>0</v>
      </c>
      <c r="BE280" s="23">
        <v>0</v>
      </c>
      <c r="BF280" s="23">
        <v>0</v>
      </c>
      <c r="BG280" s="23">
        <v>1</v>
      </c>
      <c r="BH280" s="23">
        <v>1</v>
      </c>
      <c r="BI280" s="23">
        <v>1</v>
      </c>
      <c r="BJ280" s="23">
        <v>1</v>
      </c>
      <c r="BK280" s="23">
        <v>1</v>
      </c>
      <c r="BL280" s="23">
        <v>1</v>
      </c>
      <c r="BM280" s="23">
        <v>1</v>
      </c>
      <c r="BN280" s="23">
        <v>1</v>
      </c>
      <c r="BO280" s="23">
        <v>1</v>
      </c>
      <c r="BP280" s="23">
        <f t="shared" si="138"/>
        <v>0</v>
      </c>
      <c r="BQ280" s="23">
        <f t="shared" si="139"/>
        <v>0</v>
      </c>
      <c r="BR280" s="23">
        <f t="shared" si="140"/>
        <v>0</v>
      </c>
      <c r="BS280" s="23">
        <f t="shared" si="141"/>
        <v>0</v>
      </c>
      <c r="BT280" s="23">
        <f t="shared" si="142"/>
        <v>0</v>
      </c>
      <c r="BU280" s="23">
        <f t="shared" si="143"/>
        <v>0</v>
      </c>
      <c r="BV280" s="23">
        <f t="shared" si="144"/>
        <v>0</v>
      </c>
      <c r="BW280" s="23">
        <f t="shared" si="145"/>
        <v>0</v>
      </c>
      <c r="BX280" s="23">
        <f t="shared" si="146"/>
        <v>0</v>
      </c>
      <c r="BY280" s="23">
        <f t="shared" si="147"/>
        <v>0</v>
      </c>
      <c r="BZ280" s="23">
        <f t="shared" si="148"/>
        <v>0</v>
      </c>
      <c r="CA280" s="23">
        <f t="shared" si="149"/>
        <v>0</v>
      </c>
      <c r="CB280" s="23">
        <f t="shared" si="150"/>
        <v>0</v>
      </c>
      <c r="CC280" s="23">
        <f t="shared" si="151"/>
        <v>0</v>
      </c>
      <c r="CD280" s="23">
        <f t="shared" si="152"/>
        <v>0</v>
      </c>
      <c r="CE280" s="23">
        <f t="shared" si="153"/>
        <v>0</v>
      </c>
      <c r="CF280" s="23">
        <f t="shared" si="154"/>
        <v>0</v>
      </c>
      <c r="CG280" s="23">
        <f t="shared" si="155"/>
        <v>0</v>
      </c>
      <c r="CH280" s="23">
        <f t="shared" si="156"/>
        <v>0</v>
      </c>
      <c r="CI280" s="23">
        <f t="shared" si="157"/>
        <v>0</v>
      </c>
      <c r="CJ280" s="23">
        <f t="shared" si="158"/>
        <v>0</v>
      </c>
      <c r="CK280" s="23">
        <f t="shared" si="159"/>
        <v>0</v>
      </c>
      <c r="CL280" s="23">
        <f t="shared" si="160"/>
        <v>0</v>
      </c>
      <c r="CM280" s="23">
        <f t="shared" si="161"/>
        <v>0</v>
      </c>
      <c r="CN280" s="23">
        <f t="shared" si="162"/>
        <v>1</v>
      </c>
      <c r="CO280" s="23">
        <f t="shared" si="163"/>
        <v>1</v>
      </c>
      <c r="CP280" s="23">
        <f t="shared" si="164"/>
        <v>1</v>
      </c>
      <c r="CQ280" s="23">
        <f t="shared" si="165"/>
        <v>1</v>
      </c>
      <c r="CR280" s="23">
        <f t="shared" si="166"/>
        <v>1</v>
      </c>
      <c r="CS280" s="23">
        <f t="shared" si="167"/>
        <v>1</v>
      </c>
      <c r="CT280" s="23">
        <f t="shared" si="168"/>
        <v>1</v>
      </c>
      <c r="CU280" s="23">
        <f t="shared" si="169"/>
        <v>1</v>
      </c>
      <c r="CV280" s="23">
        <f t="shared" si="170"/>
        <v>1</v>
      </c>
    </row>
    <row r="281" spans="1:100" ht="13.5">
      <c r="A281" s="15">
        <v>222</v>
      </c>
      <c r="B281" s="38" t="s">
        <v>784</v>
      </c>
      <c r="C281" t="s">
        <v>580</v>
      </c>
      <c r="E281" t="s">
        <v>465</v>
      </c>
      <c r="F281" t="s">
        <v>581</v>
      </c>
      <c r="G281" t="s">
        <v>465</v>
      </c>
      <c r="H281" t="s">
        <v>582</v>
      </c>
      <c r="I281" s="6" t="s">
        <v>136</v>
      </c>
      <c r="J281" s="6">
        <v>0</v>
      </c>
      <c r="L281" s="15">
        <v>1</v>
      </c>
      <c r="N281" s="7">
        <v>46134</v>
      </c>
      <c r="O281" s="7">
        <v>46129</v>
      </c>
      <c r="P281" s="7">
        <v>46132</v>
      </c>
      <c r="S281" s="6" t="s">
        <v>465</v>
      </c>
      <c r="U281" s="6" t="s">
        <v>464</v>
      </c>
      <c r="V281" s="6" t="str">
        <f t="shared" si="137"/>
        <v>26/04</v>
      </c>
      <c r="W281">
        <v>1585</v>
      </c>
      <c r="AA281">
        <v>939</v>
      </c>
      <c r="AC281">
        <v>992</v>
      </c>
      <c r="AI281" s="23">
        <v>0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23">
        <v>0</v>
      </c>
      <c r="AP281" s="23">
        <v>0</v>
      </c>
      <c r="AQ281" s="23">
        <v>0</v>
      </c>
      <c r="AR281" s="23">
        <v>0</v>
      </c>
      <c r="AS281" s="23">
        <v>0</v>
      </c>
      <c r="AT281" s="23">
        <v>0</v>
      </c>
      <c r="AU281" s="23">
        <v>0</v>
      </c>
      <c r="AV281" s="23">
        <v>0</v>
      </c>
      <c r="AW281" s="23">
        <v>0</v>
      </c>
      <c r="AX281" s="23">
        <v>0</v>
      </c>
      <c r="AY281" s="23">
        <v>0</v>
      </c>
      <c r="AZ281" s="23">
        <v>0</v>
      </c>
      <c r="BA281" s="23">
        <v>0</v>
      </c>
      <c r="BB281" s="23">
        <v>0</v>
      </c>
      <c r="BC281" s="23">
        <v>0</v>
      </c>
      <c r="BD281" s="23">
        <v>0</v>
      </c>
      <c r="BE281" s="23">
        <v>0</v>
      </c>
      <c r="BF281" s="23">
        <v>0</v>
      </c>
      <c r="BG281" s="23">
        <v>1</v>
      </c>
      <c r="BH281" s="23">
        <v>1</v>
      </c>
      <c r="BI281" s="23">
        <v>1</v>
      </c>
      <c r="BJ281" s="23">
        <v>1</v>
      </c>
      <c r="BK281" s="23">
        <v>1</v>
      </c>
      <c r="BL281" s="23">
        <v>1</v>
      </c>
      <c r="BM281" s="23">
        <v>1</v>
      </c>
      <c r="BN281" s="23">
        <v>1</v>
      </c>
      <c r="BO281" s="23">
        <v>1</v>
      </c>
      <c r="BP281" s="23">
        <f t="shared" si="138"/>
        <v>0</v>
      </c>
      <c r="BQ281" s="23">
        <f t="shared" si="139"/>
        <v>0</v>
      </c>
      <c r="BR281" s="23">
        <f t="shared" si="140"/>
        <v>0</v>
      </c>
      <c r="BS281" s="23">
        <f t="shared" si="141"/>
        <v>0</v>
      </c>
      <c r="BT281" s="23">
        <f t="shared" si="142"/>
        <v>0</v>
      </c>
      <c r="BU281" s="23">
        <f t="shared" si="143"/>
        <v>0</v>
      </c>
      <c r="BV281" s="23">
        <f t="shared" si="144"/>
        <v>0</v>
      </c>
      <c r="BW281" s="23">
        <f t="shared" si="145"/>
        <v>0</v>
      </c>
      <c r="BX281" s="23">
        <f t="shared" si="146"/>
        <v>0</v>
      </c>
      <c r="BY281" s="23">
        <f t="shared" si="147"/>
        <v>0</v>
      </c>
      <c r="BZ281" s="23">
        <f t="shared" si="148"/>
        <v>0</v>
      </c>
      <c r="CA281" s="23">
        <f t="shared" si="149"/>
        <v>0</v>
      </c>
      <c r="CB281" s="23">
        <f t="shared" si="150"/>
        <v>0</v>
      </c>
      <c r="CC281" s="23">
        <f t="shared" si="151"/>
        <v>0</v>
      </c>
      <c r="CD281" s="23">
        <f t="shared" si="152"/>
        <v>0</v>
      </c>
      <c r="CE281" s="23">
        <f t="shared" si="153"/>
        <v>0</v>
      </c>
      <c r="CF281" s="23">
        <f t="shared" si="154"/>
        <v>0</v>
      </c>
      <c r="CG281" s="23">
        <f t="shared" si="155"/>
        <v>0</v>
      </c>
      <c r="CH281" s="23">
        <f t="shared" si="156"/>
        <v>0</v>
      </c>
      <c r="CI281" s="23">
        <f t="shared" si="157"/>
        <v>0</v>
      </c>
      <c r="CJ281" s="23">
        <f t="shared" si="158"/>
        <v>0</v>
      </c>
      <c r="CK281" s="23">
        <f t="shared" si="159"/>
        <v>0</v>
      </c>
      <c r="CL281" s="23">
        <f t="shared" si="160"/>
        <v>0</v>
      </c>
      <c r="CM281" s="23">
        <f t="shared" si="161"/>
        <v>0</v>
      </c>
      <c r="CN281" s="23">
        <f t="shared" si="162"/>
        <v>1</v>
      </c>
      <c r="CO281" s="23">
        <f t="shared" si="163"/>
        <v>1</v>
      </c>
      <c r="CP281" s="23">
        <f t="shared" si="164"/>
        <v>1</v>
      </c>
      <c r="CQ281" s="23">
        <f t="shared" si="165"/>
        <v>1</v>
      </c>
      <c r="CR281" s="23">
        <f t="shared" si="166"/>
        <v>1</v>
      </c>
      <c r="CS281" s="23">
        <f t="shared" si="167"/>
        <v>1</v>
      </c>
      <c r="CT281" s="23">
        <f t="shared" si="168"/>
        <v>1</v>
      </c>
      <c r="CU281" s="23">
        <f t="shared" si="169"/>
        <v>1</v>
      </c>
      <c r="CV281" s="23">
        <f t="shared" si="170"/>
        <v>1</v>
      </c>
    </row>
    <row r="282" spans="1:100" ht="13.5">
      <c r="A282" s="15">
        <v>222</v>
      </c>
      <c r="B282" s="38" t="s">
        <v>785</v>
      </c>
      <c r="C282" t="s">
        <v>580</v>
      </c>
      <c r="E282" t="s">
        <v>465</v>
      </c>
      <c r="F282" t="s">
        <v>581</v>
      </c>
      <c r="G282" t="s">
        <v>465</v>
      </c>
      <c r="H282" t="s">
        <v>582</v>
      </c>
      <c r="I282" s="6" t="s">
        <v>136</v>
      </c>
      <c r="J282" s="6">
        <v>0</v>
      </c>
      <c r="L282" s="15">
        <v>1</v>
      </c>
      <c r="N282" s="7">
        <v>46134</v>
      </c>
      <c r="O282" s="7">
        <v>46129</v>
      </c>
      <c r="P282" s="7">
        <v>46132</v>
      </c>
      <c r="S282" s="6" t="s">
        <v>465</v>
      </c>
      <c r="U282" s="6" t="s">
        <v>464</v>
      </c>
      <c r="V282" s="6" t="str">
        <f t="shared" si="137"/>
        <v>26/04</v>
      </c>
      <c r="W282">
        <v>1586</v>
      </c>
      <c r="AA282">
        <v>940</v>
      </c>
      <c r="AC282">
        <v>993</v>
      </c>
      <c r="AI282" s="23">
        <v>0</v>
      </c>
      <c r="AJ282" s="23">
        <v>0</v>
      </c>
      <c r="AK282" s="23">
        <v>0</v>
      </c>
      <c r="AL282" s="23">
        <v>0</v>
      </c>
      <c r="AM282" s="23">
        <v>0</v>
      </c>
      <c r="AN282" s="23">
        <v>0</v>
      </c>
      <c r="AO282" s="23">
        <v>0</v>
      </c>
      <c r="AP282" s="23">
        <v>0</v>
      </c>
      <c r="AQ282" s="23">
        <v>0</v>
      </c>
      <c r="AR282" s="23">
        <v>0</v>
      </c>
      <c r="AS282" s="23">
        <v>0</v>
      </c>
      <c r="AT282" s="23">
        <v>0</v>
      </c>
      <c r="AU282" s="23">
        <v>0</v>
      </c>
      <c r="AV282" s="23">
        <v>0</v>
      </c>
      <c r="AW282" s="23">
        <v>0</v>
      </c>
      <c r="AX282" s="23">
        <v>0</v>
      </c>
      <c r="AY282" s="23">
        <v>0</v>
      </c>
      <c r="AZ282" s="23">
        <v>0</v>
      </c>
      <c r="BA282" s="23">
        <v>0</v>
      </c>
      <c r="BB282" s="23">
        <v>0</v>
      </c>
      <c r="BC282" s="23">
        <v>0</v>
      </c>
      <c r="BD282" s="23">
        <v>0</v>
      </c>
      <c r="BE282" s="23">
        <v>0</v>
      </c>
      <c r="BF282" s="23">
        <v>0</v>
      </c>
      <c r="BG282" s="23">
        <v>1</v>
      </c>
      <c r="BH282" s="23">
        <v>1</v>
      </c>
      <c r="BI282" s="23">
        <v>1</v>
      </c>
      <c r="BJ282" s="23">
        <v>1</v>
      </c>
      <c r="BK282" s="23">
        <v>1</v>
      </c>
      <c r="BL282" s="23">
        <v>1</v>
      </c>
      <c r="BM282" s="23">
        <v>1</v>
      </c>
      <c r="BN282" s="23">
        <v>1</v>
      </c>
      <c r="BO282" s="23">
        <v>1</v>
      </c>
      <c r="BP282" s="23">
        <f t="shared" si="138"/>
        <v>0</v>
      </c>
      <c r="BQ282" s="23">
        <f t="shared" si="139"/>
        <v>0</v>
      </c>
      <c r="BR282" s="23">
        <f t="shared" si="140"/>
        <v>0</v>
      </c>
      <c r="BS282" s="23">
        <f t="shared" si="141"/>
        <v>0</v>
      </c>
      <c r="BT282" s="23">
        <f t="shared" si="142"/>
        <v>0</v>
      </c>
      <c r="BU282" s="23">
        <f t="shared" si="143"/>
        <v>0</v>
      </c>
      <c r="BV282" s="23">
        <f t="shared" si="144"/>
        <v>0</v>
      </c>
      <c r="BW282" s="23">
        <f t="shared" si="145"/>
        <v>0</v>
      </c>
      <c r="BX282" s="23">
        <f t="shared" si="146"/>
        <v>0</v>
      </c>
      <c r="BY282" s="23">
        <f t="shared" si="147"/>
        <v>0</v>
      </c>
      <c r="BZ282" s="23">
        <f t="shared" si="148"/>
        <v>0</v>
      </c>
      <c r="CA282" s="23">
        <f t="shared" si="149"/>
        <v>0</v>
      </c>
      <c r="CB282" s="23">
        <f t="shared" si="150"/>
        <v>0</v>
      </c>
      <c r="CC282" s="23">
        <f t="shared" si="151"/>
        <v>0</v>
      </c>
      <c r="CD282" s="23">
        <f t="shared" si="152"/>
        <v>0</v>
      </c>
      <c r="CE282" s="23">
        <f t="shared" si="153"/>
        <v>0</v>
      </c>
      <c r="CF282" s="23">
        <f t="shared" si="154"/>
        <v>0</v>
      </c>
      <c r="CG282" s="23">
        <f t="shared" si="155"/>
        <v>0</v>
      </c>
      <c r="CH282" s="23">
        <f t="shared" si="156"/>
        <v>0</v>
      </c>
      <c r="CI282" s="23">
        <f t="shared" si="157"/>
        <v>0</v>
      </c>
      <c r="CJ282" s="23">
        <f t="shared" si="158"/>
        <v>0</v>
      </c>
      <c r="CK282" s="23">
        <f t="shared" si="159"/>
        <v>0</v>
      </c>
      <c r="CL282" s="23">
        <f t="shared" si="160"/>
        <v>0</v>
      </c>
      <c r="CM282" s="23">
        <f t="shared" si="161"/>
        <v>0</v>
      </c>
      <c r="CN282" s="23">
        <f t="shared" si="162"/>
        <v>1</v>
      </c>
      <c r="CO282" s="23">
        <f t="shared" si="163"/>
        <v>1</v>
      </c>
      <c r="CP282" s="23">
        <f t="shared" si="164"/>
        <v>1</v>
      </c>
      <c r="CQ282" s="23">
        <f t="shared" si="165"/>
        <v>1</v>
      </c>
      <c r="CR282" s="23">
        <f t="shared" si="166"/>
        <v>1</v>
      </c>
      <c r="CS282" s="23">
        <f t="shared" si="167"/>
        <v>1</v>
      </c>
      <c r="CT282" s="23">
        <f t="shared" si="168"/>
        <v>1</v>
      </c>
      <c r="CU282" s="23">
        <f t="shared" si="169"/>
        <v>1</v>
      </c>
      <c r="CV282" s="23">
        <f t="shared" si="170"/>
        <v>1</v>
      </c>
    </row>
    <row r="283" spans="1:100" ht="13.5">
      <c r="A283" s="15">
        <v>222</v>
      </c>
      <c r="B283" s="38" t="s">
        <v>786</v>
      </c>
      <c r="C283" t="s">
        <v>580</v>
      </c>
      <c r="E283" t="s">
        <v>465</v>
      </c>
      <c r="F283" t="s">
        <v>581</v>
      </c>
      <c r="G283" t="s">
        <v>465</v>
      </c>
      <c r="H283" t="s">
        <v>582</v>
      </c>
      <c r="I283" s="6" t="s">
        <v>136</v>
      </c>
      <c r="J283" s="6">
        <v>0</v>
      </c>
      <c r="L283" s="15">
        <v>1</v>
      </c>
      <c r="N283" s="7">
        <v>46134</v>
      </c>
      <c r="O283" s="7">
        <v>46129</v>
      </c>
      <c r="P283" s="7">
        <v>46132</v>
      </c>
      <c r="S283" s="6" t="s">
        <v>465</v>
      </c>
      <c r="U283" s="6" t="s">
        <v>464</v>
      </c>
      <c r="V283" s="6" t="str">
        <f t="shared" si="137"/>
        <v>26/04</v>
      </c>
      <c r="W283">
        <v>1587</v>
      </c>
      <c r="AA283">
        <v>941</v>
      </c>
      <c r="AC283">
        <v>994</v>
      </c>
      <c r="AI283" s="23">
        <v>0</v>
      </c>
      <c r="AJ283" s="23">
        <v>0</v>
      </c>
      <c r="AK283" s="23">
        <v>0</v>
      </c>
      <c r="AL283" s="23">
        <v>0</v>
      </c>
      <c r="AM283" s="23">
        <v>0</v>
      </c>
      <c r="AN283" s="23">
        <v>0</v>
      </c>
      <c r="AO283" s="23">
        <v>0</v>
      </c>
      <c r="AP283" s="23">
        <v>0</v>
      </c>
      <c r="AQ283" s="23">
        <v>0</v>
      </c>
      <c r="AR283" s="23">
        <v>0</v>
      </c>
      <c r="AS283" s="23">
        <v>0</v>
      </c>
      <c r="AT283" s="23">
        <v>0</v>
      </c>
      <c r="AU283" s="23">
        <v>0</v>
      </c>
      <c r="AV283" s="23">
        <v>0</v>
      </c>
      <c r="AW283" s="23">
        <v>0</v>
      </c>
      <c r="AX283" s="23">
        <v>0</v>
      </c>
      <c r="AY283" s="23">
        <v>0</v>
      </c>
      <c r="AZ283" s="23">
        <v>0</v>
      </c>
      <c r="BA283" s="23">
        <v>0</v>
      </c>
      <c r="BB283" s="23">
        <v>0</v>
      </c>
      <c r="BC283" s="23">
        <v>0</v>
      </c>
      <c r="BD283" s="23">
        <v>0</v>
      </c>
      <c r="BE283" s="23">
        <v>0</v>
      </c>
      <c r="BF283" s="23">
        <v>0</v>
      </c>
      <c r="BG283" s="23">
        <v>1</v>
      </c>
      <c r="BH283" s="23">
        <v>1</v>
      </c>
      <c r="BI283" s="23">
        <v>1</v>
      </c>
      <c r="BJ283" s="23">
        <v>1</v>
      </c>
      <c r="BK283" s="23">
        <v>1</v>
      </c>
      <c r="BL283" s="23">
        <v>1</v>
      </c>
      <c r="BM283" s="23">
        <v>1</v>
      </c>
      <c r="BN283" s="23">
        <v>1</v>
      </c>
      <c r="BO283" s="23">
        <v>1</v>
      </c>
      <c r="BP283" s="23">
        <f t="shared" si="138"/>
        <v>0</v>
      </c>
      <c r="BQ283" s="23">
        <f t="shared" si="139"/>
        <v>0</v>
      </c>
      <c r="BR283" s="23">
        <f t="shared" si="140"/>
        <v>0</v>
      </c>
      <c r="BS283" s="23">
        <f t="shared" si="141"/>
        <v>0</v>
      </c>
      <c r="BT283" s="23">
        <f t="shared" si="142"/>
        <v>0</v>
      </c>
      <c r="BU283" s="23">
        <f t="shared" si="143"/>
        <v>0</v>
      </c>
      <c r="BV283" s="23">
        <f t="shared" si="144"/>
        <v>0</v>
      </c>
      <c r="BW283" s="23">
        <f t="shared" si="145"/>
        <v>0</v>
      </c>
      <c r="BX283" s="23">
        <f t="shared" si="146"/>
        <v>0</v>
      </c>
      <c r="BY283" s="23">
        <f t="shared" si="147"/>
        <v>0</v>
      </c>
      <c r="BZ283" s="23">
        <f t="shared" si="148"/>
        <v>0</v>
      </c>
      <c r="CA283" s="23">
        <f t="shared" si="149"/>
        <v>0</v>
      </c>
      <c r="CB283" s="23">
        <f t="shared" si="150"/>
        <v>0</v>
      </c>
      <c r="CC283" s="23">
        <f t="shared" si="151"/>
        <v>0</v>
      </c>
      <c r="CD283" s="23">
        <f t="shared" si="152"/>
        <v>0</v>
      </c>
      <c r="CE283" s="23">
        <f t="shared" si="153"/>
        <v>0</v>
      </c>
      <c r="CF283" s="23">
        <f t="shared" si="154"/>
        <v>0</v>
      </c>
      <c r="CG283" s="23">
        <f t="shared" si="155"/>
        <v>0</v>
      </c>
      <c r="CH283" s="23">
        <f t="shared" si="156"/>
        <v>0</v>
      </c>
      <c r="CI283" s="23">
        <f t="shared" si="157"/>
        <v>0</v>
      </c>
      <c r="CJ283" s="23">
        <f t="shared" si="158"/>
        <v>0</v>
      </c>
      <c r="CK283" s="23">
        <f t="shared" si="159"/>
        <v>0</v>
      </c>
      <c r="CL283" s="23">
        <f t="shared" si="160"/>
        <v>0</v>
      </c>
      <c r="CM283" s="23">
        <f t="shared" si="161"/>
        <v>0</v>
      </c>
      <c r="CN283" s="23">
        <f t="shared" si="162"/>
        <v>1</v>
      </c>
      <c r="CO283" s="23">
        <f t="shared" si="163"/>
        <v>1</v>
      </c>
      <c r="CP283" s="23">
        <f t="shared" si="164"/>
        <v>1</v>
      </c>
      <c r="CQ283" s="23">
        <f t="shared" si="165"/>
        <v>1</v>
      </c>
      <c r="CR283" s="23">
        <f t="shared" si="166"/>
        <v>1</v>
      </c>
      <c r="CS283" s="23">
        <f t="shared" si="167"/>
        <v>1</v>
      </c>
      <c r="CT283" s="23">
        <f t="shared" si="168"/>
        <v>1</v>
      </c>
      <c r="CU283" s="23">
        <f t="shared" si="169"/>
        <v>1</v>
      </c>
      <c r="CV283" s="23">
        <f t="shared" si="170"/>
        <v>1</v>
      </c>
    </row>
    <row r="284" spans="1:100" ht="13.5">
      <c r="A284" s="15">
        <v>222</v>
      </c>
      <c r="B284" s="38" t="s">
        <v>787</v>
      </c>
      <c r="C284" t="s">
        <v>580</v>
      </c>
      <c r="E284" t="s">
        <v>465</v>
      </c>
      <c r="F284" t="s">
        <v>581</v>
      </c>
      <c r="G284" t="s">
        <v>465</v>
      </c>
      <c r="H284" t="s">
        <v>582</v>
      </c>
      <c r="I284" s="6" t="s">
        <v>136</v>
      </c>
      <c r="J284" s="6">
        <v>0</v>
      </c>
      <c r="L284" s="15">
        <v>1</v>
      </c>
      <c r="N284" s="7">
        <v>46135</v>
      </c>
      <c r="O284" s="7">
        <v>46129</v>
      </c>
      <c r="P284" s="7">
        <v>46132</v>
      </c>
      <c r="S284" s="6" t="s">
        <v>465</v>
      </c>
      <c r="U284" s="6" t="s">
        <v>464</v>
      </c>
      <c r="V284" s="6" t="str">
        <f t="shared" si="137"/>
        <v>26/04</v>
      </c>
      <c r="W284">
        <v>1588</v>
      </c>
      <c r="AA284">
        <v>942</v>
      </c>
      <c r="AC284">
        <v>995</v>
      </c>
      <c r="AI284" s="23">
        <v>0</v>
      </c>
      <c r="AJ284" s="23">
        <v>0</v>
      </c>
      <c r="AK284" s="23">
        <v>0</v>
      </c>
      <c r="AL284" s="23">
        <v>0</v>
      </c>
      <c r="AM284" s="23">
        <v>0</v>
      </c>
      <c r="AN284" s="23">
        <v>0</v>
      </c>
      <c r="AO284" s="23">
        <v>0</v>
      </c>
      <c r="AP284" s="23">
        <v>0</v>
      </c>
      <c r="AQ284" s="23">
        <v>0</v>
      </c>
      <c r="AR284" s="23">
        <v>0</v>
      </c>
      <c r="AS284" s="23">
        <v>0</v>
      </c>
      <c r="AT284" s="23">
        <v>0</v>
      </c>
      <c r="AU284" s="23">
        <v>0</v>
      </c>
      <c r="AV284" s="23">
        <v>0</v>
      </c>
      <c r="AW284" s="23">
        <v>0</v>
      </c>
      <c r="AX284" s="23">
        <v>0</v>
      </c>
      <c r="AY284" s="23">
        <v>0</v>
      </c>
      <c r="AZ284" s="23">
        <v>0</v>
      </c>
      <c r="BA284" s="23">
        <v>0</v>
      </c>
      <c r="BB284" s="23">
        <v>0</v>
      </c>
      <c r="BC284" s="23">
        <v>0</v>
      </c>
      <c r="BD284" s="23">
        <v>0</v>
      </c>
      <c r="BE284" s="23">
        <v>0</v>
      </c>
      <c r="BF284" s="23">
        <v>0</v>
      </c>
      <c r="BG284" s="23">
        <v>1</v>
      </c>
      <c r="BH284" s="23">
        <v>1</v>
      </c>
      <c r="BI284" s="23">
        <v>1</v>
      </c>
      <c r="BJ284" s="23">
        <v>1</v>
      </c>
      <c r="BK284" s="23">
        <v>1</v>
      </c>
      <c r="BL284" s="23">
        <v>1</v>
      </c>
      <c r="BM284" s="23">
        <v>1</v>
      </c>
      <c r="BN284" s="23">
        <v>1</v>
      </c>
      <c r="BO284" s="23">
        <v>1</v>
      </c>
      <c r="BP284" s="23">
        <f t="shared" si="138"/>
        <v>0</v>
      </c>
      <c r="BQ284" s="23">
        <f t="shared" si="139"/>
        <v>0</v>
      </c>
      <c r="BR284" s="23">
        <f t="shared" si="140"/>
        <v>0</v>
      </c>
      <c r="BS284" s="23">
        <f t="shared" si="141"/>
        <v>0</v>
      </c>
      <c r="BT284" s="23">
        <f t="shared" si="142"/>
        <v>0</v>
      </c>
      <c r="BU284" s="23">
        <f t="shared" si="143"/>
        <v>0</v>
      </c>
      <c r="BV284" s="23">
        <f t="shared" si="144"/>
        <v>0</v>
      </c>
      <c r="BW284" s="23">
        <f t="shared" si="145"/>
        <v>0</v>
      </c>
      <c r="BX284" s="23">
        <f t="shared" si="146"/>
        <v>0</v>
      </c>
      <c r="BY284" s="23">
        <f t="shared" si="147"/>
        <v>0</v>
      </c>
      <c r="BZ284" s="23">
        <f t="shared" si="148"/>
        <v>0</v>
      </c>
      <c r="CA284" s="23">
        <f t="shared" si="149"/>
        <v>0</v>
      </c>
      <c r="CB284" s="23">
        <f t="shared" si="150"/>
        <v>0</v>
      </c>
      <c r="CC284" s="23">
        <f t="shared" si="151"/>
        <v>0</v>
      </c>
      <c r="CD284" s="23">
        <f t="shared" si="152"/>
        <v>0</v>
      </c>
      <c r="CE284" s="23">
        <f t="shared" si="153"/>
        <v>0</v>
      </c>
      <c r="CF284" s="23">
        <f t="shared" si="154"/>
        <v>0</v>
      </c>
      <c r="CG284" s="23">
        <f t="shared" si="155"/>
        <v>0</v>
      </c>
      <c r="CH284" s="23">
        <f t="shared" si="156"/>
        <v>0</v>
      </c>
      <c r="CI284" s="23">
        <f t="shared" si="157"/>
        <v>0</v>
      </c>
      <c r="CJ284" s="23">
        <f t="shared" si="158"/>
        <v>0</v>
      </c>
      <c r="CK284" s="23">
        <f t="shared" si="159"/>
        <v>0</v>
      </c>
      <c r="CL284" s="23">
        <f t="shared" si="160"/>
        <v>0</v>
      </c>
      <c r="CM284" s="23">
        <f t="shared" si="161"/>
        <v>0</v>
      </c>
      <c r="CN284" s="23">
        <f t="shared" si="162"/>
        <v>1</v>
      </c>
      <c r="CO284" s="23">
        <f t="shared" si="163"/>
        <v>1</v>
      </c>
      <c r="CP284" s="23">
        <f t="shared" si="164"/>
        <v>1</v>
      </c>
      <c r="CQ284" s="23">
        <f t="shared" si="165"/>
        <v>1</v>
      </c>
      <c r="CR284" s="23">
        <f t="shared" si="166"/>
        <v>1</v>
      </c>
      <c r="CS284" s="23">
        <f t="shared" si="167"/>
        <v>1</v>
      </c>
      <c r="CT284" s="23">
        <f t="shared" si="168"/>
        <v>1</v>
      </c>
      <c r="CU284" s="23">
        <f t="shared" si="169"/>
        <v>1</v>
      </c>
      <c r="CV284" s="23">
        <f t="shared" si="170"/>
        <v>1</v>
      </c>
    </row>
    <row r="285" spans="1:100" ht="13.5">
      <c r="A285" s="15">
        <v>222</v>
      </c>
      <c r="B285" s="38" t="s">
        <v>788</v>
      </c>
      <c r="C285" t="s">
        <v>580</v>
      </c>
      <c r="E285" t="s">
        <v>465</v>
      </c>
      <c r="F285" t="s">
        <v>581</v>
      </c>
      <c r="G285" t="s">
        <v>465</v>
      </c>
      <c r="H285" t="s">
        <v>582</v>
      </c>
      <c r="I285" s="6" t="s">
        <v>136</v>
      </c>
      <c r="J285" s="6">
        <v>0</v>
      </c>
      <c r="L285" s="15">
        <v>1</v>
      </c>
      <c r="N285" s="7">
        <v>46135</v>
      </c>
      <c r="O285" s="7">
        <v>46129</v>
      </c>
      <c r="P285" s="7">
        <v>46132</v>
      </c>
      <c r="S285" s="6" t="s">
        <v>465</v>
      </c>
      <c r="U285" s="6" t="s">
        <v>464</v>
      </c>
      <c r="V285" s="6" t="str">
        <f t="shared" si="137"/>
        <v>26/04</v>
      </c>
      <c r="W285">
        <v>1589</v>
      </c>
      <c r="AA285">
        <v>943</v>
      </c>
      <c r="AC285">
        <v>996</v>
      </c>
      <c r="AI285" s="23">
        <v>0</v>
      </c>
      <c r="AJ285" s="23">
        <v>0</v>
      </c>
      <c r="AK285" s="23">
        <v>0</v>
      </c>
      <c r="AL285" s="23">
        <v>0</v>
      </c>
      <c r="AM285" s="23">
        <v>0</v>
      </c>
      <c r="AN285" s="23">
        <v>0</v>
      </c>
      <c r="AO285" s="23">
        <v>0</v>
      </c>
      <c r="AP285" s="23">
        <v>0</v>
      </c>
      <c r="AQ285" s="23">
        <v>0</v>
      </c>
      <c r="AR285" s="23">
        <v>0</v>
      </c>
      <c r="AS285" s="23">
        <v>0</v>
      </c>
      <c r="AT285" s="23">
        <v>0</v>
      </c>
      <c r="AU285" s="23">
        <v>0</v>
      </c>
      <c r="AV285" s="23">
        <v>0</v>
      </c>
      <c r="AW285" s="23">
        <v>0</v>
      </c>
      <c r="AX285" s="23">
        <v>0</v>
      </c>
      <c r="AY285" s="23">
        <v>0</v>
      </c>
      <c r="AZ285" s="23">
        <v>0</v>
      </c>
      <c r="BA285" s="23">
        <v>0</v>
      </c>
      <c r="BB285" s="23">
        <v>0</v>
      </c>
      <c r="BC285" s="23">
        <v>0</v>
      </c>
      <c r="BD285" s="23">
        <v>0</v>
      </c>
      <c r="BE285" s="23">
        <v>0</v>
      </c>
      <c r="BF285" s="23">
        <v>0</v>
      </c>
      <c r="BG285" s="23">
        <v>1</v>
      </c>
      <c r="BH285" s="23">
        <v>1</v>
      </c>
      <c r="BI285" s="23">
        <v>1</v>
      </c>
      <c r="BJ285" s="23">
        <v>1</v>
      </c>
      <c r="BK285" s="23">
        <v>1</v>
      </c>
      <c r="BL285" s="23">
        <v>1</v>
      </c>
      <c r="BM285" s="23">
        <v>1</v>
      </c>
      <c r="BN285" s="23">
        <v>1</v>
      </c>
      <c r="BO285" s="23">
        <v>1</v>
      </c>
      <c r="BP285" s="23">
        <f t="shared" si="138"/>
        <v>0</v>
      </c>
      <c r="BQ285" s="23">
        <f t="shared" si="139"/>
        <v>0</v>
      </c>
      <c r="BR285" s="23">
        <f t="shared" si="140"/>
        <v>0</v>
      </c>
      <c r="BS285" s="23">
        <f t="shared" si="141"/>
        <v>0</v>
      </c>
      <c r="BT285" s="23">
        <f t="shared" si="142"/>
        <v>0</v>
      </c>
      <c r="BU285" s="23">
        <f t="shared" si="143"/>
        <v>0</v>
      </c>
      <c r="BV285" s="23">
        <f t="shared" si="144"/>
        <v>0</v>
      </c>
      <c r="BW285" s="23">
        <f t="shared" si="145"/>
        <v>0</v>
      </c>
      <c r="BX285" s="23">
        <f t="shared" si="146"/>
        <v>0</v>
      </c>
      <c r="BY285" s="23">
        <f t="shared" si="147"/>
        <v>0</v>
      </c>
      <c r="BZ285" s="23">
        <f t="shared" si="148"/>
        <v>0</v>
      </c>
      <c r="CA285" s="23">
        <f t="shared" si="149"/>
        <v>0</v>
      </c>
      <c r="CB285" s="23">
        <f t="shared" si="150"/>
        <v>0</v>
      </c>
      <c r="CC285" s="23">
        <f t="shared" si="151"/>
        <v>0</v>
      </c>
      <c r="CD285" s="23">
        <f t="shared" si="152"/>
        <v>0</v>
      </c>
      <c r="CE285" s="23">
        <f t="shared" si="153"/>
        <v>0</v>
      </c>
      <c r="CF285" s="23">
        <f t="shared" si="154"/>
        <v>0</v>
      </c>
      <c r="CG285" s="23">
        <f t="shared" si="155"/>
        <v>0</v>
      </c>
      <c r="CH285" s="23">
        <f t="shared" si="156"/>
        <v>0</v>
      </c>
      <c r="CI285" s="23">
        <f t="shared" si="157"/>
        <v>0</v>
      </c>
      <c r="CJ285" s="23">
        <f t="shared" si="158"/>
        <v>0</v>
      </c>
      <c r="CK285" s="23">
        <f t="shared" si="159"/>
        <v>0</v>
      </c>
      <c r="CL285" s="23">
        <f t="shared" si="160"/>
        <v>0</v>
      </c>
      <c r="CM285" s="23">
        <f t="shared" si="161"/>
        <v>0</v>
      </c>
      <c r="CN285" s="23">
        <f t="shared" si="162"/>
        <v>1</v>
      </c>
      <c r="CO285" s="23">
        <f t="shared" si="163"/>
        <v>1</v>
      </c>
      <c r="CP285" s="23">
        <f t="shared" si="164"/>
        <v>1</v>
      </c>
      <c r="CQ285" s="23">
        <f t="shared" si="165"/>
        <v>1</v>
      </c>
      <c r="CR285" s="23">
        <f t="shared" si="166"/>
        <v>1</v>
      </c>
      <c r="CS285" s="23">
        <f t="shared" si="167"/>
        <v>1</v>
      </c>
      <c r="CT285" s="23">
        <f t="shared" si="168"/>
        <v>1</v>
      </c>
      <c r="CU285" s="23">
        <f t="shared" si="169"/>
        <v>1</v>
      </c>
      <c r="CV285" s="23">
        <f t="shared" si="170"/>
        <v>1</v>
      </c>
    </row>
    <row r="286" spans="1:100" ht="13.5">
      <c r="A286" s="15">
        <v>222</v>
      </c>
      <c r="B286" s="38" t="s">
        <v>789</v>
      </c>
      <c r="C286" t="s">
        <v>580</v>
      </c>
      <c r="E286" t="s">
        <v>465</v>
      </c>
      <c r="F286" t="s">
        <v>581</v>
      </c>
      <c r="G286" t="s">
        <v>465</v>
      </c>
      <c r="H286" t="s">
        <v>582</v>
      </c>
      <c r="I286" s="6" t="s">
        <v>136</v>
      </c>
      <c r="J286" s="6">
        <v>0</v>
      </c>
      <c r="L286" s="15">
        <v>1</v>
      </c>
      <c r="N286" s="7">
        <v>46135</v>
      </c>
      <c r="O286" s="7">
        <v>46129</v>
      </c>
      <c r="P286" s="7">
        <v>46132</v>
      </c>
      <c r="S286" s="6" t="s">
        <v>465</v>
      </c>
      <c r="U286" s="6" t="s">
        <v>464</v>
      </c>
      <c r="V286" s="6" t="str">
        <f t="shared" si="137"/>
        <v>26/04</v>
      </c>
      <c r="W286">
        <v>1590</v>
      </c>
      <c r="AA286">
        <v>944</v>
      </c>
      <c r="AC286">
        <v>997</v>
      </c>
      <c r="AI286" s="23">
        <v>0</v>
      </c>
      <c r="AJ286" s="23">
        <v>0</v>
      </c>
      <c r="AK286" s="23">
        <v>0</v>
      </c>
      <c r="AL286" s="23">
        <v>0</v>
      </c>
      <c r="AM286" s="23">
        <v>0</v>
      </c>
      <c r="AN286" s="23">
        <v>0</v>
      </c>
      <c r="AO286" s="23">
        <v>0</v>
      </c>
      <c r="AP286" s="23">
        <v>0</v>
      </c>
      <c r="AQ286" s="23">
        <v>0</v>
      </c>
      <c r="AR286" s="23">
        <v>0</v>
      </c>
      <c r="AS286" s="23">
        <v>0</v>
      </c>
      <c r="AT286" s="23">
        <v>0</v>
      </c>
      <c r="AU286" s="23">
        <v>0</v>
      </c>
      <c r="AV286" s="23">
        <v>0</v>
      </c>
      <c r="AW286" s="23">
        <v>0</v>
      </c>
      <c r="AX286" s="23">
        <v>0</v>
      </c>
      <c r="AY286" s="23">
        <v>0</v>
      </c>
      <c r="AZ286" s="23">
        <v>0</v>
      </c>
      <c r="BA286" s="23">
        <v>0</v>
      </c>
      <c r="BB286" s="23">
        <v>0</v>
      </c>
      <c r="BC286" s="23">
        <v>0</v>
      </c>
      <c r="BD286" s="23">
        <v>0</v>
      </c>
      <c r="BE286" s="23">
        <v>0</v>
      </c>
      <c r="BF286" s="23">
        <v>0</v>
      </c>
      <c r="BG286" s="23">
        <v>1</v>
      </c>
      <c r="BH286" s="23">
        <v>1</v>
      </c>
      <c r="BI286" s="23">
        <v>1</v>
      </c>
      <c r="BJ286" s="23">
        <v>1</v>
      </c>
      <c r="BK286" s="23">
        <v>1</v>
      </c>
      <c r="BL286" s="23">
        <v>1</v>
      </c>
      <c r="BM286" s="23">
        <v>1</v>
      </c>
      <c r="BN286" s="23">
        <v>1</v>
      </c>
      <c r="BO286" s="23">
        <v>1</v>
      </c>
      <c r="BP286" s="23">
        <f t="shared" si="138"/>
        <v>0</v>
      </c>
      <c r="BQ286" s="23">
        <f t="shared" si="139"/>
        <v>0</v>
      </c>
      <c r="BR286" s="23">
        <f t="shared" si="140"/>
        <v>0</v>
      </c>
      <c r="BS286" s="23">
        <f t="shared" si="141"/>
        <v>0</v>
      </c>
      <c r="BT286" s="23">
        <f t="shared" si="142"/>
        <v>0</v>
      </c>
      <c r="BU286" s="23">
        <f t="shared" si="143"/>
        <v>0</v>
      </c>
      <c r="BV286" s="23">
        <f t="shared" si="144"/>
        <v>0</v>
      </c>
      <c r="BW286" s="23">
        <f t="shared" si="145"/>
        <v>0</v>
      </c>
      <c r="BX286" s="23">
        <f t="shared" si="146"/>
        <v>0</v>
      </c>
      <c r="BY286" s="23">
        <f t="shared" si="147"/>
        <v>0</v>
      </c>
      <c r="BZ286" s="23">
        <f t="shared" si="148"/>
        <v>0</v>
      </c>
      <c r="CA286" s="23">
        <f t="shared" si="149"/>
        <v>0</v>
      </c>
      <c r="CB286" s="23">
        <f t="shared" si="150"/>
        <v>0</v>
      </c>
      <c r="CC286" s="23">
        <f t="shared" si="151"/>
        <v>0</v>
      </c>
      <c r="CD286" s="23">
        <f t="shared" si="152"/>
        <v>0</v>
      </c>
      <c r="CE286" s="23">
        <f t="shared" si="153"/>
        <v>0</v>
      </c>
      <c r="CF286" s="23">
        <f t="shared" si="154"/>
        <v>0</v>
      </c>
      <c r="CG286" s="23">
        <f t="shared" si="155"/>
        <v>0</v>
      </c>
      <c r="CH286" s="23">
        <f t="shared" si="156"/>
        <v>0</v>
      </c>
      <c r="CI286" s="23">
        <f t="shared" si="157"/>
        <v>0</v>
      </c>
      <c r="CJ286" s="23">
        <f t="shared" si="158"/>
        <v>0</v>
      </c>
      <c r="CK286" s="23">
        <f t="shared" si="159"/>
        <v>0</v>
      </c>
      <c r="CL286" s="23">
        <f t="shared" si="160"/>
        <v>0</v>
      </c>
      <c r="CM286" s="23">
        <f t="shared" si="161"/>
        <v>0</v>
      </c>
      <c r="CN286" s="23">
        <f t="shared" si="162"/>
        <v>1</v>
      </c>
      <c r="CO286" s="23">
        <f t="shared" si="163"/>
        <v>1</v>
      </c>
      <c r="CP286" s="23">
        <f t="shared" si="164"/>
        <v>1</v>
      </c>
      <c r="CQ286" s="23">
        <f t="shared" si="165"/>
        <v>1</v>
      </c>
      <c r="CR286" s="23">
        <f t="shared" si="166"/>
        <v>1</v>
      </c>
      <c r="CS286" s="23">
        <f t="shared" si="167"/>
        <v>1</v>
      </c>
      <c r="CT286" s="23">
        <f t="shared" si="168"/>
        <v>1</v>
      </c>
      <c r="CU286" s="23">
        <f t="shared" si="169"/>
        <v>1</v>
      </c>
      <c r="CV286" s="23">
        <f t="shared" si="170"/>
        <v>1</v>
      </c>
    </row>
    <row r="287" spans="1:100" ht="13.5">
      <c r="A287" s="15">
        <v>222</v>
      </c>
      <c r="B287" s="38" t="s">
        <v>790</v>
      </c>
      <c r="C287" t="s">
        <v>580</v>
      </c>
      <c r="E287" t="s">
        <v>465</v>
      </c>
      <c r="F287" t="s">
        <v>581</v>
      </c>
      <c r="G287" t="s">
        <v>465</v>
      </c>
      <c r="H287" t="s">
        <v>582</v>
      </c>
      <c r="I287" s="6" t="s">
        <v>136</v>
      </c>
      <c r="J287" s="6">
        <v>0</v>
      </c>
      <c r="L287" s="15">
        <v>1</v>
      </c>
      <c r="N287" s="7">
        <v>46135</v>
      </c>
      <c r="O287" s="7">
        <v>46129</v>
      </c>
      <c r="P287" s="7">
        <v>46132</v>
      </c>
      <c r="S287" s="6" t="s">
        <v>465</v>
      </c>
      <c r="U287" s="6" t="s">
        <v>464</v>
      </c>
      <c r="V287" s="6" t="str">
        <f t="shared" si="137"/>
        <v>26/04</v>
      </c>
      <c r="W287">
        <v>1591</v>
      </c>
      <c r="AA287">
        <v>945</v>
      </c>
      <c r="AC287">
        <v>998</v>
      </c>
      <c r="AI287" s="23">
        <v>0</v>
      </c>
      <c r="AJ287" s="23">
        <v>0</v>
      </c>
      <c r="AK287" s="23">
        <v>0</v>
      </c>
      <c r="AL287" s="23">
        <v>0</v>
      </c>
      <c r="AM287" s="23">
        <v>0</v>
      </c>
      <c r="AN287" s="23">
        <v>0</v>
      </c>
      <c r="AO287" s="23">
        <v>0</v>
      </c>
      <c r="AP287" s="23">
        <v>0</v>
      </c>
      <c r="AQ287" s="23">
        <v>0</v>
      </c>
      <c r="AR287" s="23">
        <v>0</v>
      </c>
      <c r="AS287" s="23">
        <v>0</v>
      </c>
      <c r="AT287" s="23">
        <v>0</v>
      </c>
      <c r="AU287" s="23">
        <v>0</v>
      </c>
      <c r="AV287" s="23">
        <v>0</v>
      </c>
      <c r="AW287" s="23">
        <v>0</v>
      </c>
      <c r="AX287" s="23">
        <v>0</v>
      </c>
      <c r="AY287" s="23">
        <v>0</v>
      </c>
      <c r="AZ287" s="23">
        <v>0</v>
      </c>
      <c r="BA287" s="23">
        <v>0</v>
      </c>
      <c r="BB287" s="23">
        <v>0</v>
      </c>
      <c r="BC287" s="23">
        <v>0</v>
      </c>
      <c r="BD287" s="23">
        <v>0</v>
      </c>
      <c r="BE287" s="23">
        <v>0</v>
      </c>
      <c r="BF287" s="23">
        <v>0</v>
      </c>
      <c r="BG287" s="23">
        <v>1</v>
      </c>
      <c r="BH287" s="23">
        <v>1</v>
      </c>
      <c r="BI287" s="23">
        <v>1</v>
      </c>
      <c r="BJ287" s="23">
        <v>1</v>
      </c>
      <c r="BK287" s="23">
        <v>1</v>
      </c>
      <c r="BL287" s="23">
        <v>1</v>
      </c>
      <c r="BM287" s="23">
        <v>1</v>
      </c>
      <c r="BN287" s="23">
        <v>1</v>
      </c>
      <c r="BO287" s="23">
        <v>1</v>
      </c>
      <c r="BP287" s="23">
        <f t="shared" si="138"/>
        <v>0</v>
      </c>
      <c r="BQ287" s="23">
        <f t="shared" si="139"/>
        <v>0</v>
      </c>
      <c r="BR287" s="23">
        <f t="shared" si="140"/>
        <v>0</v>
      </c>
      <c r="BS287" s="23">
        <f t="shared" si="141"/>
        <v>0</v>
      </c>
      <c r="BT287" s="23">
        <f t="shared" si="142"/>
        <v>0</v>
      </c>
      <c r="BU287" s="23">
        <f t="shared" si="143"/>
        <v>0</v>
      </c>
      <c r="BV287" s="23">
        <f t="shared" si="144"/>
        <v>0</v>
      </c>
      <c r="BW287" s="23">
        <f t="shared" si="145"/>
        <v>0</v>
      </c>
      <c r="BX287" s="23">
        <f t="shared" si="146"/>
        <v>0</v>
      </c>
      <c r="BY287" s="23">
        <f t="shared" si="147"/>
        <v>0</v>
      </c>
      <c r="BZ287" s="23">
        <f t="shared" si="148"/>
        <v>0</v>
      </c>
      <c r="CA287" s="23">
        <f t="shared" si="149"/>
        <v>0</v>
      </c>
      <c r="CB287" s="23">
        <f t="shared" si="150"/>
        <v>0</v>
      </c>
      <c r="CC287" s="23">
        <f t="shared" si="151"/>
        <v>0</v>
      </c>
      <c r="CD287" s="23">
        <f t="shared" si="152"/>
        <v>0</v>
      </c>
      <c r="CE287" s="23">
        <f t="shared" si="153"/>
        <v>0</v>
      </c>
      <c r="CF287" s="23">
        <f t="shared" si="154"/>
        <v>0</v>
      </c>
      <c r="CG287" s="23">
        <f t="shared" si="155"/>
        <v>0</v>
      </c>
      <c r="CH287" s="23">
        <f t="shared" si="156"/>
        <v>0</v>
      </c>
      <c r="CI287" s="23">
        <f t="shared" si="157"/>
        <v>0</v>
      </c>
      <c r="CJ287" s="23">
        <f t="shared" si="158"/>
        <v>0</v>
      </c>
      <c r="CK287" s="23">
        <f t="shared" si="159"/>
        <v>0</v>
      </c>
      <c r="CL287" s="23">
        <f t="shared" si="160"/>
        <v>0</v>
      </c>
      <c r="CM287" s="23">
        <f t="shared" si="161"/>
        <v>0</v>
      </c>
      <c r="CN287" s="23">
        <f t="shared" si="162"/>
        <v>1</v>
      </c>
      <c r="CO287" s="23">
        <f t="shared" si="163"/>
        <v>1</v>
      </c>
      <c r="CP287" s="23">
        <f t="shared" si="164"/>
        <v>1</v>
      </c>
      <c r="CQ287" s="23">
        <f t="shared" si="165"/>
        <v>1</v>
      </c>
      <c r="CR287" s="23">
        <f t="shared" si="166"/>
        <v>1</v>
      </c>
      <c r="CS287" s="23">
        <f t="shared" si="167"/>
        <v>1</v>
      </c>
      <c r="CT287" s="23">
        <f t="shared" si="168"/>
        <v>1</v>
      </c>
      <c r="CU287" s="23">
        <f t="shared" si="169"/>
        <v>1</v>
      </c>
      <c r="CV287" s="23">
        <f t="shared" si="170"/>
        <v>1</v>
      </c>
    </row>
    <row r="288" spans="1:100" ht="13.5">
      <c r="A288" s="15">
        <v>222</v>
      </c>
      <c r="B288" s="38" t="s">
        <v>791</v>
      </c>
      <c r="C288" t="s">
        <v>580</v>
      </c>
      <c r="E288" t="s">
        <v>465</v>
      </c>
      <c r="F288" t="s">
        <v>581</v>
      </c>
      <c r="G288" t="s">
        <v>465</v>
      </c>
      <c r="H288" t="s">
        <v>582</v>
      </c>
      <c r="I288" s="6" t="s">
        <v>136</v>
      </c>
      <c r="J288" s="6">
        <v>0</v>
      </c>
      <c r="L288" s="15">
        <v>1</v>
      </c>
      <c r="N288" s="7">
        <v>46135</v>
      </c>
      <c r="O288" s="7">
        <v>46129</v>
      </c>
      <c r="P288" s="7">
        <v>46132</v>
      </c>
      <c r="S288" s="6" t="s">
        <v>465</v>
      </c>
      <c r="U288" s="6" t="s">
        <v>464</v>
      </c>
      <c r="V288" s="6" t="str">
        <f t="shared" si="137"/>
        <v>26/04</v>
      </c>
      <c r="W288">
        <v>1592</v>
      </c>
      <c r="AA288">
        <v>946</v>
      </c>
      <c r="AC288">
        <v>999</v>
      </c>
      <c r="AI288" s="23">
        <v>0</v>
      </c>
      <c r="AJ288" s="23">
        <v>0</v>
      </c>
      <c r="AK288" s="23">
        <v>0</v>
      </c>
      <c r="AL288" s="23">
        <v>0</v>
      </c>
      <c r="AM288" s="23">
        <v>0</v>
      </c>
      <c r="AN288" s="23">
        <v>0</v>
      </c>
      <c r="AO288" s="23">
        <v>0</v>
      </c>
      <c r="AP288" s="23">
        <v>0</v>
      </c>
      <c r="AQ288" s="23">
        <v>0</v>
      </c>
      <c r="AR288" s="23">
        <v>0</v>
      </c>
      <c r="AS288" s="23">
        <v>0</v>
      </c>
      <c r="AT288" s="23">
        <v>0</v>
      </c>
      <c r="AU288" s="23">
        <v>0</v>
      </c>
      <c r="AV288" s="23">
        <v>0</v>
      </c>
      <c r="AW288" s="23">
        <v>0</v>
      </c>
      <c r="AX288" s="23">
        <v>0</v>
      </c>
      <c r="AY288" s="23">
        <v>0</v>
      </c>
      <c r="AZ288" s="23">
        <v>0</v>
      </c>
      <c r="BA288" s="23">
        <v>0</v>
      </c>
      <c r="BB288" s="23">
        <v>0</v>
      </c>
      <c r="BC288" s="23">
        <v>0</v>
      </c>
      <c r="BD288" s="23">
        <v>0</v>
      </c>
      <c r="BE288" s="23">
        <v>0</v>
      </c>
      <c r="BF288" s="23">
        <v>0</v>
      </c>
      <c r="BG288" s="23">
        <v>1</v>
      </c>
      <c r="BH288" s="23">
        <v>1</v>
      </c>
      <c r="BI288" s="23">
        <v>1</v>
      </c>
      <c r="BJ288" s="23">
        <v>1</v>
      </c>
      <c r="BK288" s="23">
        <v>1</v>
      </c>
      <c r="BL288" s="23">
        <v>1</v>
      </c>
      <c r="BM288" s="23">
        <v>1</v>
      </c>
      <c r="BN288" s="23">
        <v>1</v>
      </c>
      <c r="BO288" s="23">
        <v>1</v>
      </c>
      <c r="BP288" s="23">
        <f t="shared" si="138"/>
        <v>0</v>
      </c>
      <c r="BQ288" s="23">
        <f t="shared" si="139"/>
        <v>0</v>
      </c>
      <c r="BR288" s="23">
        <f t="shared" si="140"/>
        <v>0</v>
      </c>
      <c r="BS288" s="23">
        <f t="shared" si="141"/>
        <v>0</v>
      </c>
      <c r="BT288" s="23">
        <f t="shared" si="142"/>
        <v>0</v>
      </c>
      <c r="BU288" s="23">
        <f t="shared" si="143"/>
        <v>0</v>
      </c>
      <c r="BV288" s="23">
        <f t="shared" si="144"/>
        <v>0</v>
      </c>
      <c r="BW288" s="23">
        <f t="shared" si="145"/>
        <v>0</v>
      </c>
      <c r="BX288" s="23">
        <f t="shared" si="146"/>
        <v>0</v>
      </c>
      <c r="BY288" s="23">
        <f t="shared" si="147"/>
        <v>0</v>
      </c>
      <c r="BZ288" s="23">
        <f t="shared" si="148"/>
        <v>0</v>
      </c>
      <c r="CA288" s="23">
        <f t="shared" si="149"/>
        <v>0</v>
      </c>
      <c r="CB288" s="23">
        <f t="shared" si="150"/>
        <v>0</v>
      </c>
      <c r="CC288" s="23">
        <f t="shared" si="151"/>
        <v>0</v>
      </c>
      <c r="CD288" s="23">
        <f t="shared" si="152"/>
        <v>0</v>
      </c>
      <c r="CE288" s="23">
        <f t="shared" si="153"/>
        <v>0</v>
      </c>
      <c r="CF288" s="23">
        <f t="shared" si="154"/>
        <v>0</v>
      </c>
      <c r="CG288" s="23">
        <f t="shared" si="155"/>
        <v>0</v>
      </c>
      <c r="CH288" s="23">
        <f t="shared" si="156"/>
        <v>0</v>
      </c>
      <c r="CI288" s="23">
        <f t="shared" si="157"/>
        <v>0</v>
      </c>
      <c r="CJ288" s="23">
        <f t="shared" si="158"/>
        <v>0</v>
      </c>
      <c r="CK288" s="23">
        <f t="shared" si="159"/>
        <v>0</v>
      </c>
      <c r="CL288" s="23">
        <f t="shared" si="160"/>
        <v>0</v>
      </c>
      <c r="CM288" s="23">
        <f t="shared" si="161"/>
        <v>0</v>
      </c>
      <c r="CN288" s="23">
        <f t="shared" si="162"/>
        <v>1</v>
      </c>
      <c r="CO288" s="23">
        <f t="shared" si="163"/>
        <v>1</v>
      </c>
      <c r="CP288" s="23">
        <f t="shared" si="164"/>
        <v>1</v>
      </c>
      <c r="CQ288" s="23">
        <f t="shared" si="165"/>
        <v>1</v>
      </c>
      <c r="CR288" s="23">
        <f t="shared" si="166"/>
        <v>1</v>
      </c>
      <c r="CS288" s="23">
        <f t="shared" si="167"/>
        <v>1</v>
      </c>
      <c r="CT288" s="23">
        <f t="shared" si="168"/>
        <v>1</v>
      </c>
      <c r="CU288" s="23">
        <f t="shared" si="169"/>
        <v>1</v>
      </c>
      <c r="CV288" s="23">
        <f t="shared" si="170"/>
        <v>1</v>
      </c>
    </row>
    <row r="289" spans="1:100" ht="13.5">
      <c r="A289" s="15">
        <v>222</v>
      </c>
      <c r="B289" s="38" t="s">
        <v>792</v>
      </c>
      <c r="C289" t="s">
        <v>580</v>
      </c>
      <c r="E289" t="s">
        <v>465</v>
      </c>
      <c r="F289" t="s">
        <v>581</v>
      </c>
      <c r="G289" t="s">
        <v>465</v>
      </c>
      <c r="H289" t="s">
        <v>582</v>
      </c>
      <c r="I289" s="6" t="s">
        <v>136</v>
      </c>
      <c r="J289" s="6">
        <v>0</v>
      </c>
      <c r="L289" s="15">
        <v>1</v>
      </c>
      <c r="N289" s="7">
        <v>46135</v>
      </c>
      <c r="O289" s="7">
        <v>46129</v>
      </c>
      <c r="P289" s="7">
        <v>46132</v>
      </c>
      <c r="S289" s="6" t="s">
        <v>465</v>
      </c>
      <c r="U289" s="6" t="s">
        <v>464</v>
      </c>
      <c r="V289" s="6" t="str">
        <f t="shared" si="137"/>
        <v>26/04</v>
      </c>
      <c r="W289">
        <v>1593</v>
      </c>
      <c r="AA289">
        <v>947</v>
      </c>
      <c r="AC289">
        <v>1000</v>
      </c>
      <c r="AI289" s="23">
        <v>0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23">
        <v>0</v>
      </c>
      <c r="AP289" s="23">
        <v>0</v>
      </c>
      <c r="AQ289" s="23">
        <v>0</v>
      </c>
      <c r="AR289" s="23">
        <v>0</v>
      </c>
      <c r="AS289" s="23">
        <v>0</v>
      </c>
      <c r="AT289" s="23">
        <v>0</v>
      </c>
      <c r="AU289" s="23">
        <v>0</v>
      </c>
      <c r="AV289" s="23">
        <v>0</v>
      </c>
      <c r="AW289" s="23">
        <v>0</v>
      </c>
      <c r="AX289" s="23">
        <v>0</v>
      </c>
      <c r="AY289" s="23">
        <v>0</v>
      </c>
      <c r="AZ289" s="23">
        <v>0</v>
      </c>
      <c r="BA289" s="23">
        <v>0</v>
      </c>
      <c r="BB289" s="23">
        <v>0</v>
      </c>
      <c r="BC289" s="23">
        <v>0</v>
      </c>
      <c r="BD289" s="23">
        <v>0</v>
      </c>
      <c r="BE289" s="23">
        <v>0</v>
      </c>
      <c r="BF289" s="23">
        <v>0</v>
      </c>
      <c r="BG289" s="23">
        <v>1</v>
      </c>
      <c r="BH289" s="23">
        <v>1</v>
      </c>
      <c r="BI289" s="23">
        <v>1</v>
      </c>
      <c r="BJ289" s="23">
        <v>1</v>
      </c>
      <c r="BK289" s="23">
        <v>1</v>
      </c>
      <c r="BL289" s="23">
        <v>1</v>
      </c>
      <c r="BM289" s="23">
        <v>1</v>
      </c>
      <c r="BN289" s="23">
        <v>1</v>
      </c>
      <c r="BO289" s="23">
        <v>1</v>
      </c>
      <c r="BP289" s="23">
        <f t="shared" si="138"/>
        <v>0</v>
      </c>
      <c r="BQ289" s="23">
        <f t="shared" si="139"/>
        <v>0</v>
      </c>
      <c r="BR289" s="23">
        <f t="shared" si="140"/>
        <v>0</v>
      </c>
      <c r="BS289" s="23">
        <f t="shared" si="141"/>
        <v>0</v>
      </c>
      <c r="BT289" s="23">
        <f t="shared" si="142"/>
        <v>0</v>
      </c>
      <c r="BU289" s="23">
        <f t="shared" si="143"/>
        <v>0</v>
      </c>
      <c r="BV289" s="23">
        <f t="shared" si="144"/>
        <v>0</v>
      </c>
      <c r="BW289" s="23">
        <f t="shared" si="145"/>
        <v>0</v>
      </c>
      <c r="BX289" s="23">
        <f t="shared" si="146"/>
        <v>0</v>
      </c>
      <c r="BY289" s="23">
        <f t="shared" si="147"/>
        <v>0</v>
      </c>
      <c r="BZ289" s="23">
        <f t="shared" si="148"/>
        <v>0</v>
      </c>
      <c r="CA289" s="23">
        <f t="shared" si="149"/>
        <v>0</v>
      </c>
      <c r="CB289" s="23">
        <f t="shared" si="150"/>
        <v>0</v>
      </c>
      <c r="CC289" s="23">
        <f t="shared" si="151"/>
        <v>0</v>
      </c>
      <c r="CD289" s="23">
        <f t="shared" si="152"/>
        <v>0</v>
      </c>
      <c r="CE289" s="23">
        <f t="shared" si="153"/>
        <v>0</v>
      </c>
      <c r="CF289" s="23">
        <f t="shared" si="154"/>
        <v>0</v>
      </c>
      <c r="CG289" s="23">
        <f t="shared" si="155"/>
        <v>0</v>
      </c>
      <c r="CH289" s="23">
        <f t="shared" si="156"/>
        <v>0</v>
      </c>
      <c r="CI289" s="23">
        <f t="shared" si="157"/>
        <v>0</v>
      </c>
      <c r="CJ289" s="23">
        <f t="shared" si="158"/>
        <v>0</v>
      </c>
      <c r="CK289" s="23">
        <f t="shared" si="159"/>
        <v>0</v>
      </c>
      <c r="CL289" s="23">
        <f t="shared" si="160"/>
        <v>0</v>
      </c>
      <c r="CM289" s="23">
        <f t="shared" si="161"/>
        <v>0</v>
      </c>
      <c r="CN289" s="23">
        <f t="shared" si="162"/>
        <v>1</v>
      </c>
      <c r="CO289" s="23">
        <f t="shared" si="163"/>
        <v>1</v>
      </c>
      <c r="CP289" s="23">
        <f t="shared" si="164"/>
        <v>1</v>
      </c>
      <c r="CQ289" s="23">
        <f t="shared" si="165"/>
        <v>1</v>
      </c>
      <c r="CR289" s="23">
        <f t="shared" si="166"/>
        <v>1</v>
      </c>
      <c r="CS289" s="23">
        <f t="shared" si="167"/>
        <v>1</v>
      </c>
      <c r="CT289" s="23">
        <f t="shared" si="168"/>
        <v>1</v>
      </c>
      <c r="CU289" s="23">
        <f t="shared" si="169"/>
        <v>1</v>
      </c>
      <c r="CV289" s="23">
        <f t="shared" si="170"/>
        <v>1</v>
      </c>
    </row>
    <row r="290" spans="1:100" ht="13.5">
      <c r="A290" s="15">
        <v>222</v>
      </c>
      <c r="B290" s="38" t="s">
        <v>793</v>
      </c>
      <c r="C290" t="s">
        <v>580</v>
      </c>
      <c r="E290" t="s">
        <v>465</v>
      </c>
      <c r="F290" t="s">
        <v>581</v>
      </c>
      <c r="G290" t="s">
        <v>465</v>
      </c>
      <c r="H290" t="s">
        <v>582</v>
      </c>
      <c r="I290" s="6" t="s">
        <v>136</v>
      </c>
      <c r="J290" s="6">
        <v>0</v>
      </c>
      <c r="L290" s="15">
        <v>1</v>
      </c>
      <c r="N290" s="7">
        <v>46136</v>
      </c>
      <c r="O290" s="7">
        <v>46129</v>
      </c>
      <c r="P290" s="7">
        <v>46132</v>
      </c>
      <c r="S290" s="6" t="s">
        <v>465</v>
      </c>
      <c r="U290" s="6" t="s">
        <v>464</v>
      </c>
      <c r="V290" s="6" t="str">
        <f t="shared" si="137"/>
        <v>26/04</v>
      </c>
      <c r="W290">
        <v>1594</v>
      </c>
      <c r="AA290">
        <v>948</v>
      </c>
      <c r="AC290">
        <v>1001</v>
      </c>
      <c r="AI290" s="23">
        <v>0</v>
      </c>
      <c r="AJ290" s="23">
        <v>0</v>
      </c>
      <c r="AK290" s="23">
        <v>0</v>
      </c>
      <c r="AL290" s="23">
        <v>0</v>
      </c>
      <c r="AM290" s="23">
        <v>0</v>
      </c>
      <c r="AN290" s="23">
        <v>0</v>
      </c>
      <c r="AO290" s="23">
        <v>0</v>
      </c>
      <c r="AP290" s="23">
        <v>0</v>
      </c>
      <c r="AQ290" s="23">
        <v>0</v>
      </c>
      <c r="AR290" s="23">
        <v>0</v>
      </c>
      <c r="AS290" s="23">
        <v>0</v>
      </c>
      <c r="AT290" s="23">
        <v>0</v>
      </c>
      <c r="AU290" s="23">
        <v>0</v>
      </c>
      <c r="AV290" s="23">
        <v>0</v>
      </c>
      <c r="AW290" s="23">
        <v>0</v>
      </c>
      <c r="AX290" s="23">
        <v>0</v>
      </c>
      <c r="AY290" s="23">
        <v>0</v>
      </c>
      <c r="AZ290" s="23">
        <v>0</v>
      </c>
      <c r="BA290" s="23">
        <v>0</v>
      </c>
      <c r="BB290" s="23">
        <v>0</v>
      </c>
      <c r="BC290" s="23">
        <v>0</v>
      </c>
      <c r="BD290" s="23">
        <v>0</v>
      </c>
      <c r="BE290" s="23">
        <v>0</v>
      </c>
      <c r="BF290" s="23">
        <v>0</v>
      </c>
      <c r="BG290" s="23">
        <v>1</v>
      </c>
      <c r="BH290" s="23">
        <v>1</v>
      </c>
      <c r="BI290" s="23">
        <v>1</v>
      </c>
      <c r="BJ290" s="23">
        <v>1</v>
      </c>
      <c r="BK290" s="23">
        <v>1</v>
      </c>
      <c r="BL290" s="23">
        <v>1</v>
      </c>
      <c r="BM290" s="23">
        <v>1</v>
      </c>
      <c r="BN290" s="23">
        <v>1</v>
      </c>
      <c r="BO290" s="23">
        <v>1</v>
      </c>
      <c r="BP290" s="23">
        <f t="shared" si="138"/>
        <v>0</v>
      </c>
      <c r="BQ290" s="23">
        <f t="shared" si="139"/>
        <v>0</v>
      </c>
      <c r="BR290" s="23">
        <f t="shared" si="140"/>
        <v>0</v>
      </c>
      <c r="BS290" s="23">
        <f t="shared" si="141"/>
        <v>0</v>
      </c>
      <c r="BT290" s="23">
        <f t="shared" si="142"/>
        <v>0</v>
      </c>
      <c r="BU290" s="23">
        <f t="shared" si="143"/>
        <v>0</v>
      </c>
      <c r="BV290" s="23">
        <f t="shared" si="144"/>
        <v>0</v>
      </c>
      <c r="BW290" s="23">
        <f t="shared" si="145"/>
        <v>0</v>
      </c>
      <c r="BX290" s="23">
        <f t="shared" si="146"/>
        <v>0</v>
      </c>
      <c r="BY290" s="23">
        <f t="shared" si="147"/>
        <v>0</v>
      </c>
      <c r="BZ290" s="23">
        <f t="shared" si="148"/>
        <v>0</v>
      </c>
      <c r="CA290" s="23">
        <f t="shared" si="149"/>
        <v>0</v>
      </c>
      <c r="CB290" s="23">
        <f t="shared" si="150"/>
        <v>0</v>
      </c>
      <c r="CC290" s="23">
        <f t="shared" si="151"/>
        <v>0</v>
      </c>
      <c r="CD290" s="23">
        <f t="shared" si="152"/>
        <v>0</v>
      </c>
      <c r="CE290" s="23">
        <f t="shared" si="153"/>
        <v>0</v>
      </c>
      <c r="CF290" s="23">
        <f t="shared" si="154"/>
        <v>0</v>
      </c>
      <c r="CG290" s="23">
        <f t="shared" si="155"/>
        <v>0</v>
      </c>
      <c r="CH290" s="23">
        <f t="shared" si="156"/>
        <v>0</v>
      </c>
      <c r="CI290" s="23">
        <f t="shared" si="157"/>
        <v>0</v>
      </c>
      <c r="CJ290" s="23">
        <f t="shared" si="158"/>
        <v>0</v>
      </c>
      <c r="CK290" s="23">
        <f t="shared" si="159"/>
        <v>0</v>
      </c>
      <c r="CL290" s="23">
        <f t="shared" si="160"/>
        <v>0</v>
      </c>
      <c r="CM290" s="23">
        <f t="shared" si="161"/>
        <v>0</v>
      </c>
      <c r="CN290" s="23">
        <f t="shared" si="162"/>
        <v>1</v>
      </c>
      <c r="CO290" s="23">
        <f t="shared" si="163"/>
        <v>1</v>
      </c>
      <c r="CP290" s="23">
        <f t="shared" si="164"/>
        <v>1</v>
      </c>
      <c r="CQ290" s="23">
        <f t="shared" si="165"/>
        <v>1</v>
      </c>
      <c r="CR290" s="23">
        <f t="shared" si="166"/>
        <v>1</v>
      </c>
      <c r="CS290" s="23">
        <f t="shared" si="167"/>
        <v>1</v>
      </c>
      <c r="CT290" s="23">
        <f t="shared" si="168"/>
        <v>1</v>
      </c>
      <c r="CU290" s="23">
        <f t="shared" si="169"/>
        <v>1</v>
      </c>
      <c r="CV290" s="23">
        <f t="shared" si="170"/>
        <v>1</v>
      </c>
    </row>
    <row r="291" spans="1:100" ht="13.5">
      <c r="A291" s="15">
        <v>222</v>
      </c>
      <c r="B291" s="38" t="s">
        <v>794</v>
      </c>
      <c r="C291" t="s">
        <v>580</v>
      </c>
      <c r="E291" t="s">
        <v>465</v>
      </c>
      <c r="F291" t="s">
        <v>581</v>
      </c>
      <c r="G291" t="s">
        <v>465</v>
      </c>
      <c r="H291" t="s">
        <v>582</v>
      </c>
      <c r="I291" s="6" t="s">
        <v>136</v>
      </c>
      <c r="J291" s="6">
        <v>0</v>
      </c>
      <c r="L291" s="15">
        <v>1</v>
      </c>
      <c r="N291" s="7">
        <v>46136</v>
      </c>
      <c r="O291" s="7">
        <v>46129</v>
      </c>
      <c r="P291" s="7">
        <v>46132</v>
      </c>
      <c r="S291" s="6" t="s">
        <v>465</v>
      </c>
      <c r="U291" s="6" t="s">
        <v>464</v>
      </c>
      <c r="V291" s="6" t="str">
        <f t="shared" si="137"/>
        <v>26/04</v>
      </c>
      <c r="W291">
        <v>1595</v>
      </c>
      <c r="AA291">
        <v>949</v>
      </c>
      <c r="AC291">
        <v>1002</v>
      </c>
      <c r="AI291" s="23">
        <v>0</v>
      </c>
      <c r="AJ291" s="23">
        <v>0</v>
      </c>
      <c r="AK291" s="23">
        <v>0</v>
      </c>
      <c r="AL291" s="23">
        <v>0</v>
      </c>
      <c r="AM291" s="23">
        <v>0</v>
      </c>
      <c r="AN291" s="23">
        <v>0</v>
      </c>
      <c r="AO291" s="23">
        <v>0</v>
      </c>
      <c r="AP291" s="23">
        <v>0</v>
      </c>
      <c r="AQ291" s="23">
        <v>0</v>
      </c>
      <c r="AR291" s="23">
        <v>0</v>
      </c>
      <c r="AS291" s="23">
        <v>0</v>
      </c>
      <c r="AT291" s="23">
        <v>0</v>
      </c>
      <c r="AU291" s="23">
        <v>0</v>
      </c>
      <c r="AV291" s="23">
        <v>0</v>
      </c>
      <c r="AW291" s="23">
        <v>0</v>
      </c>
      <c r="AX291" s="23">
        <v>0</v>
      </c>
      <c r="AY291" s="23">
        <v>0</v>
      </c>
      <c r="AZ291" s="23">
        <v>0</v>
      </c>
      <c r="BA291" s="23">
        <v>0</v>
      </c>
      <c r="BB291" s="23">
        <v>0</v>
      </c>
      <c r="BC291" s="23">
        <v>0</v>
      </c>
      <c r="BD291" s="23">
        <v>0</v>
      </c>
      <c r="BE291" s="23">
        <v>0</v>
      </c>
      <c r="BF291" s="23">
        <v>0</v>
      </c>
      <c r="BG291" s="23">
        <v>1</v>
      </c>
      <c r="BH291" s="23">
        <v>1</v>
      </c>
      <c r="BI291" s="23">
        <v>1</v>
      </c>
      <c r="BJ291" s="23">
        <v>1</v>
      </c>
      <c r="BK291" s="23">
        <v>1</v>
      </c>
      <c r="BL291" s="23">
        <v>1</v>
      </c>
      <c r="BM291" s="23">
        <v>1</v>
      </c>
      <c r="BN291" s="23">
        <v>1</v>
      </c>
      <c r="BO291" s="23">
        <v>1</v>
      </c>
      <c r="BP291" s="23">
        <f t="shared" si="138"/>
        <v>0</v>
      </c>
      <c r="BQ291" s="23">
        <f t="shared" si="139"/>
        <v>0</v>
      </c>
      <c r="BR291" s="23">
        <f t="shared" si="140"/>
        <v>0</v>
      </c>
      <c r="BS291" s="23">
        <f t="shared" si="141"/>
        <v>0</v>
      </c>
      <c r="BT291" s="23">
        <f t="shared" si="142"/>
        <v>0</v>
      </c>
      <c r="BU291" s="23">
        <f t="shared" si="143"/>
        <v>0</v>
      </c>
      <c r="BV291" s="23">
        <f t="shared" si="144"/>
        <v>0</v>
      </c>
      <c r="BW291" s="23">
        <f t="shared" si="145"/>
        <v>0</v>
      </c>
      <c r="BX291" s="23">
        <f t="shared" si="146"/>
        <v>0</v>
      </c>
      <c r="BY291" s="23">
        <f t="shared" si="147"/>
        <v>0</v>
      </c>
      <c r="BZ291" s="23">
        <f t="shared" si="148"/>
        <v>0</v>
      </c>
      <c r="CA291" s="23">
        <f t="shared" si="149"/>
        <v>0</v>
      </c>
      <c r="CB291" s="23">
        <f t="shared" si="150"/>
        <v>0</v>
      </c>
      <c r="CC291" s="23">
        <f t="shared" si="151"/>
        <v>0</v>
      </c>
      <c r="CD291" s="23">
        <f t="shared" si="152"/>
        <v>0</v>
      </c>
      <c r="CE291" s="23">
        <f t="shared" si="153"/>
        <v>0</v>
      </c>
      <c r="CF291" s="23">
        <f t="shared" si="154"/>
        <v>0</v>
      </c>
      <c r="CG291" s="23">
        <f t="shared" si="155"/>
        <v>0</v>
      </c>
      <c r="CH291" s="23">
        <f t="shared" si="156"/>
        <v>0</v>
      </c>
      <c r="CI291" s="23">
        <f t="shared" si="157"/>
        <v>0</v>
      </c>
      <c r="CJ291" s="23">
        <f t="shared" si="158"/>
        <v>0</v>
      </c>
      <c r="CK291" s="23">
        <f t="shared" si="159"/>
        <v>0</v>
      </c>
      <c r="CL291" s="23">
        <f t="shared" si="160"/>
        <v>0</v>
      </c>
      <c r="CM291" s="23">
        <f t="shared" si="161"/>
        <v>0</v>
      </c>
      <c r="CN291" s="23">
        <f t="shared" si="162"/>
        <v>1</v>
      </c>
      <c r="CO291" s="23">
        <f t="shared" si="163"/>
        <v>1</v>
      </c>
      <c r="CP291" s="23">
        <f t="shared" si="164"/>
        <v>1</v>
      </c>
      <c r="CQ291" s="23">
        <f t="shared" si="165"/>
        <v>1</v>
      </c>
      <c r="CR291" s="23">
        <f t="shared" si="166"/>
        <v>1</v>
      </c>
      <c r="CS291" s="23">
        <f t="shared" si="167"/>
        <v>1</v>
      </c>
      <c r="CT291" s="23">
        <f t="shared" si="168"/>
        <v>1</v>
      </c>
      <c r="CU291" s="23">
        <f t="shared" si="169"/>
        <v>1</v>
      </c>
      <c r="CV291" s="23">
        <f t="shared" si="170"/>
        <v>1</v>
      </c>
    </row>
    <row r="292" spans="1:100" ht="13.5">
      <c r="A292" s="15">
        <v>222</v>
      </c>
      <c r="B292" s="38" t="s">
        <v>795</v>
      </c>
      <c r="C292" t="s">
        <v>580</v>
      </c>
      <c r="E292" t="s">
        <v>465</v>
      </c>
      <c r="F292" t="s">
        <v>581</v>
      </c>
      <c r="G292" t="s">
        <v>465</v>
      </c>
      <c r="H292" t="s">
        <v>582</v>
      </c>
      <c r="I292" s="6" t="s">
        <v>136</v>
      </c>
      <c r="J292" s="6">
        <v>0</v>
      </c>
      <c r="L292" s="15">
        <v>1</v>
      </c>
      <c r="N292" s="7">
        <v>46136</v>
      </c>
      <c r="O292" s="7">
        <v>46129</v>
      </c>
      <c r="P292" s="7">
        <v>46132</v>
      </c>
      <c r="S292" s="6" t="s">
        <v>465</v>
      </c>
      <c r="U292" s="6" t="s">
        <v>464</v>
      </c>
      <c r="V292" s="6" t="str">
        <f t="shared" si="137"/>
        <v>26/04</v>
      </c>
      <c r="W292">
        <v>1596</v>
      </c>
      <c r="AA292">
        <v>950</v>
      </c>
      <c r="AC292">
        <v>1003</v>
      </c>
      <c r="AI292" s="23">
        <v>0</v>
      </c>
      <c r="AJ292" s="23">
        <v>0</v>
      </c>
      <c r="AK292" s="23">
        <v>0</v>
      </c>
      <c r="AL292" s="23">
        <v>0</v>
      </c>
      <c r="AM292" s="23">
        <v>0</v>
      </c>
      <c r="AN292" s="23">
        <v>0</v>
      </c>
      <c r="AO292" s="23">
        <v>0</v>
      </c>
      <c r="AP292" s="23">
        <v>0</v>
      </c>
      <c r="AQ292" s="23">
        <v>0</v>
      </c>
      <c r="AR292" s="23">
        <v>0</v>
      </c>
      <c r="AS292" s="23">
        <v>0</v>
      </c>
      <c r="AT292" s="23">
        <v>0</v>
      </c>
      <c r="AU292" s="23">
        <v>0</v>
      </c>
      <c r="AV292" s="23">
        <v>0</v>
      </c>
      <c r="AW292" s="23">
        <v>0</v>
      </c>
      <c r="AX292" s="23">
        <v>0</v>
      </c>
      <c r="AY292" s="23">
        <v>0</v>
      </c>
      <c r="AZ292" s="23">
        <v>0</v>
      </c>
      <c r="BA292" s="23">
        <v>0</v>
      </c>
      <c r="BB292" s="23">
        <v>0</v>
      </c>
      <c r="BC292" s="23">
        <v>0</v>
      </c>
      <c r="BD292" s="23">
        <v>0</v>
      </c>
      <c r="BE292" s="23">
        <v>0</v>
      </c>
      <c r="BF292" s="23">
        <v>0</v>
      </c>
      <c r="BG292" s="23">
        <v>1</v>
      </c>
      <c r="BH292" s="23">
        <v>1</v>
      </c>
      <c r="BI292" s="23">
        <v>1</v>
      </c>
      <c r="BJ292" s="23">
        <v>1</v>
      </c>
      <c r="BK292" s="23">
        <v>1</v>
      </c>
      <c r="BL292" s="23">
        <v>1</v>
      </c>
      <c r="BM292" s="23">
        <v>1</v>
      </c>
      <c r="BN292" s="23">
        <v>1</v>
      </c>
      <c r="BO292" s="23">
        <v>1</v>
      </c>
      <c r="BP292" s="23">
        <f t="shared" si="138"/>
        <v>0</v>
      </c>
      <c r="BQ292" s="23">
        <f t="shared" si="139"/>
        <v>0</v>
      </c>
      <c r="BR292" s="23">
        <f t="shared" si="140"/>
        <v>0</v>
      </c>
      <c r="BS292" s="23">
        <f t="shared" si="141"/>
        <v>0</v>
      </c>
      <c r="BT292" s="23">
        <f t="shared" si="142"/>
        <v>0</v>
      </c>
      <c r="BU292" s="23">
        <f t="shared" si="143"/>
        <v>0</v>
      </c>
      <c r="BV292" s="23">
        <f t="shared" si="144"/>
        <v>0</v>
      </c>
      <c r="BW292" s="23">
        <f t="shared" si="145"/>
        <v>0</v>
      </c>
      <c r="BX292" s="23">
        <f t="shared" si="146"/>
        <v>0</v>
      </c>
      <c r="BY292" s="23">
        <f t="shared" si="147"/>
        <v>0</v>
      </c>
      <c r="BZ292" s="23">
        <f t="shared" si="148"/>
        <v>0</v>
      </c>
      <c r="CA292" s="23">
        <f t="shared" si="149"/>
        <v>0</v>
      </c>
      <c r="CB292" s="23">
        <f t="shared" si="150"/>
        <v>0</v>
      </c>
      <c r="CC292" s="23">
        <f t="shared" si="151"/>
        <v>0</v>
      </c>
      <c r="CD292" s="23">
        <f t="shared" si="152"/>
        <v>0</v>
      </c>
      <c r="CE292" s="23">
        <f t="shared" si="153"/>
        <v>0</v>
      </c>
      <c r="CF292" s="23">
        <f t="shared" si="154"/>
        <v>0</v>
      </c>
      <c r="CG292" s="23">
        <f t="shared" si="155"/>
        <v>0</v>
      </c>
      <c r="CH292" s="23">
        <f t="shared" si="156"/>
        <v>0</v>
      </c>
      <c r="CI292" s="23">
        <f t="shared" si="157"/>
        <v>0</v>
      </c>
      <c r="CJ292" s="23">
        <f t="shared" si="158"/>
        <v>0</v>
      </c>
      <c r="CK292" s="23">
        <f t="shared" si="159"/>
        <v>0</v>
      </c>
      <c r="CL292" s="23">
        <f t="shared" si="160"/>
        <v>0</v>
      </c>
      <c r="CM292" s="23">
        <f t="shared" si="161"/>
        <v>0</v>
      </c>
      <c r="CN292" s="23">
        <f t="shared" si="162"/>
        <v>1</v>
      </c>
      <c r="CO292" s="23">
        <f t="shared" si="163"/>
        <v>1</v>
      </c>
      <c r="CP292" s="23">
        <f t="shared" si="164"/>
        <v>1</v>
      </c>
      <c r="CQ292" s="23">
        <f t="shared" si="165"/>
        <v>1</v>
      </c>
      <c r="CR292" s="23">
        <f t="shared" si="166"/>
        <v>1</v>
      </c>
      <c r="CS292" s="23">
        <f t="shared" si="167"/>
        <v>1</v>
      </c>
      <c r="CT292" s="23">
        <f t="shared" si="168"/>
        <v>1</v>
      </c>
      <c r="CU292" s="23">
        <f t="shared" si="169"/>
        <v>1</v>
      </c>
      <c r="CV292" s="23">
        <f t="shared" si="170"/>
        <v>1</v>
      </c>
    </row>
    <row r="293" spans="1:100" ht="13.5">
      <c r="A293" s="15">
        <v>222</v>
      </c>
      <c r="B293" s="38" t="s">
        <v>796</v>
      </c>
      <c r="C293" t="s">
        <v>580</v>
      </c>
      <c r="E293" t="s">
        <v>465</v>
      </c>
      <c r="F293" t="s">
        <v>581</v>
      </c>
      <c r="G293" t="s">
        <v>465</v>
      </c>
      <c r="H293" t="s">
        <v>582</v>
      </c>
      <c r="I293" s="6" t="s">
        <v>136</v>
      </c>
      <c r="J293" s="6">
        <v>0</v>
      </c>
      <c r="L293" s="15">
        <v>1</v>
      </c>
      <c r="N293" s="7">
        <v>46136</v>
      </c>
      <c r="O293" s="7">
        <v>46129</v>
      </c>
      <c r="P293" s="7">
        <v>46132</v>
      </c>
      <c r="S293" s="6" t="s">
        <v>465</v>
      </c>
      <c r="U293" s="6" t="s">
        <v>464</v>
      </c>
      <c r="V293" s="6" t="str">
        <f t="shared" si="137"/>
        <v>26/04</v>
      </c>
      <c r="W293">
        <v>1597</v>
      </c>
      <c r="AA293">
        <v>951</v>
      </c>
      <c r="AC293">
        <v>1004</v>
      </c>
      <c r="AI293" s="23">
        <v>0</v>
      </c>
      <c r="AJ293" s="23">
        <v>0</v>
      </c>
      <c r="AK293" s="23">
        <v>0</v>
      </c>
      <c r="AL293" s="23">
        <v>0</v>
      </c>
      <c r="AM293" s="23">
        <v>0</v>
      </c>
      <c r="AN293" s="23">
        <v>0</v>
      </c>
      <c r="AO293" s="23">
        <v>0</v>
      </c>
      <c r="AP293" s="23">
        <v>0</v>
      </c>
      <c r="AQ293" s="23">
        <v>0</v>
      </c>
      <c r="AR293" s="23">
        <v>0</v>
      </c>
      <c r="AS293" s="23">
        <v>0</v>
      </c>
      <c r="AT293" s="23">
        <v>0</v>
      </c>
      <c r="AU293" s="23">
        <v>0</v>
      </c>
      <c r="AV293" s="23">
        <v>0</v>
      </c>
      <c r="AW293" s="23">
        <v>0</v>
      </c>
      <c r="AX293" s="23">
        <v>0</v>
      </c>
      <c r="AY293" s="23">
        <v>0</v>
      </c>
      <c r="AZ293" s="23">
        <v>0</v>
      </c>
      <c r="BA293" s="23">
        <v>0</v>
      </c>
      <c r="BB293" s="23">
        <v>0</v>
      </c>
      <c r="BC293" s="23">
        <v>0</v>
      </c>
      <c r="BD293" s="23">
        <v>0</v>
      </c>
      <c r="BE293" s="23">
        <v>0</v>
      </c>
      <c r="BF293" s="23">
        <v>0</v>
      </c>
      <c r="BG293" s="23">
        <v>1</v>
      </c>
      <c r="BH293" s="23">
        <v>1</v>
      </c>
      <c r="BI293" s="23">
        <v>1</v>
      </c>
      <c r="BJ293" s="23">
        <v>1</v>
      </c>
      <c r="BK293" s="23">
        <v>1</v>
      </c>
      <c r="BL293" s="23">
        <v>1</v>
      </c>
      <c r="BM293" s="23">
        <v>1</v>
      </c>
      <c r="BN293" s="23">
        <v>1</v>
      </c>
      <c r="BO293" s="23">
        <v>1</v>
      </c>
      <c r="BP293" s="23">
        <f t="shared" si="138"/>
        <v>0</v>
      </c>
      <c r="BQ293" s="23">
        <f t="shared" si="139"/>
        <v>0</v>
      </c>
      <c r="BR293" s="23">
        <f t="shared" si="140"/>
        <v>0</v>
      </c>
      <c r="BS293" s="23">
        <f t="shared" si="141"/>
        <v>0</v>
      </c>
      <c r="BT293" s="23">
        <f t="shared" si="142"/>
        <v>0</v>
      </c>
      <c r="BU293" s="23">
        <f t="shared" si="143"/>
        <v>0</v>
      </c>
      <c r="BV293" s="23">
        <f t="shared" si="144"/>
        <v>0</v>
      </c>
      <c r="BW293" s="23">
        <f t="shared" si="145"/>
        <v>0</v>
      </c>
      <c r="BX293" s="23">
        <f t="shared" si="146"/>
        <v>0</v>
      </c>
      <c r="BY293" s="23">
        <f t="shared" si="147"/>
        <v>0</v>
      </c>
      <c r="BZ293" s="23">
        <f t="shared" si="148"/>
        <v>0</v>
      </c>
      <c r="CA293" s="23">
        <f t="shared" si="149"/>
        <v>0</v>
      </c>
      <c r="CB293" s="23">
        <f t="shared" si="150"/>
        <v>0</v>
      </c>
      <c r="CC293" s="23">
        <f t="shared" si="151"/>
        <v>0</v>
      </c>
      <c r="CD293" s="23">
        <f t="shared" si="152"/>
        <v>0</v>
      </c>
      <c r="CE293" s="23">
        <f t="shared" si="153"/>
        <v>0</v>
      </c>
      <c r="CF293" s="23">
        <f t="shared" si="154"/>
        <v>0</v>
      </c>
      <c r="CG293" s="23">
        <f t="shared" si="155"/>
        <v>0</v>
      </c>
      <c r="CH293" s="23">
        <f t="shared" si="156"/>
        <v>0</v>
      </c>
      <c r="CI293" s="23">
        <f t="shared" si="157"/>
        <v>0</v>
      </c>
      <c r="CJ293" s="23">
        <f t="shared" si="158"/>
        <v>0</v>
      </c>
      <c r="CK293" s="23">
        <f t="shared" si="159"/>
        <v>0</v>
      </c>
      <c r="CL293" s="23">
        <f t="shared" si="160"/>
        <v>0</v>
      </c>
      <c r="CM293" s="23">
        <f t="shared" si="161"/>
        <v>0</v>
      </c>
      <c r="CN293" s="23">
        <f t="shared" si="162"/>
        <v>1</v>
      </c>
      <c r="CO293" s="23">
        <f t="shared" si="163"/>
        <v>1</v>
      </c>
      <c r="CP293" s="23">
        <f t="shared" si="164"/>
        <v>1</v>
      </c>
      <c r="CQ293" s="23">
        <f t="shared" si="165"/>
        <v>1</v>
      </c>
      <c r="CR293" s="23">
        <f t="shared" si="166"/>
        <v>1</v>
      </c>
      <c r="CS293" s="23">
        <f t="shared" si="167"/>
        <v>1</v>
      </c>
      <c r="CT293" s="23">
        <f t="shared" si="168"/>
        <v>1</v>
      </c>
      <c r="CU293" s="23">
        <f t="shared" si="169"/>
        <v>1</v>
      </c>
      <c r="CV293" s="23">
        <f t="shared" si="170"/>
        <v>1</v>
      </c>
    </row>
    <row r="294" spans="1:100" ht="13.5">
      <c r="A294" s="15">
        <v>222</v>
      </c>
      <c r="B294" s="38" t="s">
        <v>797</v>
      </c>
      <c r="C294" t="s">
        <v>580</v>
      </c>
      <c r="E294" t="s">
        <v>465</v>
      </c>
      <c r="F294" t="s">
        <v>581</v>
      </c>
      <c r="G294" t="s">
        <v>465</v>
      </c>
      <c r="H294" t="s">
        <v>582</v>
      </c>
      <c r="I294" s="6" t="s">
        <v>136</v>
      </c>
      <c r="J294" s="6">
        <v>0</v>
      </c>
      <c r="L294" s="15">
        <v>1</v>
      </c>
      <c r="N294" s="7">
        <v>46136</v>
      </c>
      <c r="O294" s="7">
        <v>46129</v>
      </c>
      <c r="P294" s="7">
        <v>46132</v>
      </c>
      <c r="S294" s="6" t="s">
        <v>465</v>
      </c>
      <c r="U294" s="6" t="s">
        <v>464</v>
      </c>
      <c r="V294" s="6" t="str">
        <f t="shared" si="137"/>
        <v>26/04</v>
      </c>
      <c r="W294">
        <v>1598</v>
      </c>
      <c r="AA294">
        <v>952</v>
      </c>
      <c r="AC294">
        <v>1005</v>
      </c>
      <c r="AI294" s="23">
        <v>0</v>
      </c>
      <c r="AJ294" s="23">
        <v>0</v>
      </c>
      <c r="AK294" s="23">
        <v>0</v>
      </c>
      <c r="AL294" s="23">
        <v>0</v>
      </c>
      <c r="AM294" s="23">
        <v>0</v>
      </c>
      <c r="AN294" s="23">
        <v>0</v>
      </c>
      <c r="AO294" s="23">
        <v>0</v>
      </c>
      <c r="AP294" s="23">
        <v>0</v>
      </c>
      <c r="AQ294" s="23">
        <v>0</v>
      </c>
      <c r="AR294" s="23">
        <v>0</v>
      </c>
      <c r="AS294" s="23">
        <v>0</v>
      </c>
      <c r="AT294" s="23">
        <v>0</v>
      </c>
      <c r="AU294" s="23">
        <v>0</v>
      </c>
      <c r="AV294" s="23">
        <v>0</v>
      </c>
      <c r="AW294" s="23">
        <v>0</v>
      </c>
      <c r="AX294" s="23">
        <v>0</v>
      </c>
      <c r="AY294" s="23">
        <v>0</v>
      </c>
      <c r="AZ294" s="23">
        <v>0</v>
      </c>
      <c r="BA294" s="23">
        <v>0</v>
      </c>
      <c r="BB294" s="23">
        <v>0</v>
      </c>
      <c r="BC294" s="23">
        <v>0</v>
      </c>
      <c r="BD294" s="23">
        <v>0</v>
      </c>
      <c r="BE294" s="23">
        <v>0</v>
      </c>
      <c r="BF294" s="23">
        <v>0</v>
      </c>
      <c r="BG294" s="23">
        <v>1</v>
      </c>
      <c r="BH294" s="23">
        <v>1</v>
      </c>
      <c r="BI294" s="23">
        <v>1</v>
      </c>
      <c r="BJ294" s="23">
        <v>1</v>
      </c>
      <c r="BK294" s="23">
        <v>1</v>
      </c>
      <c r="BL294" s="23">
        <v>1</v>
      </c>
      <c r="BM294" s="23">
        <v>1</v>
      </c>
      <c r="BN294" s="23">
        <v>1</v>
      </c>
      <c r="BO294" s="23">
        <v>1</v>
      </c>
      <c r="BP294" s="23">
        <f t="shared" si="138"/>
        <v>0</v>
      </c>
      <c r="BQ294" s="23">
        <f t="shared" si="139"/>
        <v>0</v>
      </c>
      <c r="BR294" s="23">
        <f t="shared" si="140"/>
        <v>0</v>
      </c>
      <c r="BS294" s="23">
        <f t="shared" si="141"/>
        <v>0</v>
      </c>
      <c r="BT294" s="23">
        <f t="shared" si="142"/>
        <v>0</v>
      </c>
      <c r="BU294" s="23">
        <f t="shared" si="143"/>
        <v>0</v>
      </c>
      <c r="BV294" s="23">
        <f t="shared" si="144"/>
        <v>0</v>
      </c>
      <c r="BW294" s="23">
        <f t="shared" si="145"/>
        <v>0</v>
      </c>
      <c r="BX294" s="23">
        <f t="shared" si="146"/>
        <v>0</v>
      </c>
      <c r="BY294" s="23">
        <f t="shared" si="147"/>
        <v>0</v>
      </c>
      <c r="BZ294" s="23">
        <f t="shared" si="148"/>
        <v>0</v>
      </c>
      <c r="CA294" s="23">
        <f t="shared" si="149"/>
        <v>0</v>
      </c>
      <c r="CB294" s="23">
        <f t="shared" si="150"/>
        <v>0</v>
      </c>
      <c r="CC294" s="23">
        <f t="shared" si="151"/>
        <v>0</v>
      </c>
      <c r="CD294" s="23">
        <f t="shared" si="152"/>
        <v>0</v>
      </c>
      <c r="CE294" s="23">
        <f t="shared" si="153"/>
        <v>0</v>
      </c>
      <c r="CF294" s="23">
        <f t="shared" si="154"/>
        <v>0</v>
      </c>
      <c r="CG294" s="23">
        <f t="shared" si="155"/>
        <v>0</v>
      </c>
      <c r="CH294" s="23">
        <f t="shared" si="156"/>
        <v>0</v>
      </c>
      <c r="CI294" s="23">
        <f t="shared" si="157"/>
        <v>0</v>
      </c>
      <c r="CJ294" s="23">
        <f t="shared" si="158"/>
        <v>0</v>
      </c>
      <c r="CK294" s="23">
        <f t="shared" si="159"/>
        <v>0</v>
      </c>
      <c r="CL294" s="23">
        <f t="shared" si="160"/>
        <v>0</v>
      </c>
      <c r="CM294" s="23">
        <f t="shared" si="161"/>
        <v>0</v>
      </c>
      <c r="CN294" s="23">
        <f t="shared" si="162"/>
        <v>1</v>
      </c>
      <c r="CO294" s="23">
        <f t="shared" si="163"/>
        <v>1</v>
      </c>
      <c r="CP294" s="23">
        <f t="shared" si="164"/>
        <v>1</v>
      </c>
      <c r="CQ294" s="23">
        <f t="shared" si="165"/>
        <v>1</v>
      </c>
      <c r="CR294" s="23">
        <f t="shared" si="166"/>
        <v>1</v>
      </c>
      <c r="CS294" s="23">
        <f t="shared" si="167"/>
        <v>1</v>
      </c>
      <c r="CT294" s="23">
        <f t="shared" si="168"/>
        <v>1</v>
      </c>
      <c r="CU294" s="23">
        <f t="shared" si="169"/>
        <v>1</v>
      </c>
      <c r="CV294" s="23">
        <f t="shared" si="170"/>
        <v>1</v>
      </c>
    </row>
    <row r="295" spans="1:100" ht="13.5">
      <c r="A295" s="15">
        <v>222</v>
      </c>
      <c r="B295" s="38" t="s">
        <v>798</v>
      </c>
      <c r="C295" t="s">
        <v>580</v>
      </c>
      <c r="E295" t="s">
        <v>465</v>
      </c>
      <c r="F295" t="s">
        <v>581</v>
      </c>
      <c r="G295" t="s">
        <v>465</v>
      </c>
      <c r="H295" t="s">
        <v>582</v>
      </c>
      <c r="I295" s="6" t="s">
        <v>136</v>
      </c>
      <c r="J295" s="6">
        <v>0</v>
      </c>
      <c r="L295" s="15">
        <v>1</v>
      </c>
      <c r="N295" s="7">
        <v>46139</v>
      </c>
      <c r="O295" s="7">
        <v>46129</v>
      </c>
      <c r="P295" s="7">
        <v>46132</v>
      </c>
      <c r="S295" s="6" t="s">
        <v>465</v>
      </c>
      <c r="U295" s="6" t="s">
        <v>464</v>
      </c>
      <c r="V295" s="6" t="str">
        <f t="shared" si="137"/>
        <v>26/04</v>
      </c>
      <c r="W295">
        <v>1599</v>
      </c>
      <c r="AA295">
        <v>953</v>
      </c>
      <c r="AC295">
        <v>1006</v>
      </c>
      <c r="AI295" s="23">
        <v>0</v>
      </c>
      <c r="AJ295" s="23">
        <v>0</v>
      </c>
      <c r="AK295" s="23">
        <v>0</v>
      </c>
      <c r="AL295" s="23">
        <v>0</v>
      </c>
      <c r="AM295" s="23">
        <v>0</v>
      </c>
      <c r="AN295" s="23">
        <v>0</v>
      </c>
      <c r="AO295" s="23">
        <v>0</v>
      </c>
      <c r="AP295" s="23">
        <v>0</v>
      </c>
      <c r="AQ295" s="23">
        <v>0</v>
      </c>
      <c r="AR295" s="23">
        <v>0</v>
      </c>
      <c r="AS295" s="23">
        <v>0</v>
      </c>
      <c r="AT295" s="23">
        <v>0</v>
      </c>
      <c r="AU295" s="23">
        <v>0</v>
      </c>
      <c r="AV295" s="23">
        <v>0</v>
      </c>
      <c r="AW295" s="23">
        <v>0</v>
      </c>
      <c r="AX295" s="23">
        <v>0</v>
      </c>
      <c r="AY295" s="23">
        <v>0</v>
      </c>
      <c r="AZ295" s="23">
        <v>0</v>
      </c>
      <c r="BA295" s="23">
        <v>0</v>
      </c>
      <c r="BB295" s="23">
        <v>0</v>
      </c>
      <c r="BC295" s="23">
        <v>0</v>
      </c>
      <c r="BD295" s="23">
        <v>0</v>
      </c>
      <c r="BE295" s="23">
        <v>0</v>
      </c>
      <c r="BF295" s="23">
        <v>0</v>
      </c>
      <c r="BG295" s="23">
        <v>1</v>
      </c>
      <c r="BH295" s="23">
        <v>1</v>
      </c>
      <c r="BI295" s="23">
        <v>1</v>
      </c>
      <c r="BJ295" s="23">
        <v>1</v>
      </c>
      <c r="BK295" s="23">
        <v>1</v>
      </c>
      <c r="BL295" s="23">
        <v>1</v>
      </c>
      <c r="BM295" s="23">
        <v>1</v>
      </c>
      <c r="BN295" s="23">
        <v>1</v>
      </c>
      <c r="BO295" s="23">
        <v>1</v>
      </c>
      <c r="BP295" s="23">
        <f t="shared" si="138"/>
        <v>0</v>
      </c>
      <c r="BQ295" s="23">
        <f t="shared" si="139"/>
        <v>0</v>
      </c>
      <c r="BR295" s="23">
        <f t="shared" si="140"/>
        <v>0</v>
      </c>
      <c r="BS295" s="23">
        <f t="shared" si="141"/>
        <v>0</v>
      </c>
      <c r="BT295" s="23">
        <f t="shared" si="142"/>
        <v>0</v>
      </c>
      <c r="BU295" s="23">
        <f t="shared" si="143"/>
        <v>0</v>
      </c>
      <c r="BV295" s="23">
        <f t="shared" si="144"/>
        <v>0</v>
      </c>
      <c r="BW295" s="23">
        <f t="shared" si="145"/>
        <v>0</v>
      </c>
      <c r="BX295" s="23">
        <f t="shared" si="146"/>
        <v>0</v>
      </c>
      <c r="BY295" s="23">
        <f t="shared" si="147"/>
        <v>0</v>
      </c>
      <c r="BZ295" s="23">
        <f t="shared" si="148"/>
        <v>0</v>
      </c>
      <c r="CA295" s="23">
        <f t="shared" si="149"/>
        <v>0</v>
      </c>
      <c r="CB295" s="23">
        <f t="shared" si="150"/>
        <v>0</v>
      </c>
      <c r="CC295" s="23">
        <f t="shared" si="151"/>
        <v>0</v>
      </c>
      <c r="CD295" s="23">
        <f t="shared" si="152"/>
        <v>0</v>
      </c>
      <c r="CE295" s="23">
        <f t="shared" si="153"/>
        <v>0</v>
      </c>
      <c r="CF295" s="23">
        <f t="shared" si="154"/>
        <v>0</v>
      </c>
      <c r="CG295" s="23">
        <f t="shared" si="155"/>
        <v>0</v>
      </c>
      <c r="CH295" s="23">
        <f t="shared" si="156"/>
        <v>0</v>
      </c>
      <c r="CI295" s="23">
        <f t="shared" si="157"/>
        <v>0</v>
      </c>
      <c r="CJ295" s="23">
        <f t="shared" si="158"/>
        <v>0</v>
      </c>
      <c r="CK295" s="23">
        <f t="shared" si="159"/>
        <v>0</v>
      </c>
      <c r="CL295" s="23">
        <f t="shared" si="160"/>
        <v>0</v>
      </c>
      <c r="CM295" s="23">
        <f t="shared" si="161"/>
        <v>0</v>
      </c>
      <c r="CN295" s="23">
        <f t="shared" si="162"/>
        <v>1</v>
      </c>
      <c r="CO295" s="23">
        <f t="shared" si="163"/>
        <v>1</v>
      </c>
      <c r="CP295" s="23">
        <f t="shared" si="164"/>
        <v>1</v>
      </c>
      <c r="CQ295" s="23">
        <f t="shared" si="165"/>
        <v>1</v>
      </c>
      <c r="CR295" s="23">
        <f t="shared" si="166"/>
        <v>1</v>
      </c>
      <c r="CS295" s="23">
        <f t="shared" si="167"/>
        <v>1</v>
      </c>
      <c r="CT295" s="23">
        <f t="shared" si="168"/>
        <v>1</v>
      </c>
      <c r="CU295" s="23">
        <f t="shared" si="169"/>
        <v>1</v>
      </c>
      <c r="CV295" s="23">
        <f t="shared" si="170"/>
        <v>1</v>
      </c>
    </row>
    <row r="296" spans="1:100" ht="13.5">
      <c r="A296" s="15">
        <v>222</v>
      </c>
      <c r="B296" s="38" t="s">
        <v>799</v>
      </c>
      <c r="C296" t="s">
        <v>580</v>
      </c>
      <c r="E296" t="s">
        <v>465</v>
      </c>
      <c r="F296" t="s">
        <v>581</v>
      </c>
      <c r="G296" t="s">
        <v>465</v>
      </c>
      <c r="H296" t="s">
        <v>582</v>
      </c>
      <c r="I296" s="6" t="s">
        <v>136</v>
      </c>
      <c r="J296" s="6">
        <v>0</v>
      </c>
      <c r="L296" s="15">
        <v>1</v>
      </c>
      <c r="N296" s="7">
        <v>46139</v>
      </c>
      <c r="O296" s="7">
        <v>46129</v>
      </c>
      <c r="P296" s="7">
        <v>46132</v>
      </c>
      <c r="S296" s="6" t="s">
        <v>465</v>
      </c>
      <c r="U296" s="6" t="s">
        <v>464</v>
      </c>
      <c r="V296" s="6" t="str">
        <f t="shared" si="137"/>
        <v>26/04</v>
      </c>
      <c r="W296">
        <v>1600</v>
      </c>
      <c r="AA296">
        <v>954</v>
      </c>
      <c r="AC296">
        <v>1007</v>
      </c>
      <c r="AI296" s="23">
        <v>0</v>
      </c>
      <c r="AJ296" s="23">
        <v>0</v>
      </c>
      <c r="AK296" s="23">
        <v>0</v>
      </c>
      <c r="AL296" s="23">
        <v>0</v>
      </c>
      <c r="AM296" s="23">
        <v>0</v>
      </c>
      <c r="AN296" s="23">
        <v>0</v>
      </c>
      <c r="AO296" s="23">
        <v>0</v>
      </c>
      <c r="AP296" s="23">
        <v>0</v>
      </c>
      <c r="AQ296" s="23">
        <v>0</v>
      </c>
      <c r="AR296" s="23">
        <v>0</v>
      </c>
      <c r="AS296" s="23">
        <v>0</v>
      </c>
      <c r="AT296" s="23">
        <v>0</v>
      </c>
      <c r="AU296" s="23">
        <v>0</v>
      </c>
      <c r="AV296" s="23">
        <v>0</v>
      </c>
      <c r="AW296" s="23">
        <v>0</v>
      </c>
      <c r="AX296" s="23">
        <v>0</v>
      </c>
      <c r="AY296" s="23">
        <v>0</v>
      </c>
      <c r="AZ296" s="23">
        <v>0</v>
      </c>
      <c r="BA296" s="23">
        <v>0</v>
      </c>
      <c r="BB296" s="23">
        <v>0</v>
      </c>
      <c r="BC296" s="23">
        <v>0</v>
      </c>
      <c r="BD296" s="23">
        <v>0</v>
      </c>
      <c r="BE296" s="23">
        <v>0</v>
      </c>
      <c r="BF296" s="23">
        <v>0</v>
      </c>
      <c r="BG296" s="23">
        <v>1</v>
      </c>
      <c r="BH296" s="23">
        <v>1</v>
      </c>
      <c r="BI296" s="23">
        <v>1</v>
      </c>
      <c r="BJ296" s="23">
        <v>1</v>
      </c>
      <c r="BK296" s="23">
        <v>1</v>
      </c>
      <c r="BL296" s="23">
        <v>1</v>
      </c>
      <c r="BM296" s="23">
        <v>1</v>
      </c>
      <c r="BN296" s="23">
        <v>1</v>
      </c>
      <c r="BO296" s="23">
        <v>1</v>
      </c>
      <c r="BP296" s="23">
        <f t="shared" si="138"/>
        <v>0</v>
      </c>
      <c r="BQ296" s="23">
        <f t="shared" si="139"/>
        <v>0</v>
      </c>
      <c r="BR296" s="23">
        <f t="shared" si="140"/>
        <v>0</v>
      </c>
      <c r="BS296" s="23">
        <f t="shared" si="141"/>
        <v>0</v>
      </c>
      <c r="BT296" s="23">
        <f t="shared" si="142"/>
        <v>0</v>
      </c>
      <c r="BU296" s="23">
        <f t="shared" si="143"/>
        <v>0</v>
      </c>
      <c r="BV296" s="23">
        <f t="shared" si="144"/>
        <v>0</v>
      </c>
      <c r="BW296" s="23">
        <f t="shared" si="145"/>
        <v>0</v>
      </c>
      <c r="BX296" s="23">
        <f t="shared" si="146"/>
        <v>0</v>
      </c>
      <c r="BY296" s="23">
        <f t="shared" si="147"/>
        <v>0</v>
      </c>
      <c r="BZ296" s="23">
        <f t="shared" si="148"/>
        <v>0</v>
      </c>
      <c r="CA296" s="23">
        <f t="shared" si="149"/>
        <v>0</v>
      </c>
      <c r="CB296" s="23">
        <f t="shared" si="150"/>
        <v>0</v>
      </c>
      <c r="CC296" s="23">
        <f t="shared" si="151"/>
        <v>0</v>
      </c>
      <c r="CD296" s="23">
        <f t="shared" si="152"/>
        <v>0</v>
      </c>
      <c r="CE296" s="23">
        <f t="shared" si="153"/>
        <v>0</v>
      </c>
      <c r="CF296" s="23">
        <f t="shared" si="154"/>
        <v>0</v>
      </c>
      <c r="CG296" s="23">
        <f t="shared" si="155"/>
        <v>0</v>
      </c>
      <c r="CH296" s="23">
        <f t="shared" si="156"/>
        <v>0</v>
      </c>
      <c r="CI296" s="23">
        <f t="shared" si="157"/>
        <v>0</v>
      </c>
      <c r="CJ296" s="23">
        <f t="shared" si="158"/>
        <v>0</v>
      </c>
      <c r="CK296" s="23">
        <f t="shared" si="159"/>
        <v>0</v>
      </c>
      <c r="CL296" s="23">
        <f t="shared" si="160"/>
        <v>0</v>
      </c>
      <c r="CM296" s="23">
        <f t="shared" si="161"/>
        <v>0</v>
      </c>
      <c r="CN296" s="23">
        <f t="shared" si="162"/>
        <v>1</v>
      </c>
      <c r="CO296" s="23">
        <f t="shared" si="163"/>
        <v>1</v>
      </c>
      <c r="CP296" s="23">
        <f t="shared" si="164"/>
        <v>1</v>
      </c>
      <c r="CQ296" s="23">
        <f t="shared" si="165"/>
        <v>1</v>
      </c>
      <c r="CR296" s="23">
        <f t="shared" si="166"/>
        <v>1</v>
      </c>
      <c r="CS296" s="23">
        <f t="shared" si="167"/>
        <v>1</v>
      </c>
      <c r="CT296" s="23">
        <f t="shared" si="168"/>
        <v>1</v>
      </c>
      <c r="CU296" s="23">
        <f t="shared" si="169"/>
        <v>1</v>
      </c>
      <c r="CV296" s="23">
        <f t="shared" si="170"/>
        <v>1</v>
      </c>
    </row>
    <row r="297" spans="1:100" ht="13.5">
      <c r="A297" s="15">
        <v>222</v>
      </c>
      <c r="B297" s="38" t="s">
        <v>800</v>
      </c>
      <c r="C297" t="s">
        <v>580</v>
      </c>
      <c r="E297" t="s">
        <v>465</v>
      </c>
      <c r="F297" t="s">
        <v>581</v>
      </c>
      <c r="G297" t="s">
        <v>465</v>
      </c>
      <c r="H297" t="s">
        <v>582</v>
      </c>
      <c r="I297" s="6" t="s">
        <v>136</v>
      </c>
      <c r="J297" s="6">
        <v>0</v>
      </c>
      <c r="L297" s="15">
        <v>1</v>
      </c>
      <c r="N297" s="7">
        <v>46139</v>
      </c>
      <c r="O297" s="7">
        <v>46129</v>
      </c>
      <c r="P297" s="7">
        <v>46132</v>
      </c>
      <c r="S297" s="6" t="s">
        <v>465</v>
      </c>
      <c r="U297" s="6" t="s">
        <v>464</v>
      </c>
      <c r="V297" s="6" t="str">
        <f t="shared" si="137"/>
        <v>26/04</v>
      </c>
      <c r="W297">
        <v>1601</v>
      </c>
      <c r="AA297">
        <v>955</v>
      </c>
      <c r="AC297">
        <v>1008</v>
      </c>
      <c r="AI297" s="23">
        <v>0</v>
      </c>
      <c r="AJ297" s="23">
        <v>0</v>
      </c>
      <c r="AK297" s="23">
        <v>0</v>
      </c>
      <c r="AL297" s="23">
        <v>0</v>
      </c>
      <c r="AM297" s="23">
        <v>0</v>
      </c>
      <c r="AN297" s="23">
        <v>0</v>
      </c>
      <c r="AO297" s="23">
        <v>0</v>
      </c>
      <c r="AP297" s="23">
        <v>0</v>
      </c>
      <c r="AQ297" s="23">
        <v>0</v>
      </c>
      <c r="AR297" s="23">
        <v>0</v>
      </c>
      <c r="AS297" s="23">
        <v>0</v>
      </c>
      <c r="AT297" s="23">
        <v>0</v>
      </c>
      <c r="AU297" s="23">
        <v>0</v>
      </c>
      <c r="AV297" s="23">
        <v>0</v>
      </c>
      <c r="AW297" s="23">
        <v>0</v>
      </c>
      <c r="AX297" s="23">
        <v>0</v>
      </c>
      <c r="AY297" s="23">
        <v>0</v>
      </c>
      <c r="AZ297" s="23">
        <v>0</v>
      </c>
      <c r="BA297" s="23">
        <v>0</v>
      </c>
      <c r="BB297" s="23">
        <v>0</v>
      </c>
      <c r="BC297" s="23">
        <v>0</v>
      </c>
      <c r="BD297" s="23">
        <v>0</v>
      </c>
      <c r="BE297" s="23">
        <v>0</v>
      </c>
      <c r="BF297" s="23">
        <v>0</v>
      </c>
      <c r="BG297" s="23">
        <v>1</v>
      </c>
      <c r="BH297" s="23">
        <v>1</v>
      </c>
      <c r="BI297" s="23">
        <v>1</v>
      </c>
      <c r="BJ297" s="23">
        <v>1</v>
      </c>
      <c r="BK297" s="23">
        <v>1</v>
      </c>
      <c r="BL297" s="23">
        <v>1</v>
      </c>
      <c r="BM297" s="23">
        <v>1</v>
      </c>
      <c r="BN297" s="23">
        <v>1</v>
      </c>
      <c r="BO297" s="23">
        <v>1</v>
      </c>
      <c r="BP297" s="23">
        <f t="shared" si="138"/>
        <v>0</v>
      </c>
      <c r="BQ297" s="23">
        <f t="shared" si="139"/>
        <v>0</v>
      </c>
      <c r="BR297" s="23">
        <f t="shared" si="140"/>
        <v>0</v>
      </c>
      <c r="BS297" s="23">
        <f t="shared" si="141"/>
        <v>0</v>
      </c>
      <c r="BT297" s="23">
        <f t="shared" si="142"/>
        <v>0</v>
      </c>
      <c r="BU297" s="23">
        <f t="shared" si="143"/>
        <v>0</v>
      </c>
      <c r="BV297" s="23">
        <f t="shared" si="144"/>
        <v>0</v>
      </c>
      <c r="BW297" s="23">
        <f t="shared" si="145"/>
        <v>0</v>
      </c>
      <c r="BX297" s="23">
        <f t="shared" si="146"/>
        <v>0</v>
      </c>
      <c r="BY297" s="23">
        <f t="shared" si="147"/>
        <v>0</v>
      </c>
      <c r="BZ297" s="23">
        <f t="shared" si="148"/>
        <v>0</v>
      </c>
      <c r="CA297" s="23">
        <f t="shared" si="149"/>
        <v>0</v>
      </c>
      <c r="CB297" s="23">
        <f t="shared" si="150"/>
        <v>0</v>
      </c>
      <c r="CC297" s="23">
        <f t="shared" si="151"/>
        <v>0</v>
      </c>
      <c r="CD297" s="23">
        <f t="shared" si="152"/>
        <v>0</v>
      </c>
      <c r="CE297" s="23">
        <f t="shared" si="153"/>
        <v>0</v>
      </c>
      <c r="CF297" s="23">
        <f t="shared" si="154"/>
        <v>0</v>
      </c>
      <c r="CG297" s="23">
        <f t="shared" si="155"/>
        <v>0</v>
      </c>
      <c r="CH297" s="23">
        <f t="shared" si="156"/>
        <v>0</v>
      </c>
      <c r="CI297" s="23">
        <f t="shared" si="157"/>
        <v>0</v>
      </c>
      <c r="CJ297" s="23">
        <f t="shared" si="158"/>
        <v>0</v>
      </c>
      <c r="CK297" s="23">
        <f t="shared" si="159"/>
        <v>0</v>
      </c>
      <c r="CL297" s="23">
        <f t="shared" si="160"/>
        <v>0</v>
      </c>
      <c r="CM297" s="23">
        <f t="shared" si="161"/>
        <v>0</v>
      </c>
      <c r="CN297" s="23">
        <f t="shared" si="162"/>
        <v>1</v>
      </c>
      <c r="CO297" s="23">
        <f t="shared" si="163"/>
        <v>1</v>
      </c>
      <c r="CP297" s="23">
        <f t="shared" si="164"/>
        <v>1</v>
      </c>
      <c r="CQ297" s="23">
        <f t="shared" si="165"/>
        <v>1</v>
      </c>
      <c r="CR297" s="23">
        <f t="shared" si="166"/>
        <v>1</v>
      </c>
      <c r="CS297" s="23">
        <f t="shared" si="167"/>
        <v>1</v>
      </c>
      <c r="CT297" s="23">
        <f t="shared" si="168"/>
        <v>1</v>
      </c>
      <c r="CU297" s="23">
        <f t="shared" si="169"/>
        <v>1</v>
      </c>
      <c r="CV297" s="23">
        <f t="shared" si="170"/>
        <v>1</v>
      </c>
    </row>
    <row r="298" spans="1:100" ht="13.5">
      <c r="A298" s="15">
        <v>222</v>
      </c>
      <c r="B298" s="38" t="s">
        <v>801</v>
      </c>
      <c r="C298" t="s">
        <v>580</v>
      </c>
      <c r="E298" t="s">
        <v>465</v>
      </c>
      <c r="F298" t="s">
        <v>581</v>
      </c>
      <c r="G298" t="s">
        <v>465</v>
      </c>
      <c r="H298" t="s">
        <v>582</v>
      </c>
      <c r="I298" s="6" t="s">
        <v>136</v>
      </c>
      <c r="J298" s="6">
        <v>0</v>
      </c>
      <c r="L298" s="15">
        <v>1</v>
      </c>
      <c r="N298" s="7">
        <v>46139</v>
      </c>
      <c r="O298" s="7">
        <v>46129</v>
      </c>
      <c r="P298" s="7">
        <v>46132</v>
      </c>
      <c r="S298" s="6" t="s">
        <v>465</v>
      </c>
      <c r="U298" s="6" t="s">
        <v>464</v>
      </c>
      <c r="V298" s="6" t="str">
        <f t="shared" si="137"/>
        <v>26/04</v>
      </c>
      <c r="W298">
        <v>1602</v>
      </c>
      <c r="AA298">
        <v>956</v>
      </c>
      <c r="AC298">
        <v>1009</v>
      </c>
      <c r="AI298" s="23">
        <v>0</v>
      </c>
      <c r="AJ298" s="23">
        <v>0</v>
      </c>
      <c r="AK298" s="23">
        <v>0</v>
      </c>
      <c r="AL298" s="23">
        <v>0</v>
      </c>
      <c r="AM298" s="23">
        <v>0</v>
      </c>
      <c r="AN298" s="23">
        <v>0</v>
      </c>
      <c r="AO298" s="23">
        <v>0</v>
      </c>
      <c r="AP298" s="23">
        <v>0</v>
      </c>
      <c r="AQ298" s="23">
        <v>0</v>
      </c>
      <c r="AR298" s="23">
        <v>0</v>
      </c>
      <c r="AS298" s="23">
        <v>0</v>
      </c>
      <c r="AT298" s="23">
        <v>0</v>
      </c>
      <c r="AU298" s="23">
        <v>0</v>
      </c>
      <c r="AV298" s="23">
        <v>0</v>
      </c>
      <c r="AW298" s="23">
        <v>0</v>
      </c>
      <c r="AX298" s="23">
        <v>0</v>
      </c>
      <c r="AY298" s="23">
        <v>0</v>
      </c>
      <c r="AZ298" s="23">
        <v>0</v>
      </c>
      <c r="BA298" s="23">
        <v>0</v>
      </c>
      <c r="BB298" s="23">
        <v>0</v>
      </c>
      <c r="BC298" s="23">
        <v>0</v>
      </c>
      <c r="BD298" s="23">
        <v>0</v>
      </c>
      <c r="BE298" s="23">
        <v>0</v>
      </c>
      <c r="BF298" s="23">
        <v>0</v>
      </c>
      <c r="BG298" s="23">
        <v>1</v>
      </c>
      <c r="BH298" s="23">
        <v>1</v>
      </c>
      <c r="BI298" s="23">
        <v>1</v>
      </c>
      <c r="BJ298" s="23">
        <v>1</v>
      </c>
      <c r="BK298" s="23">
        <v>1</v>
      </c>
      <c r="BL298" s="23">
        <v>1</v>
      </c>
      <c r="BM298" s="23">
        <v>1</v>
      </c>
      <c r="BN298" s="23">
        <v>1</v>
      </c>
      <c r="BO298" s="23">
        <v>1</v>
      </c>
      <c r="BP298" s="23">
        <f t="shared" si="138"/>
        <v>0</v>
      </c>
      <c r="BQ298" s="23">
        <f t="shared" si="139"/>
        <v>0</v>
      </c>
      <c r="BR298" s="23">
        <f t="shared" si="140"/>
        <v>0</v>
      </c>
      <c r="BS298" s="23">
        <f t="shared" si="141"/>
        <v>0</v>
      </c>
      <c r="BT298" s="23">
        <f t="shared" si="142"/>
        <v>0</v>
      </c>
      <c r="BU298" s="23">
        <f t="shared" si="143"/>
        <v>0</v>
      </c>
      <c r="BV298" s="23">
        <f t="shared" si="144"/>
        <v>0</v>
      </c>
      <c r="BW298" s="23">
        <f t="shared" si="145"/>
        <v>0</v>
      </c>
      <c r="BX298" s="23">
        <f t="shared" si="146"/>
        <v>0</v>
      </c>
      <c r="BY298" s="23">
        <f t="shared" si="147"/>
        <v>0</v>
      </c>
      <c r="BZ298" s="23">
        <f t="shared" si="148"/>
        <v>0</v>
      </c>
      <c r="CA298" s="23">
        <f t="shared" si="149"/>
        <v>0</v>
      </c>
      <c r="CB298" s="23">
        <f t="shared" si="150"/>
        <v>0</v>
      </c>
      <c r="CC298" s="23">
        <f t="shared" si="151"/>
        <v>0</v>
      </c>
      <c r="CD298" s="23">
        <f t="shared" si="152"/>
        <v>0</v>
      </c>
      <c r="CE298" s="23">
        <f t="shared" si="153"/>
        <v>0</v>
      </c>
      <c r="CF298" s="23">
        <f t="shared" si="154"/>
        <v>0</v>
      </c>
      <c r="CG298" s="23">
        <f t="shared" si="155"/>
        <v>0</v>
      </c>
      <c r="CH298" s="23">
        <f t="shared" si="156"/>
        <v>0</v>
      </c>
      <c r="CI298" s="23">
        <f t="shared" si="157"/>
        <v>0</v>
      </c>
      <c r="CJ298" s="23">
        <f t="shared" si="158"/>
        <v>0</v>
      </c>
      <c r="CK298" s="23">
        <f t="shared" si="159"/>
        <v>0</v>
      </c>
      <c r="CL298" s="23">
        <f t="shared" si="160"/>
        <v>0</v>
      </c>
      <c r="CM298" s="23">
        <f t="shared" si="161"/>
        <v>0</v>
      </c>
      <c r="CN298" s="23">
        <f t="shared" si="162"/>
        <v>1</v>
      </c>
      <c r="CO298" s="23">
        <f t="shared" si="163"/>
        <v>1</v>
      </c>
      <c r="CP298" s="23">
        <f t="shared" si="164"/>
        <v>1</v>
      </c>
      <c r="CQ298" s="23">
        <f t="shared" si="165"/>
        <v>1</v>
      </c>
      <c r="CR298" s="23">
        <f t="shared" si="166"/>
        <v>1</v>
      </c>
      <c r="CS298" s="23">
        <f t="shared" si="167"/>
        <v>1</v>
      </c>
      <c r="CT298" s="23">
        <f t="shared" si="168"/>
        <v>1</v>
      </c>
      <c r="CU298" s="23">
        <f t="shared" si="169"/>
        <v>1</v>
      </c>
      <c r="CV298" s="23">
        <f t="shared" si="170"/>
        <v>1</v>
      </c>
    </row>
    <row r="299" spans="1:100" ht="13.5">
      <c r="A299" s="15">
        <v>222</v>
      </c>
      <c r="B299" s="38" t="s">
        <v>802</v>
      </c>
      <c r="C299" t="s">
        <v>580</v>
      </c>
      <c r="E299" t="s">
        <v>465</v>
      </c>
      <c r="F299" t="s">
        <v>581</v>
      </c>
      <c r="G299" t="s">
        <v>465</v>
      </c>
      <c r="H299" t="s">
        <v>582</v>
      </c>
      <c r="I299" s="6" t="s">
        <v>136</v>
      </c>
      <c r="J299" s="6">
        <v>0</v>
      </c>
      <c r="L299" s="15">
        <v>1</v>
      </c>
      <c r="N299" s="7">
        <v>46139</v>
      </c>
      <c r="O299" s="7">
        <v>46129</v>
      </c>
      <c r="P299" s="7">
        <v>46132</v>
      </c>
      <c r="S299" s="6" t="s">
        <v>465</v>
      </c>
      <c r="U299" s="6" t="s">
        <v>464</v>
      </c>
      <c r="V299" s="6" t="str">
        <f t="shared" si="137"/>
        <v>26/04</v>
      </c>
      <c r="W299">
        <v>1603</v>
      </c>
      <c r="AA299">
        <v>957</v>
      </c>
      <c r="AC299">
        <v>1010</v>
      </c>
      <c r="AI299" s="23">
        <v>0</v>
      </c>
      <c r="AJ299" s="23">
        <v>0</v>
      </c>
      <c r="AK299" s="23">
        <v>0</v>
      </c>
      <c r="AL299" s="23">
        <v>0</v>
      </c>
      <c r="AM299" s="23">
        <v>0</v>
      </c>
      <c r="AN299" s="23">
        <v>0</v>
      </c>
      <c r="AO299" s="23">
        <v>0</v>
      </c>
      <c r="AP299" s="23">
        <v>0</v>
      </c>
      <c r="AQ299" s="23">
        <v>0</v>
      </c>
      <c r="AR299" s="23">
        <v>0</v>
      </c>
      <c r="AS299" s="23">
        <v>0</v>
      </c>
      <c r="AT299" s="23">
        <v>0</v>
      </c>
      <c r="AU299" s="23">
        <v>0</v>
      </c>
      <c r="AV299" s="23">
        <v>0</v>
      </c>
      <c r="AW299" s="23">
        <v>0</v>
      </c>
      <c r="AX299" s="23">
        <v>0</v>
      </c>
      <c r="AY299" s="23">
        <v>0</v>
      </c>
      <c r="AZ299" s="23">
        <v>0</v>
      </c>
      <c r="BA299" s="23">
        <v>0</v>
      </c>
      <c r="BB299" s="23">
        <v>0</v>
      </c>
      <c r="BC299" s="23">
        <v>0</v>
      </c>
      <c r="BD299" s="23">
        <v>0</v>
      </c>
      <c r="BE299" s="23">
        <v>0</v>
      </c>
      <c r="BF299" s="23">
        <v>0</v>
      </c>
      <c r="BG299" s="23">
        <v>1</v>
      </c>
      <c r="BH299" s="23">
        <v>1</v>
      </c>
      <c r="BI299" s="23">
        <v>1</v>
      </c>
      <c r="BJ299" s="23">
        <v>1</v>
      </c>
      <c r="BK299" s="23">
        <v>1</v>
      </c>
      <c r="BL299" s="23">
        <v>1</v>
      </c>
      <c r="BM299" s="23">
        <v>1</v>
      </c>
      <c r="BN299" s="23">
        <v>1</v>
      </c>
      <c r="BO299" s="23">
        <v>1</v>
      </c>
      <c r="BP299" s="23">
        <f t="shared" si="138"/>
        <v>0</v>
      </c>
      <c r="BQ299" s="23">
        <f t="shared" si="139"/>
        <v>0</v>
      </c>
      <c r="BR299" s="23">
        <f t="shared" si="140"/>
        <v>0</v>
      </c>
      <c r="BS299" s="23">
        <f t="shared" si="141"/>
        <v>0</v>
      </c>
      <c r="BT299" s="23">
        <f t="shared" si="142"/>
        <v>0</v>
      </c>
      <c r="BU299" s="23">
        <f t="shared" si="143"/>
        <v>0</v>
      </c>
      <c r="BV299" s="23">
        <f t="shared" si="144"/>
        <v>0</v>
      </c>
      <c r="BW299" s="23">
        <f t="shared" si="145"/>
        <v>0</v>
      </c>
      <c r="BX299" s="23">
        <f t="shared" si="146"/>
        <v>0</v>
      </c>
      <c r="BY299" s="23">
        <f t="shared" si="147"/>
        <v>0</v>
      </c>
      <c r="BZ299" s="23">
        <f t="shared" si="148"/>
        <v>0</v>
      </c>
      <c r="CA299" s="23">
        <f t="shared" si="149"/>
        <v>0</v>
      </c>
      <c r="CB299" s="23">
        <f t="shared" si="150"/>
        <v>0</v>
      </c>
      <c r="CC299" s="23">
        <f t="shared" si="151"/>
        <v>0</v>
      </c>
      <c r="CD299" s="23">
        <f t="shared" si="152"/>
        <v>0</v>
      </c>
      <c r="CE299" s="23">
        <f t="shared" si="153"/>
        <v>0</v>
      </c>
      <c r="CF299" s="23">
        <f t="shared" si="154"/>
        <v>0</v>
      </c>
      <c r="CG299" s="23">
        <f t="shared" si="155"/>
        <v>0</v>
      </c>
      <c r="CH299" s="23">
        <f t="shared" si="156"/>
        <v>0</v>
      </c>
      <c r="CI299" s="23">
        <f t="shared" si="157"/>
        <v>0</v>
      </c>
      <c r="CJ299" s="23">
        <f t="shared" si="158"/>
        <v>0</v>
      </c>
      <c r="CK299" s="23">
        <f t="shared" si="159"/>
        <v>0</v>
      </c>
      <c r="CL299" s="23">
        <f t="shared" si="160"/>
        <v>0</v>
      </c>
      <c r="CM299" s="23">
        <f t="shared" si="161"/>
        <v>0</v>
      </c>
      <c r="CN299" s="23">
        <f t="shared" si="162"/>
        <v>1</v>
      </c>
      <c r="CO299" s="23">
        <f t="shared" si="163"/>
        <v>1</v>
      </c>
      <c r="CP299" s="23">
        <f t="shared" si="164"/>
        <v>1</v>
      </c>
      <c r="CQ299" s="23">
        <f t="shared" si="165"/>
        <v>1</v>
      </c>
      <c r="CR299" s="23">
        <f t="shared" si="166"/>
        <v>1</v>
      </c>
      <c r="CS299" s="23">
        <f t="shared" si="167"/>
        <v>1</v>
      </c>
      <c r="CT299" s="23">
        <f t="shared" si="168"/>
        <v>1</v>
      </c>
      <c r="CU299" s="23">
        <f t="shared" si="169"/>
        <v>1</v>
      </c>
      <c r="CV299" s="23">
        <f t="shared" si="170"/>
        <v>1</v>
      </c>
    </row>
    <row r="300" spans="1:100" ht="13.5">
      <c r="A300" s="15">
        <v>229</v>
      </c>
      <c r="B300" s="38" t="s">
        <v>1019</v>
      </c>
      <c r="C300" t="s">
        <v>580</v>
      </c>
      <c r="E300" t="s">
        <v>465</v>
      </c>
      <c r="F300" t="s">
        <v>581</v>
      </c>
      <c r="G300" t="s">
        <v>465</v>
      </c>
      <c r="H300" t="s">
        <v>582</v>
      </c>
      <c r="I300" s="6" t="s">
        <v>136</v>
      </c>
      <c r="J300" s="6">
        <v>0</v>
      </c>
      <c r="L300" s="15">
        <v>1</v>
      </c>
      <c r="N300" s="7">
        <v>46140</v>
      </c>
      <c r="O300" s="7">
        <v>46136</v>
      </c>
      <c r="P300" s="7">
        <v>46139</v>
      </c>
      <c r="S300" s="6" t="s">
        <v>465</v>
      </c>
      <c r="U300" s="6" t="s">
        <v>464</v>
      </c>
      <c r="V300" s="6" t="str">
        <f t="shared" si="137"/>
        <v>26/04</v>
      </c>
      <c r="W300">
        <v>1604</v>
      </c>
      <c r="AA300">
        <v>958</v>
      </c>
      <c r="AC300">
        <v>1011</v>
      </c>
      <c r="AI300" s="23">
        <v>0</v>
      </c>
      <c r="AJ300" s="23">
        <v>0</v>
      </c>
      <c r="AK300" s="23">
        <v>0</v>
      </c>
      <c r="AL300" s="23">
        <v>0</v>
      </c>
      <c r="AM300" s="23">
        <v>0</v>
      </c>
      <c r="AN300" s="23">
        <v>0</v>
      </c>
      <c r="AO300" s="23">
        <v>0</v>
      </c>
      <c r="AP300" s="23">
        <v>0</v>
      </c>
      <c r="AQ300" s="23">
        <v>0</v>
      </c>
      <c r="AR300" s="23">
        <v>0</v>
      </c>
      <c r="AS300" s="23">
        <v>0</v>
      </c>
      <c r="AT300" s="23">
        <v>0</v>
      </c>
      <c r="AU300" s="23">
        <v>0</v>
      </c>
      <c r="AV300" s="23">
        <v>0</v>
      </c>
      <c r="AW300" s="23">
        <v>0</v>
      </c>
      <c r="AX300" s="23">
        <v>0</v>
      </c>
      <c r="AY300" s="23">
        <v>0</v>
      </c>
      <c r="AZ300" s="23">
        <v>0</v>
      </c>
      <c r="BA300" s="23">
        <v>0</v>
      </c>
      <c r="BB300" s="23">
        <v>0</v>
      </c>
      <c r="BC300" s="23">
        <v>0</v>
      </c>
      <c r="BD300" s="23">
        <v>0</v>
      </c>
      <c r="BE300" s="23">
        <v>0</v>
      </c>
      <c r="BF300" s="23">
        <v>0</v>
      </c>
      <c r="BG300" s="23">
        <v>1</v>
      </c>
      <c r="BH300" s="23">
        <v>1</v>
      </c>
      <c r="BI300" s="23">
        <v>1</v>
      </c>
      <c r="BJ300" s="23">
        <v>1</v>
      </c>
      <c r="BK300" s="23">
        <v>1</v>
      </c>
      <c r="BL300" s="23">
        <v>1</v>
      </c>
      <c r="BM300" s="23">
        <v>1</v>
      </c>
      <c r="BN300" s="23">
        <v>1</v>
      </c>
      <c r="BO300" s="23">
        <v>1</v>
      </c>
      <c r="BP300" s="23">
        <f t="shared" si="138"/>
        <v>0</v>
      </c>
      <c r="BQ300" s="23">
        <f t="shared" si="139"/>
        <v>0</v>
      </c>
      <c r="BR300" s="23">
        <f t="shared" si="140"/>
        <v>0</v>
      </c>
      <c r="BS300" s="23">
        <f t="shared" si="141"/>
        <v>0</v>
      </c>
      <c r="BT300" s="23">
        <f t="shared" si="142"/>
        <v>0</v>
      </c>
      <c r="BU300" s="23">
        <f t="shared" si="143"/>
        <v>0</v>
      </c>
      <c r="BV300" s="23">
        <f t="shared" si="144"/>
        <v>0</v>
      </c>
      <c r="BW300" s="23">
        <f t="shared" si="145"/>
        <v>0</v>
      </c>
      <c r="BX300" s="23">
        <f t="shared" si="146"/>
        <v>0</v>
      </c>
      <c r="BY300" s="23">
        <f t="shared" si="147"/>
        <v>0</v>
      </c>
      <c r="BZ300" s="23">
        <f t="shared" si="148"/>
        <v>0</v>
      </c>
      <c r="CA300" s="23">
        <f t="shared" si="149"/>
        <v>0</v>
      </c>
      <c r="CB300" s="23">
        <f t="shared" si="150"/>
        <v>0</v>
      </c>
      <c r="CC300" s="23">
        <f t="shared" si="151"/>
        <v>0</v>
      </c>
      <c r="CD300" s="23">
        <f t="shared" si="152"/>
        <v>0</v>
      </c>
      <c r="CE300" s="23">
        <f t="shared" si="153"/>
        <v>0</v>
      </c>
      <c r="CF300" s="23">
        <f t="shared" si="154"/>
        <v>0</v>
      </c>
      <c r="CG300" s="23">
        <f t="shared" si="155"/>
        <v>0</v>
      </c>
      <c r="CH300" s="23">
        <f t="shared" si="156"/>
        <v>0</v>
      </c>
      <c r="CI300" s="23">
        <f t="shared" si="157"/>
        <v>0</v>
      </c>
      <c r="CJ300" s="23">
        <f t="shared" si="158"/>
        <v>0</v>
      </c>
      <c r="CK300" s="23">
        <f t="shared" si="159"/>
        <v>0</v>
      </c>
      <c r="CL300" s="23">
        <f t="shared" si="160"/>
        <v>0</v>
      </c>
      <c r="CM300" s="23">
        <f t="shared" si="161"/>
        <v>0</v>
      </c>
      <c r="CN300" s="23">
        <f t="shared" si="162"/>
        <v>1</v>
      </c>
      <c r="CO300" s="23">
        <f t="shared" si="163"/>
        <v>1</v>
      </c>
      <c r="CP300" s="23">
        <f t="shared" si="164"/>
        <v>1</v>
      </c>
      <c r="CQ300" s="23">
        <f t="shared" si="165"/>
        <v>1</v>
      </c>
      <c r="CR300" s="23">
        <f t="shared" si="166"/>
        <v>1</v>
      </c>
      <c r="CS300" s="23">
        <f t="shared" si="167"/>
        <v>1</v>
      </c>
      <c r="CT300" s="23">
        <f t="shared" si="168"/>
        <v>1</v>
      </c>
      <c r="CU300" s="23">
        <f t="shared" si="169"/>
        <v>1</v>
      </c>
      <c r="CV300" s="23">
        <f t="shared" si="170"/>
        <v>1</v>
      </c>
    </row>
    <row r="301" spans="1:100" ht="13.5">
      <c r="A301" s="15">
        <v>229</v>
      </c>
      <c r="B301" s="38" t="s">
        <v>1020</v>
      </c>
      <c r="C301" t="s">
        <v>580</v>
      </c>
      <c r="E301" t="s">
        <v>465</v>
      </c>
      <c r="F301" t="s">
        <v>581</v>
      </c>
      <c r="G301" t="s">
        <v>465</v>
      </c>
      <c r="H301" t="s">
        <v>582</v>
      </c>
      <c r="I301" s="6" t="s">
        <v>136</v>
      </c>
      <c r="J301" s="6">
        <v>0</v>
      </c>
      <c r="L301" s="15">
        <v>1</v>
      </c>
      <c r="N301" s="7">
        <v>46140</v>
      </c>
      <c r="O301" s="7">
        <v>46136</v>
      </c>
      <c r="P301" s="7">
        <v>46139</v>
      </c>
      <c r="S301" s="6" t="s">
        <v>465</v>
      </c>
      <c r="U301" s="6" t="s">
        <v>464</v>
      </c>
      <c r="V301" s="6" t="str">
        <f t="shared" si="137"/>
        <v>26/04</v>
      </c>
      <c r="W301">
        <v>1605</v>
      </c>
      <c r="AA301">
        <v>959</v>
      </c>
      <c r="AC301">
        <v>1012</v>
      </c>
      <c r="AI301" s="23">
        <v>0</v>
      </c>
      <c r="AJ301" s="23">
        <v>0</v>
      </c>
      <c r="AK301" s="23">
        <v>0</v>
      </c>
      <c r="AL301" s="23">
        <v>0</v>
      </c>
      <c r="AM301" s="23">
        <v>0</v>
      </c>
      <c r="AN301" s="23">
        <v>0</v>
      </c>
      <c r="AO301" s="23">
        <v>0</v>
      </c>
      <c r="AP301" s="23">
        <v>0</v>
      </c>
      <c r="AQ301" s="23">
        <v>0</v>
      </c>
      <c r="AR301" s="23">
        <v>0</v>
      </c>
      <c r="AS301" s="23">
        <v>0</v>
      </c>
      <c r="AT301" s="23">
        <v>0</v>
      </c>
      <c r="AU301" s="23">
        <v>0</v>
      </c>
      <c r="AV301" s="23">
        <v>0</v>
      </c>
      <c r="AW301" s="23">
        <v>0</v>
      </c>
      <c r="AX301" s="23">
        <v>0</v>
      </c>
      <c r="AY301" s="23">
        <v>0</v>
      </c>
      <c r="AZ301" s="23">
        <v>0</v>
      </c>
      <c r="BA301" s="23">
        <v>0</v>
      </c>
      <c r="BB301" s="23">
        <v>0</v>
      </c>
      <c r="BC301" s="23">
        <v>0</v>
      </c>
      <c r="BD301" s="23">
        <v>0</v>
      </c>
      <c r="BE301" s="23">
        <v>0</v>
      </c>
      <c r="BF301" s="23">
        <v>0</v>
      </c>
      <c r="BG301" s="23">
        <v>1</v>
      </c>
      <c r="BH301" s="23">
        <v>1</v>
      </c>
      <c r="BI301" s="23">
        <v>1</v>
      </c>
      <c r="BJ301" s="23">
        <v>1</v>
      </c>
      <c r="BK301" s="23">
        <v>1</v>
      </c>
      <c r="BL301" s="23">
        <v>1</v>
      </c>
      <c r="BM301" s="23">
        <v>1</v>
      </c>
      <c r="BN301" s="23">
        <v>1</v>
      </c>
      <c r="BO301" s="23">
        <v>1</v>
      </c>
      <c r="BP301" s="23">
        <f t="shared" si="138"/>
        <v>0</v>
      </c>
      <c r="BQ301" s="23">
        <f t="shared" si="139"/>
        <v>0</v>
      </c>
      <c r="BR301" s="23">
        <f t="shared" si="140"/>
        <v>0</v>
      </c>
      <c r="BS301" s="23">
        <f t="shared" si="141"/>
        <v>0</v>
      </c>
      <c r="BT301" s="23">
        <f t="shared" si="142"/>
        <v>0</v>
      </c>
      <c r="BU301" s="23">
        <f t="shared" si="143"/>
        <v>0</v>
      </c>
      <c r="BV301" s="23">
        <f t="shared" si="144"/>
        <v>0</v>
      </c>
      <c r="BW301" s="23">
        <f t="shared" si="145"/>
        <v>0</v>
      </c>
      <c r="BX301" s="23">
        <f t="shared" si="146"/>
        <v>0</v>
      </c>
      <c r="BY301" s="23">
        <f t="shared" si="147"/>
        <v>0</v>
      </c>
      <c r="BZ301" s="23">
        <f t="shared" si="148"/>
        <v>0</v>
      </c>
      <c r="CA301" s="23">
        <f t="shared" si="149"/>
        <v>0</v>
      </c>
      <c r="CB301" s="23">
        <f t="shared" si="150"/>
        <v>0</v>
      </c>
      <c r="CC301" s="23">
        <f t="shared" si="151"/>
        <v>0</v>
      </c>
      <c r="CD301" s="23">
        <f t="shared" si="152"/>
        <v>0</v>
      </c>
      <c r="CE301" s="23">
        <f t="shared" si="153"/>
        <v>0</v>
      </c>
      <c r="CF301" s="23">
        <f t="shared" si="154"/>
        <v>0</v>
      </c>
      <c r="CG301" s="23">
        <f t="shared" si="155"/>
        <v>0</v>
      </c>
      <c r="CH301" s="23">
        <f t="shared" si="156"/>
        <v>0</v>
      </c>
      <c r="CI301" s="23">
        <f t="shared" si="157"/>
        <v>0</v>
      </c>
      <c r="CJ301" s="23">
        <f t="shared" si="158"/>
        <v>0</v>
      </c>
      <c r="CK301" s="23">
        <f t="shared" si="159"/>
        <v>0</v>
      </c>
      <c r="CL301" s="23">
        <f t="shared" si="160"/>
        <v>0</v>
      </c>
      <c r="CM301" s="23">
        <f t="shared" si="161"/>
        <v>0</v>
      </c>
      <c r="CN301" s="23">
        <f t="shared" si="162"/>
        <v>1</v>
      </c>
      <c r="CO301" s="23">
        <f t="shared" si="163"/>
        <v>1</v>
      </c>
      <c r="CP301" s="23">
        <f t="shared" si="164"/>
        <v>1</v>
      </c>
      <c r="CQ301" s="23">
        <f t="shared" si="165"/>
        <v>1</v>
      </c>
      <c r="CR301" s="23">
        <f t="shared" si="166"/>
        <v>1</v>
      </c>
      <c r="CS301" s="23">
        <f t="shared" si="167"/>
        <v>1</v>
      </c>
      <c r="CT301" s="23">
        <f t="shared" si="168"/>
        <v>1</v>
      </c>
      <c r="CU301" s="23">
        <f t="shared" si="169"/>
        <v>1</v>
      </c>
      <c r="CV301" s="23">
        <f t="shared" si="170"/>
        <v>1</v>
      </c>
    </row>
    <row r="302" spans="1:100" ht="13.5">
      <c r="A302" s="15">
        <v>229</v>
      </c>
      <c r="B302" s="38" t="s">
        <v>1021</v>
      </c>
      <c r="C302" t="s">
        <v>580</v>
      </c>
      <c r="E302" t="s">
        <v>465</v>
      </c>
      <c r="F302" t="s">
        <v>581</v>
      </c>
      <c r="G302" t="s">
        <v>465</v>
      </c>
      <c r="H302" t="s">
        <v>582</v>
      </c>
      <c r="I302" s="6" t="s">
        <v>136</v>
      </c>
      <c r="J302" s="6">
        <v>0</v>
      </c>
      <c r="L302" s="15">
        <v>1</v>
      </c>
      <c r="N302" s="7">
        <v>46140</v>
      </c>
      <c r="O302" s="7">
        <v>46136</v>
      </c>
      <c r="P302" s="7">
        <v>46139</v>
      </c>
      <c r="S302" s="6" t="s">
        <v>465</v>
      </c>
      <c r="U302" s="6" t="s">
        <v>464</v>
      </c>
      <c r="V302" s="6" t="str">
        <f t="shared" si="137"/>
        <v>26/04</v>
      </c>
      <c r="W302">
        <v>1606</v>
      </c>
      <c r="AA302">
        <v>960</v>
      </c>
      <c r="AC302">
        <v>1013</v>
      </c>
      <c r="AI302" s="23">
        <v>0</v>
      </c>
      <c r="AJ302" s="23">
        <v>0</v>
      </c>
      <c r="AK302" s="23">
        <v>0</v>
      </c>
      <c r="AL302" s="23">
        <v>0</v>
      </c>
      <c r="AM302" s="23">
        <v>0</v>
      </c>
      <c r="AN302" s="23">
        <v>0</v>
      </c>
      <c r="AO302" s="23">
        <v>0</v>
      </c>
      <c r="AP302" s="23">
        <v>0</v>
      </c>
      <c r="AQ302" s="23">
        <v>0</v>
      </c>
      <c r="AR302" s="23">
        <v>0</v>
      </c>
      <c r="AS302" s="23">
        <v>0</v>
      </c>
      <c r="AT302" s="23">
        <v>0</v>
      </c>
      <c r="AU302" s="23">
        <v>0</v>
      </c>
      <c r="AV302" s="23">
        <v>0</v>
      </c>
      <c r="AW302" s="23">
        <v>0</v>
      </c>
      <c r="AX302" s="23">
        <v>0</v>
      </c>
      <c r="AY302" s="23">
        <v>0</v>
      </c>
      <c r="AZ302" s="23">
        <v>0</v>
      </c>
      <c r="BA302" s="23">
        <v>0</v>
      </c>
      <c r="BB302" s="23">
        <v>0</v>
      </c>
      <c r="BC302" s="23">
        <v>0</v>
      </c>
      <c r="BD302" s="23">
        <v>0</v>
      </c>
      <c r="BE302" s="23">
        <v>0</v>
      </c>
      <c r="BF302" s="23">
        <v>0</v>
      </c>
      <c r="BG302" s="23">
        <v>1</v>
      </c>
      <c r="BH302" s="23">
        <v>1</v>
      </c>
      <c r="BI302" s="23">
        <v>1</v>
      </c>
      <c r="BJ302" s="23">
        <v>1</v>
      </c>
      <c r="BK302" s="23">
        <v>1</v>
      </c>
      <c r="BL302" s="23">
        <v>1</v>
      </c>
      <c r="BM302" s="23">
        <v>1</v>
      </c>
      <c r="BN302" s="23">
        <v>1</v>
      </c>
      <c r="BO302" s="23">
        <v>1</v>
      </c>
      <c r="BP302" s="23">
        <f t="shared" si="138"/>
        <v>0</v>
      </c>
      <c r="BQ302" s="23">
        <f t="shared" si="139"/>
        <v>0</v>
      </c>
      <c r="BR302" s="23">
        <f t="shared" si="140"/>
        <v>0</v>
      </c>
      <c r="BS302" s="23">
        <f t="shared" si="141"/>
        <v>0</v>
      </c>
      <c r="BT302" s="23">
        <f t="shared" si="142"/>
        <v>0</v>
      </c>
      <c r="BU302" s="23">
        <f t="shared" si="143"/>
        <v>0</v>
      </c>
      <c r="BV302" s="23">
        <f t="shared" si="144"/>
        <v>0</v>
      </c>
      <c r="BW302" s="23">
        <f t="shared" si="145"/>
        <v>0</v>
      </c>
      <c r="BX302" s="23">
        <f t="shared" si="146"/>
        <v>0</v>
      </c>
      <c r="BY302" s="23">
        <f t="shared" si="147"/>
        <v>0</v>
      </c>
      <c r="BZ302" s="23">
        <f t="shared" si="148"/>
        <v>0</v>
      </c>
      <c r="CA302" s="23">
        <f t="shared" si="149"/>
        <v>0</v>
      </c>
      <c r="CB302" s="23">
        <f t="shared" si="150"/>
        <v>0</v>
      </c>
      <c r="CC302" s="23">
        <f t="shared" si="151"/>
        <v>0</v>
      </c>
      <c r="CD302" s="23">
        <f t="shared" si="152"/>
        <v>0</v>
      </c>
      <c r="CE302" s="23">
        <f t="shared" si="153"/>
        <v>0</v>
      </c>
      <c r="CF302" s="23">
        <f t="shared" si="154"/>
        <v>0</v>
      </c>
      <c r="CG302" s="23">
        <f t="shared" si="155"/>
        <v>0</v>
      </c>
      <c r="CH302" s="23">
        <f t="shared" si="156"/>
        <v>0</v>
      </c>
      <c r="CI302" s="23">
        <f t="shared" si="157"/>
        <v>0</v>
      </c>
      <c r="CJ302" s="23">
        <f t="shared" si="158"/>
        <v>0</v>
      </c>
      <c r="CK302" s="23">
        <f t="shared" si="159"/>
        <v>0</v>
      </c>
      <c r="CL302" s="23">
        <f t="shared" si="160"/>
        <v>0</v>
      </c>
      <c r="CM302" s="23">
        <f t="shared" si="161"/>
        <v>0</v>
      </c>
      <c r="CN302" s="23">
        <f t="shared" si="162"/>
        <v>1</v>
      </c>
      <c r="CO302" s="23">
        <f t="shared" si="163"/>
        <v>1</v>
      </c>
      <c r="CP302" s="23">
        <f t="shared" si="164"/>
        <v>1</v>
      </c>
      <c r="CQ302" s="23">
        <f t="shared" si="165"/>
        <v>1</v>
      </c>
      <c r="CR302" s="23">
        <f t="shared" si="166"/>
        <v>1</v>
      </c>
      <c r="CS302" s="23">
        <f t="shared" si="167"/>
        <v>1</v>
      </c>
      <c r="CT302" s="23">
        <f t="shared" si="168"/>
        <v>1</v>
      </c>
      <c r="CU302" s="23">
        <f t="shared" si="169"/>
        <v>1</v>
      </c>
      <c r="CV302" s="23">
        <f t="shared" si="170"/>
        <v>1</v>
      </c>
    </row>
    <row r="303" spans="1:100" ht="13.5">
      <c r="A303" s="15">
        <v>229</v>
      </c>
      <c r="B303" s="38" t="s">
        <v>1022</v>
      </c>
      <c r="C303" t="s">
        <v>580</v>
      </c>
      <c r="E303" t="s">
        <v>465</v>
      </c>
      <c r="F303" t="s">
        <v>581</v>
      </c>
      <c r="G303" t="s">
        <v>465</v>
      </c>
      <c r="H303" t="s">
        <v>582</v>
      </c>
      <c r="I303" s="6" t="s">
        <v>136</v>
      </c>
      <c r="J303" s="6">
        <v>0</v>
      </c>
      <c r="L303" s="15">
        <v>1</v>
      </c>
      <c r="N303" s="7">
        <v>46140</v>
      </c>
      <c r="O303" s="7">
        <v>46136</v>
      </c>
      <c r="P303" s="7">
        <v>46139</v>
      </c>
      <c r="S303" s="6" t="s">
        <v>465</v>
      </c>
      <c r="U303" s="6" t="s">
        <v>464</v>
      </c>
      <c r="V303" s="6" t="str">
        <f t="shared" si="137"/>
        <v>26/04</v>
      </c>
      <c r="W303">
        <v>1607</v>
      </c>
      <c r="AA303">
        <v>961</v>
      </c>
      <c r="AC303">
        <v>1014</v>
      </c>
      <c r="AI303" s="23">
        <v>0</v>
      </c>
      <c r="AJ303" s="23">
        <v>0</v>
      </c>
      <c r="AK303" s="23">
        <v>0</v>
      </c>
      <c r="AL303" s="23">
        <v>0</v>
      </c>
      <c r="AM303" s="23">
        <v>0</v>
      </c>
      <c r="AN303" s="23">
        <v>0</v>
      </c>
      <c r="AO303" s="23">
        <v>0</v>
      </c>
      <c r="AP303" s="23">
        <v>0</v>
      </c>
      <c r="AQ303" s="23">
        <v>0</v>
      </c>
      <c r="AR303" s="23">
        <v>0</v>
      </c>
      <c r="AS303" s="23">
        <v>0</v>
      </c>
      <c r="AT303" s="23">
        <v>0</v>
      </c>
      <c r="AU303" s="23">
        <v>0</v>
      </c>
      <c r="AV303" s="23">
        <v>0</v>
      </c>
      <c r="AW303" s="23">
        <v>0</v>
      </c>
      <c r="AX303" s="23">
        <v>0</v>
      </c>
      <c r="AY303" s="23">
        <v>0</v>
      </c>
      <c r="AZ303" s="23">
        <v>0</v>
      </c>
      <c r="BA303" s="23">
        <v>0</v>
      </c>
      <c r="BB303" s="23">
        <v>0</v>
      </c>
      <c r="BC303" s="23">
        <v>0</v>
      </c>
      <c r="BD303" s="23">
        <v>0</v>
      </c>
      <c r="BE303" s="23">
        <v>0</v>
      </c>
      <c r="BF303" s="23">
        <v>0</v>
      </c>
      <c r="BG303" s="23">
        <v>1</v>
      </c>
      <c r="BH303" s="23">
        <v>1</v>
      </c>
      <c r="BI303" s="23">
        <v>1</v>
      </c>
      <c r="BJ303" s="23">
        <v>1</v>
      </c>
      <c r="BK303" s="23">
        <v>1</v>
      </c>
      <c r="BL303" s="23">
        <v>1</v>
      </c>
      <c r="BM303" s="23">
        <v>1</v>
      </c>
      <c r="BN303" s="23">
        <v>1</v>
      </c>
      <c r="BO303" s="23">
        <v>1</v>
      </c>
      <c r="BP303" s="23">
        <f t="shared" si="138"/>
        <v>0</v>
      </c>
      <c r="BQ303" s="23">
        <f t="shared" si="139"/>
        <v>0</v>
      </c>
      <c r="BR303" s="23">
        <f t="shared" si="140"/>
        <v>0</v>
      </c>
      <c r="BS303" s="23">
        <f t="shared" si="141"/>
        <v>0</v>
      </c>
      <c r="BT303" s="23">
        <f t="shared" si="142"/>
        <v>0</v>
      </c>
      <c r="BU303" s="23">
        <f t="shared" si="143"/>
        <v>0</v>
      </c>
      <c r="BV303" s="23">
        <f t="shared" si="144"/>
        <v>0</v>
      </c>
      <c r="BW303" s="23">
        <f t="shared" si="145"/>
        <v>0</v>
      </c>
      <c r="BX303" s="23">
        <f t="shared" si="146"/>
        <v>0</v>
      </c>
      <c r="BY303" s="23">
        <f t="shared" si="147"/>
        <v>0</v>
      </c>
      <c r="BZ303" s="23">
        <f t="shared" si="148"/>
        <v>0</v>
      </c>
      <c r="CA303" s="23">
        <f t="shared" si="149"/>
        <v>0</v>
      </c>
      <c r="CB303" s="23">
        <f t="shared" si="150"/>
        <v>0</v>
      </c>
      <c r="CC303" s="23">
        <f t="shared" si="151"/>
        <v>0</v>
      </c>
      <c r="CD303" s="23">
        <f t="shared" si="152"/>
        <v>0</v>
      </c>
      <c r="CE303" s="23">
        <f t="shared" si="153"/>
        <v>0</v>
      </c>
      <c r="CF303" s="23">
        <f t="shared" si="154"/>
        <v>0</v>
      </c>
      <c r="CG303" s="23">
        <f t="shared" si="155"/>
        <v>0</v>
      </c>
      <c r="CH303" s="23">
        <f t="shared" si="156"/>
        <v>0</v>
      </c>
      <c r="CI303" s="23">
        <f t="shared" si="157"/>
        <v>0</v>
      </c>
      <c r="CJ303" s="23">
        <f t="shared" si="158"/>
        <v>0</v>
      </c>
      <c r="CK303" s="23">
        <f t="shared" si="159"/>
        <v>0</v>
      </c>
      <c r="CL303" s="23">
        <f t="shared" si="160"/>
        <v>0</v>
      </c>
      <c r="CM303" s="23">
        <f t="shared" si="161"/>
        <v>0</v>
      </c>
      <c r="CN303" s="23">
        <f t="shared" si="162"/>
        <v>1</v>
      </c>
      <c r="CO303" s="23">
        <f t="shared" si="163"/>
        <v>1</v>
      </c>
      <c r="CP303" s="23">
        <f t="shared" si="164"/>
        <v>1</v>
      </c>
      <c r="CQ303" s="23">
        <f t="shared" si="165"/>
        <v>1</v>
      </c>
      <c r="CR303" s="23">
        <f t="shared" si="166"/>
        <v>1</v>
      </c>
      <c r="CS303" s="23">
        <f t="shared" si="167"/>
        <v>1</v>
      </c>
      <c r="CT303" s="23">
        <f t="shared" si="168"/>
        <v>1</v>
      </c>
      <c r="CU303" s="23">
        <f t="shared" si="169"/>
        <v>1</v>
      </c>
      <c r="CV303" s="23">
        <f t="shared" si="170"/>
        <v>1</v>
      </c>
    </row>
    <row r="304" spans="1:100" ht="13.5">
      <c r="A304" s="15">
        <v>229</v>
      </c>
      <c r="B304" s="38" t="s">
        <v>1023</v>
      </c>
      <c r="C304" t="s">
        <v>580</v>
      </c>
      <c r="E304" t="s">
        <v>465</v>
      </c>
      <c r="F304" t="s">
        <v>581</v>
      </c>
      <c r="G304" t="s">
        <v>465</v>
      </c>
      <c r="H304" t="s">
        <v>582</v>
      </c>
      <c r="I304" s="6" t="s">
        <v>136</v>
      </c>
      <c r="J304" s="6">
        <v>0</v>
      </c>
      <c r="L304" s="15">
        <v>1</v>
      </c>
      <c r="N304" s="7">
        <v>46140</v>
      </c>
      <c r="O304" s="7">
        <v>46136</v>
      </c>
      <c r="P304" s="7">
        <v>46139</v>
      </c>
      <c r="S304" s="6" t="s">
        <v>465</v>
      </c>
      <c r="U304" s="6" t="s">
        <v>464</v>
      </c>
      <c r="V304" s="6" t="str">
        <f t="shared" si="137"/>
        <v>26/04</v>
      </c>
      <c r="W304">
        <v>1608</v>
      </c>
      <c r="AA304">
        <v>962</v>
      </c>
      <c r="AC304">
        <v>1015</v>
      </c>
      <c r="AI304" s="23">
        <v>0</v>
      </c>
      <c r="AJ304" s="23">
        <v>0</v>
      </c>
      <c r="AK304" s="23">
        <v>0</v>
      </c>
      <c r="AL304" s="23">
        <v>0</v>
      </c>
      <c r="AM304" s="23">
        <v>0</v>
      </c>
      <c r="AN304" s="23">
        <v>0</v>
      </c>
      <c r="AO304" s="23">
        <v>0</v>
      </c>
      <c r="AP304" s="23">
        <v>0</v>
      </c>
      <c r="AQ304" s="23">
        <v>0</v>
      </c>
      <c r="AR304" s="23">
        <v>0</v>
      </c>
      <c r="AS304" s="23">
        <v>0</v>
      </c>
      <c r="AT304" s="23">
        <v>0</v>
      </c>
      <c r="AU304" s="23">
        <v>0</v>
      </c>
      <c r="AV304" s="23">
        <v>0</v>
      </c>
      <c r="AW304" s="23">
        <v>0</v>
      </c>
      <c r="AX304" s="23">
        <v>0</v>
      </c>
      <c r="AY304" s="23">
        <v>0</v>
      </c>
      <c r="AZ304" s="23">
        <v>0</v>
      </c>
      <c r="BA304" s="23">
        <v>0</v>
      </c>
      <c r="BB304" s="23">
        <v>0</v>
      </c>
      <c r="BC304" s="23">
        <v>0</v>
      </c>
      <c r="BD304" s="23">
        <v>0</v>
      </c>
      <c r="BE304" s="23">
        <v>0</v>
      </c>
      <c r="BF304" s="23">
        <v>0</v>
      </c>
      <c r="BG304" s="23">
        <v>1</v>
      </c>
      <c r="BH304" s="23">
        <v>1</v>
      </c>
      <c r="BI304" s="23">
        <v>1</v>
      </c>
      <c r="BJ304" s="23">
        <v>1</v>
      </c>
      <c r="BK304" s="23">
        <v>1</v>
      </c>
      <c r="BL304" s="23">
        <v>1</v>
      </c>
      <c r="BM304" s="23">
        <v>1</v>
      </c>
      <c r="BN304" s="23">
        <v>1</v>
      </c>
      <c r="BO304" s="23">
        <v>1</v>
      </c>
      <c r="BP304" s="23">
        <f t="shared" si="138"/>
        <v>0</v>
      </c>
      <c r="BQ304" s="23">
        <f t="shared" si="139"/>
        <v>0</v>
      </c>
      <c r="BR304" s="23">
        <f t="shared" si="140"/>
        <v>0</v>
      </c>
      <c r="BS304" s="23">
        <f t="shared" si="141"/>
        <v>0</v>
      </c>
      <c r="BT304" s="23">
        <f t="shared" si="142"/>
        <v>0</v>
      </c>
      <c r="BU304" s="23">
        <f t="shared" si="143"/>
        <v>0</v>
      </c>
      <c r="BV304" s="23">
        <f t="shared" si="144"/>
        <v>0</v>
      </c>
      <c r="BW304" s="23">
        <f t="shared" si="145"/>
        <v>0</v>
      </c>
      <c r="BX304" s="23">
        <f t="shared" si="146"/>
        <v>0</v>
      </c>
      <c r="BY304" s="23">
        <f t="shared" si="147"/>
        <v>0</v>
      </c>
      <c r="BZ304" s="23">
        <f t="shared" si="148"/>
        <v>0</v>
      </c>
      <c r="CA304" s="23">
        <f t="shared" si="149"/>
        <v>0</v>
      </c>
      <c r="CB304" s="23">
        <f t="shared" si="150"/>
        <v>0</v>
      </c>
      <c r="CC304" s="23">
        <f t="shared" si="151"/>
        <v>0</v>
      </c>
      <c r="CD304" s="23">
        <f t="shared" si="152"/>
        <v>0</v>
      </c>
      <c r="CE304" s="23">
        <f t="shared" si="153"/>
        <v>0</v>
      </c>
      <c r="CF304" s="23">
        <f t="shared" si="154"/>
        <v>0</v>
      </c>
      <c r="CG304" s="23">
        <f t="shared" si="155"/>
        <v>0</v>
      </c>
      <c r="CH304" s="23">
        <f t="shared" si="156"/>
        <v>0</v>
      </c>
      <c r="CI304" s="23">
        <f t="shared" si="157"/>
        <v>0</v>
      </c>
      <c r="CJ304" s="23">
        <f t="shared" si="158"/>
        <v>0</v>
      </c>
      <c r="CK304" s="23">
        <f t="shared" si="159"/>
        <v>0</v>
      </c>
      <c r="CL304" s="23">
        <f t="shared" si="160"/>
        <v>0</v>
      </c>
      <c r="CM304" s="23">
        <f t="shared" si="161"/>
        <v>0</v>
      </c>
      <c r="CN304" s="23">
        <f t="shared" si="162"/>
        <v>1</v>
      </c>
      <c r="CO304" s="23">
        <f t="shared" si="163"/>
        <v>1</v>
      </c>
      <c r="CP304" s="23">
        <f t="shared" si="164"/>
        <v>1</v>
      </c>
      <c r="CQ304" s="23">
        <f t="shared" si="165"/>
        <v>1</v>
      </c>
      <c r="CR304" s="23">
        <f t="shared" si="166"/>
        <v>1</v>
      </c>
      <c r="CS304" s="23">
        <f t="shared" si="167"/>
        <v>1</v>
      </c>
      <c r="CT304" s="23">
        <f t="shared" si="168"/>
        <v>1</v>
      </c>
      <c r="CU304" s="23">
        <f t="shared" si="169"/>
        <v>1</v>
      </c>
      <c r="CV304" s="23">
        <f t="shared" si="170"/>
        <v>1</v>
      </c>
    </row>
    <row r="305" spans="1:100" ht="13.5">
      <c r="A305" s="15">
        <v>229</v>
      </c>
      <c r="B305" s="38" t="s">
        <v>1024</v>
      </c>
      <c r="C305" t="s">
        <v>580</v>
      </c>
      <c r="E305" t="s">
        <v>465</v>
      </c>
      <c r="F305" t="s">
        <v>581</v>
      </c>
      <c r="G305" t="s">
        <v>465</v>
      </c>
      <c r="H305" t="s">
        <v>582</v>
      </c>
      <c r="I305" s="6" t="s">
        <v>136</v>
      </c>
      <c r="J305" s="6">
        <v>0</v>
      </c>
      <c r="L305" s="15">
        <v>1</v>
      </c>
      <c r="N305" s="7">
        <v>46140</v>
      </c>
      <c r="O305" s="7">
        <v>46136</v>
      </c>
      <c r="P305" s="7">
        <v>46139</v>
      </c>
      <c r="S305" s="6" t="s">
        <v>465</v>
      </c>
      <c r="U305" s="6" t="s">
        <v>464</v>
      </c>
      <c r="V305" s="6" t="str">
        <f t="shared" si="137"/>
        <v>26/04</v>
      </c>
      <c r="W305">
        <v>1609</v>
      </c>
      <c r="AA305">
        <v>963</v>
      </c>
      <c r="AC305">
        <v>1016</v>
      </c>
      <c r="AI305" s="23">
        <v>0</v>
      </c>
      <c r="AJ305" s="23">
        <v>0</v>
      </c>
      <c r="AK305" s="23">
        <v>0</v>
      </c>
      <c r="AL305" s="23">
        <v>0</v>
      </c>
      <c r="AM305" s="23">
        <v>0</v>
      </c>
      <c r="AN305" s="23">
        <v>0</v>
      </c>
      <c r="AO305" s="23">
        <v>0</v>
      </c>
      <c r="AP305" s="23">
        <v>0</v>
      </c>
      <c r="AQ305" s="23">
        <v>0</v>
      </c>
      <c r="AR305" s="23">
        <v>0</v>
      </c>
      <c r="AS305" s="23">
        <v>0</v>
      </c>
      <c r="AT305" s="23">
        <v>0</v>
      </c>
      <c r="AU305" s="23">
        <v>0</v>
      </c>
      <c r="AV305" s="23">
        <v>0</v>
      </c>
      <c r="AW305" s="23">
        <v>0</v>
      </c>
      <c r="AX305" s="23">
        <v>0</v>
      </c>
      <c r="AY305" s="23">
        <v>0</v>
      </c>
      <c r="AZ305" s="23">
        <v>0</v>
      </c>
      <c r="BA305" s="23">
        <v>0</v>
      </c>
      <c r="BB305" s="23">
        <v>0</v>
      </c>
      <c r="BC305" s="23">
        <v>0</v>
      </c>
      <c r="BD305" s="23">
        <v>0</v>
      </c>
      <c r="BE305" s="23">
        <v>0</v>
      </c>
      <c r="BF305" s="23">
        <v>0</v>
      </c>
      <c r="BG305" s="23">
        <v>1</v>
      </c>
      <c r="BH305" s="23">
        <v>1</v>
      </c>
      <c r="BI305" s="23">
        <v>1</v>
      </c>
      <c r="BJ305" s="23">
        <v>1</v>
      </c>
      <c r="BK305" s="23">
        <v>1</v>
      </c>
      <c r="BL305" s="23">
        <v>1</v>
      </c>
      <c r="BM305" s="23">
        <v>1</v>
      </c>
      <c r="BN305" s="23">
        <v>1</v>
      </c>
      <c r="BO305" s="23">
        <v>1</v>
      </c>
      <c r="BP305" s="23">
        <f t="shared" si="138"/>
        <v>0</v>
      </c>
      <c r="BQ305" s="23">
        <f t="shared" si="139"/>
        <v>0</v>
      </c>
      <c r="BR305" s="23">
        <f t="shared" si="140"/>
        <v>0</v>
      </c>
      <c r="BS305" s="23">
        <f t="shared" si="141"/>
        <v>0</v>
      </c>
      <c r="BT305" s="23">
        <f t="shared" si="142"/>
        <v>0</v>
      </c>
      <c r="BU305" s="23">
        <f t="shared" si="143"/>
        <v>0</v>
      </c>
      <c r="BV305" s="23">
        <f t="shared" si="144"/>
        <v>0</v>
      </c>
      <c r="BW305" s="23">
        <f t="shared" si="145"/>
        <v>0</v>
      </c>
      <c r="BX305" s="23">
        <f t="shared" si="146"/>
        <v>0</v>
      </c>
      <c r="BY305" s="23">
        <f t="shared" si="147"/>
        <v>0</v>
      </c>
      <c r="BZ305" s="23">
        <f t="shared" si="148"/>
        <v>0</v>
      </c>
      <c r="CA305" s="23">
        <f t="shared" si="149"/>
        <v>0</v>
      </c>
      <c r="CB305" s="23">
        <f t="shared" si="150"/>
        <v>0</v>
      </c>
      <c r="CC305" s="23">
        <f t="shared" si="151"/>
        <v>0</v>
      </c>
      <c r="CD305" s="23">
        <f t="shared" si="152"/>
        <v>0</v>
      </c>
      <c r="CE305" s="23">
        <f t="shared" si="153"/>
        <v>0</v>
      </c>
      <c r="CF305" s="23">
        <f t="shared" si="154"/>
        <v>0</v>
      </c>
      <c r="CG305" s="23">
        <f t="shared" si="155"/>
        <v>0</v>
      </c>
      <c r="CH305" s="23">
        <f t="shared" si="156"/>
        <v>0</v>
      </c>
      <c r="CI305" s="23">
        <f t="shared" si="157"/>
        <v>0</v>
      </c>
      <c r="CJ305" s="23">
        <f t="shared" si="158"/>
        <v>0</v>
      </c>
      <c r="CK305" s="23">
        <f t="shared" si="159"/>
        <v>0</v>
      </c>
      <c r="CL305" s="23">
        <f t="shared" si="160"/>
        <v>0</v>
      </c>
      <c r="CM305" s="23">
        <f t="shared" si="161"/>
        <v>0</v>
      </c>
      <c r="CN305" s="23">
        <f t="shared" si="162"/>
        <v>1</v>
      </c>
      <c r="CO305" s="23">
        <f t="shared" si="163"/>
        <v>1</v>
      </c>
      <c r="CP305" s="23">
        <f t="shared" si="164"/>
        <v>1</v>
      </c>
      <c r="CQ305" s="23">
        <f t="shared" si="165"/>
        <v>1</v>
      </c>
      <c r="CR305" s="23">
        <f t="shared" si="166"/>
        <v>1</v>
      </c>
      <c r="CS305" s="23">
        <f t="shared" si="167"/>
        <v>1</v>
      </c>
      <c r="CT305" s="23">
        <f t="shared" si="168"/>
        <v>1</v>
      </c>
      <c r="CU305" s="23">
        <f t="shared" si="169"/>
        <v>1</v>
      </c>
      <c r="CV305" s="23">
        <f t="shared" si="170"/>
        <v>1</v>
      </c>
    </row>
    <row r="306" spans="1:100" ht="13.5">
      <c r="A306" s="15">
        <v>229</v>
      </c>
      <c r="B306" s="38" t="s">
        <v>1412</v>
      </c>
      <c r="C306" t="s">
        <v>580</v>
      </c>
      <c r="E306" t="s">
        <v>465</v>
      </c>
      <c r="F306" t="s">
        <v>581</v>
      </c>
      <c r="G306" t="s">
        <v>465</v>
      </c>
      <c r="H306" t="s">
        <v>582</v>
      </c>
      <c r="I306" s="6" t="s">
        <v>136</v>
      </c>
      <c r="J306" s="6">
        <v>0</v>
      </c>
      <c r="L306" s="15">
        <v>1</v>
      </c>
      <c r="N306" s="7">
        <v>46149</v>
      </c>
      <c r="O306" s="7">
        <v>46136</v>
      </c>
      <c r="P306" s="7">
        <v>46139</v>
      </c>
      <c r="S306" s="6" t="s">
        <v>465</v>
      </c>
      <c r="U306" s="6" t="s">
        <v>464</v>
      </c>
      <c r="V306" s="6" t="str">
        <f t="shared" si="137"/>
        <v>26/05</v>
      </c>
      <c r="W306">
        <v>1610</v>
      </c>
      <c r="AA306">
        <v>964</v>
      </c>
      <c r="AC306">
        <v>1017</v>
      </c>
      <c r="AI306" s="23">
        <v>0</v>
      </c>
      <c r="AJ306" s="23">
        <v>0</v>
      </c>
      <c r="AK306" s="23">
        <v>0</v>
      </c>
      <c r="AL306" s="23">
        <v>0</v>
      </c>
      <c r="AM306" s="23">
        <v>0</v>
      </c>
      <c r="AN306" s="23">
        <v>0</v>
      </c>
      <c r="AO306" s="23">
        <v>0</v>
      </c>
      <c r="AP306" s="23">
        <v>0</v>
      </c>
      <c r="AQ306" s="23">
        <v>0</v>
      </c>
      <c r="AR306" s="23">
        <v>0</v>
      </c>
      <c r="AS306" s="23">
        <v>0</v>
      </c>
      <c r="AT306" s="23">
        <v>0</v>
      </c>
      <c r="AU306" s="23">
        <v>0</v>
      </c>
      <c r="AV306" s="23">
        <v>0</v>
      </c>
      <c r="AW306" s="23">
        <v>0</v>
      </c>
      <c r="AX306" s="23">
        <v>0</v>
      </c>
      <c r="AY306" s="23">
        <v>0</v>
      </c>
      <c r="AZ306" s="23">
        <v>0</v>
      </c>
      <c r="BA306" s="23">
        <v>0</v>
      </c>
      <c r="BB306" s="23">
        <v>0</v>
      </c>
      <c r="BC306" s="23">
        <v>0</v>
      </c>
      <c r="BD306" s="23">
        <v>0</v>
      </c>
      <c r="BE306" s="23">
        <v>0</v>
      </c>
      <c r="BF306" s="23">
        <v>0</v>
      </c>
      <c r="BG306" s="23">
        <v>1</v>
      </c>
      <c r="BH306" s="23">
        <v>1</v>
      </c>
      <c r="BI306" s="23">
        <v>1</v>
      </c>
      <c r="BJ306" s="23">
        <v>1</v>
      </c>
      <c r="BK306" s="23">
        <v>1</v>
      </c>
      <c r="BL306" s="23">
        <v>1</v>
      </c>
      <c r="BM306" s="23">
        <v>1</v>
      </c>
      <c r="BN306" s="23">
        <v>1</v>
      </c>
      <c r="BO306" s="23">
        <v>1</v>
      </c>
      <c r="BP306" s="23">
        <f t="shared" si="138"/>
        <v>0</v>
      </c>
      <c r="BQ306" s="23">
        <f t="shared" si="139"/>
        <v>0</v>
      </c>
      <c r="BR306" s="23">
        <f t="shared" si="140"/>
        <v>0</v>
      </c>
      <c r="BS306" s="23">
        <f t="shared" si="141"/>
        <v>0</v>
      </c>
      <c r="BT306" s="23">
        <f t="shared" si="142"/>
        <v>0</v>
      </c>
      <c r="BU306" s="23">
        <f t="shared" si="143"/>
        <v>0</v>
      </c>
      <c r="BV306" s="23">
        <f t="shared" si="144"/>
        <v>0</v>
      </c>
      <c r="BW306" s="23">
        <f t="shared" si="145"/>
        <v>0</v>
      </c>
      <c r="BX306" s="23">
        <f t="shared" si="146"/>
        <v>0</v>
      </c>
      <c r="BY306" s="23">
        <f t="shared" si="147"/>
        <v>0</v>
      </c>
      <c r="BZ306" s="23">
        <f t="shared" si="148"/>
        <v>0</v>
      </c>
      <c r="CA306" s="23">
        <f t="shared" si="149"/>
        <v>0</v>
      </c>
      <c r="CB306" s="23">
        <f t="shared" si="150"/>
        <v>0</v>
      </c>
      <c r="CC306" s="23">
        <f t="shared" si="151"/>
        <v>0</v>
      </c>
      <c r="CD306" s="23">
        <f t="shared" si="152"/>
        <v>0</v>
      </c>
      <c r="CE306" s="23">
        <f t="shared" si="153"/>
        <v>0</v>
      </c>
      <c r="CF306" s="23">
        <f t="shared" si="154"/>
        <v>0</v>
      </c>
      <c r="CG306" s="23">
        <f t="shared" si="155"/>
        <v>0</v>
      </c>
      <c r="CH306" s="23">
        <f t="shared" si="156"/>
        <v>0</v>
      </c>
      <c r="CI306" s="23">
        <f t="shared" si="157"/>
        <v>0</v>
      </c>
      <c r="CJ306" s="23">
        <f t="shared" si="158"/>
        <v>0</v>
      </c>
      <c r="CK306" s="23">
        <f t="shared" si="159"/>
        <v>0</v>
      </c>
      <c r="CL306" s="23">
        <f t="shared" si="160"/>
        <v>0</v>
      </c>
      <c r="CM306" s="23">
        <f t="shared" si="161"/>
        <v>0</v>
      </c>
      <c r="CN306" s="23">
        <f t="shared" si="162"/>
        <v>1</v>
      </c>
      <c r="CO306" s="23">
        <f t="shared" si="163"/>
        <v>1</v>
      </c>
      <c r="CP306" s="23">
        <f t="shared" si="164"/>
        <v>1</v>
      </c>
      <c r="CQ306" s="23">
        <f t="shared" si="165"/>
        <v>1</v>
      </c>
      <c r="CR306" s="23">
        <f t="shared" si="166"/>
        <v>1</v>
      </c>
      <c r="CS306" s="23">
        <f t="shared" si="167"/>
        <v>1</v>
      </c>
      <c r="CT306" s="23">
        <f t="shared" si="168"/>
        <v>1</v>
      </c>
      <c r="CU306" s="23">
        <f t="shared" si="169"/>
        <v>1</v>
      </c>
      <c r="CV306" s="23">
        <f t="shared" si="170"/>
        <v>1</v>
      </c>
    </row>
    <row r="307" spans="1:100" ht="13.5">
      <c r="A307" s="15">
        <v>229</v>
      </c>
      <c r="B307" s="38" t="s">
        <v>1413</v>
      </c>
      <c r="C307" t="s">
        <v>580</v>
      </c>
      <c r="E307" t="s">
        <v>465</v>
      </c>
      <c r="F307" t="s">
        <v>581</v>
      </c>
      <c r="G307" t="s">
        <v>465</v>
      </c>
      <c r="H307" t="s">
        <v>582</v>
      </c>
      <c r="I307" s="6" t="s">
        <v>136</v>
      </c>
      <c r="J307" s="6">
        <v>0</v>
      </c>
      <c r="L307" s="15">
        <v>1</v>
      </c>
      <c r="N307" s="7">
        <v>46149</v>
      </c>
      <c r="O307" s="7">
        <v>46136</v>
      </c>
      <c r="P307" s="7">
        <v>46139</v>
      </c>
      <c r="S307" s="6" t="s">
        <v>465</v>
      </c>
      <c r="U307" s="6" t="s">
        <v>464</v>
      </c>
      <c r="V307" s="6" t="str">
        <f t="shared" si="137"/>
        <v>26/05</v>
      </c>
      <c r="W307">
        <v>1611</v>
      </c>
      <c r="AA307">
        <v>965</v>
      </c>
      <c r="AC307">
        <v>1018</v>
      </c>
      <c r="AI307" s="23">
        <v>0</v>
      </c>
      <c r="AJ307" s="23">
        <v>0</v>
      </c>
      <c r="AK307" s="23">
        <v>0</v>
      </c>
      <c r="AL307" s="23">
        <v>0</v>
      </c>
      <c r="AM307" s="23">
        <v>0</v>
      </c>
      <c r="AN307" s="23">
        <v>0</v>
      </c>
      <c r="AO307" s="23">
        <v>0</v>
      </c>
      <c r="AP307" s="23">
        <v>0</v>
      </c>
      <c r="AQ307" s="23">
        <v>0</v>
      </c>
      <c r="AR307" s="23">
        <v>0</v>
      </c>
      <c r="AS307" s="23">
        <v>0</v>
      </c>
      <c r="AT307" s="23">
        <v>0</v>
      </c>
      <c r="AU307" s="23">
        <v>0</v>
      </c>
      <c r="AV307" s="23">
        <v>0</v>
      </c>
      <c r="AW307" s="23">
        <v>0</v>
      </c>
      <c r="AX307" s="23">
        <v>0</v>
      </c>
      <c r="AY307" s="23">
        <v>0</v>
      </c>
      <c r="AZ307" s="23">
        <v>0</v>
      </c>
      <c r="BA307" s="23">
        <v>0</v>
      </c>
      <c r="BB307" s="23">
        <v>0</v>
      </c>
      <c r="BC307" s="23">
        <v>0</v>
      </c>
      <c r="BD307" s="23">
        <v>0</v>
      </c>
      <c r="BE307" s="23">
        <v>0</v>
      </c>
      <c r="BF307" s="23">
        <v>0</v>
      </c>
      <c r="BG307" s="23">
        <v>1</v>
      </c>
      <c r="BH307" s="23">
        <v>1</v>
      </c>
      <c r="BI307" s="23">
        <v>1</v>
      </c>
      <c r="BJ307" s="23">
        <v>1</v>
      </c>
      <c r="BK307" s="23">
        <v>1</v>
      </c>
      <c r="BL307" s="23">
        <v>1</v>
      </c>
      <c r="BM307" s="23">
        <v>1</v>
      </c>
      <c r="BN307" s="23">
        <v>1</v>
      </c>
      <c r="BO307" s="23">
        <v>1</v>
      </c>
      <c r="BP307" s="23">
        <f t="shared" si="138"/>
        <v>0</v>
      </c>
      <c r="BQ307" s="23">
        <f t="shared" si="139"/>
        <v>0</v>
      </c>
      <c r="BR307" s="23">
        <f t="shared" si="140"/>
        <v>0</v>
      </c>
      <c r="BS307" s="23">
        <f t="shared" si="141"/>
        <v>0</v>
      </c>
      <c r="BT307" s="23">
        <f t="shared" si="142"/>
        <v>0</v>
      </c>
      <c r="BU307" s="23">
        <f t="shared" si="143"/>
        <v>0</v>
      </c>
      <c r="BV307" s="23">
        <f t="shared" si="144"/>
        <v>0</v>
      </c>
      <c r="BW307" s="23">
        <f t="shared" si="145"/>
        <v>0</v>
      </c>
      <c r="BX307" s="23">
        <f t="shared" si="146"/>
        <v>0</v>
      </c>
      <c r="BY307" s="23">
        <f t="shared" si="147"/>
        <v>0</v>
      </c>
      <c r="BZ307" s="23">
        <f t="shared" si="148"/>
        <v>0</v>
      </c>
      <c r="CA307" s="23">
        <f t="shared" si="149"/>
        <v>0</v>
      </c>
      <c r="CB307" s="23">
        <f t="shared" si="150"/>
        <v>0</v>
      </c>
      <c r="CC307" s="23">
        <f t="shared" si="151"/>
        <v>0</v>
      </c>
      <c r="CD307" s="23">
        <f t="shared" si="152"/>
        <v>0</v>
      </c>
      <c r="CE307" s="23">
        <f t="shared" si="153"/>
        <v>0</v>
      </c>
      <c r="CF307" s="23">
        <f t="shared" si="154"/>
        <v>0</v>
      </c>
      <c r="CG307" s="23">
        <f t="shared" si="155"/>
        <v>0</v>
      </c>
      <c r="CH307" s="23">
        <f t="shared" si="156"/>
        <v>0</v>
      </c>
      <c r="CI307" s="23">
        <f t="shared" si="157"/>
        <v>0</v>
      </c>
      <c r="CJ307" s="23">
        <f t="shared" si="158"/>
        <v>0</v>
      </c>
      <c r="CK307" s="23">
        <f t="shared" si="159"/>
        <v>0</v>
      </c>
      <c r="CL307" s="23">
        <f t="shared" si="160"/>
        <v>0</v>
      </c>
      <c r="CM307" s="23">
        <f t="shared" si="161"/>
        <v>0</v>
      </c>
      <c r="CN307" s="23">
        <f t="shared" si="162"/>
        <v>1</v>
      </c>
      <c r="CO307" s="23">
        <f t="shared" si="163"/>
        <v>1</v>
      </c>
      <c r="CP307" s="23">
        <f t="shared" si="164"/>
        <v>1</v>
      </c>
      <c r="CQ307" s="23">
        <f t="shared" si="165"/>
        <v>1</v>
      </c>
      <c r="CR307" s="23">
        <f t="shared" si="166"/>
        <v>1</v>
      </c>
      <c r="CS307" s="23">
        <f t="shared" si="167"/>
        <v>1</v>
      </c>
      <c r="CT307" s="23">
        <f t="shared" si="168"/>
        <v>1</v>
      </c>
      <c r="CU307" s="23">
        <f t="shared" si="169"/>
        <v>1</v>
      </c>
      <c r="CV307" s="23">
        <f t="shared" si="170"/>
        <v>1</v>
      </c>
    </row>
    <row r="308" spans="1:100" ht="13.5">
      <c r="A308" s="15">
        <v>229</v>
      </c>
      <c r="B308" s="38" t="s">
        <v>1414</v>
      </c>
      <c r="C308" t="s">
        <v>580</v>
      </c>
      <c r="E308" t="s">
        <v>465</v>
      </c>
      <c r="F308" t="s">
        <v>581</v>
      </c>
      <c r="G308" t="s">
        <v>465</v>
      </c>
      <c r="H308" t="s">
        <v>582</v>
      </c>
      <c r="I308" s="6" t="s">
        <v>136</v>
      </c>
      <c r="J308" s="6">
        <v>0</v>
      </c>
      <c r="L308" s="15">
        <v>1</v>
      </c>
      <c r="N308" s="7">
        <v>46149</v>
      </c>
      <c r="O308" s="7">
        <v>46136</v>
      </c>
      <c r="P308" s="7">
        <v>46139</v>
      </c>
      <c r="S308" s="6" t="s">
        <v>465</v>
      </c>
      <c r="U308" s="6" t="s">
        <v>464</v>
      </c>
      <c r="V308" s="6" t="str">
        <f t="shared" si="137"/>
        <v>26/05</v>
      </c>
      <c r="W308">
        <v>1612</v>
      </c>
      <c r="AA308">
        <v>966</v>
      </c>
      <c r="AC308">
        <v>1019</v>
      </c>
      <c r="AI308" s="23">
        <v>0</v>
      </c>
      <c r="AJ308" s="23">
        <v>0</v>
      </c>
      <c r="AK308" s="23">
        <v>0</v>
      </c>
      <c r="AL308" s="23">
        <v>0</v>
      </c>
      <c r="AM308" s="23">
        <v>0</v>
      </c>
      <c r="AN308" s="23">
        <v>0</v>
      </c>
      <c r="AO308" s="23">
        <v>0</v>
      </c>
      <c r="AP308" s="23">
        <v>0</v>
      </c>
      <c r="AQ308" s="23">
        <v>0</v>
      </c>
      <c r="AR308" s="23">
        <v>0</v>
      </c>
      <c r="AS308" s="23">
        <v>0</v>
      </c>
      <c r="AT308" s="23">
        <v>0</v>
      </c>
      <c r="AU308" s="23">
        <v>0</v>
      </c>
      <c r="AV308" s="23">
        <v>0</v>
      </c>
      <c r="AW308" s="23">
        <v>0</v>
      </c>
      <c r="AX308" s="23">
        <v>0</v>
      </c>
      <c r="AY308" s="23">
        <v>0</v>
      </c>
      <c r="AZ308" s="23">
        <v>0</v>
      </c>
      <c r="BA308" s="23">
        <v>0</v>
      </c>
      <c r="BB308" s="23">
        <v>0</v>
      </c>
      <c r="BC308" s="23">
        <v>0</v>
      </c>
      <c r="BD308" s="23">
        <v>0</v>
      </c>
      <c r="BE308" s="23">
        <v>0</v>
      </c>
      <c r="BF308" s="23">
        <v>0</v>
      </c>
      <c r="BG308" s="23">
        <v>1</v>
      </c>
      <c r="BH308" s="23">
        <v>1</v>
      </c>
      <c r="BI308" s="23">
        <v>1</v>
      </c>
      <c r="BJ308" s="23">
        <v>1</v>
      </c>
      <c r="BK308" s="23">
        <v>1</v>
      </c>
      <c r="BL308" s="23">
        <v>1</v>
      </c>
      <c r="BM308" s="23">
        <v>1</v>
      </c>
      <c r="BN308" s="23">
        <v>1</v>
      </c>
      <c r="BO308" s="23">
        <v>1</v>
      </c>
      <c r="BP308" s="23">
        <f t="shared" si="138"/>
        <v>0</v>
      </c>
      <c r="BQ308" s="23">
        <f t="shared" si="139"/>
        <v>0</v>
      </c>
      <c r="BR308" s="23">
        <f t="shared" si="140"/>
        <v>0</v>
      </c>
      <c r="BS308" s="23">
        <f t="shared" si="141"/>
        <v>0</v>
      </c>
      <c r="BT308" s="23">
        <f t="shared" si="142"/>
        <v>0</v>
      </c>
      <c r="BU308" s="23">
        <f t="shared" si="143"/>
        <v>0</v>
      </c>
      <c r="BV308" s="23">
        <f t="shared" si="144"/>
        <v>0</v>
      </c>
      <c r="BW308" s="23">
        <f t="shared" si="145"/>
        <v>0</v>
      </c>
      <c r="BX308" s="23">
        <f t="shared" si="146"/>
        <v>0</v>
      </c>
      <c r="BY308" s="23">
        <f t="shared" si="147"/>
        <v>0</v>
      </c>
      <c r="BZ308" s="23">
        <f t="shared" si="148"/>
        <v>0</v>
      </c>
      <c r="CA308" s="23">
        <f t="shared" si="149"/>
        <v>0</v>
      </c>
      <c r="CB308" s="23">
        <f t="shared" si="150"/>
        <v>0</v>
      </c>
      <c r="CC308" s="23">
        <f t="shared" si="151"/>
        <v>0</v>
      </c>
      <c r="CD308" s="23">
        <f t="shared" si="152"/>
        <v>0</v>
      </c>
      <c r="CE308" s="23">
        <f t="shared" si="153"/>
        <v>0</v>
      </c>
      <c r="CF308" s="23">
        <f t="shared" si="154"/>
        <v>0</v>
      </c>
      <c r="CG308" s="23">
        <f t="shared" si="155"/>
        <v>0</v>
      </c>
      <c r="CH308" s="23">
        <f t="shared" si="156"/>
        <v>0</v>
      </c>
      <c r="CI308" s="23">
        <f t="shared" si="157"/>
        <v>0</v>
      </c>
      <c r="CJ308" s="23">
        <f t="shared" si="158"/>
        <v>0</v>
      </c>
      <c r="CK308" s="23">
        <f t="shared" si="159"/>
        <v>0</v>
      </c>
      <c r="CL308" s="23">
        <f t="shared" si="160"/>
        <v>0</v>
      </c>
      <c r="CM308" s="23">
        <f t="shared" si="161"/>
        <v>0</v>
      </c>
      <c r="CN308" s="23">
        <f t="shared" si="162"/>
        <v>1</v>
      </c>
      <c r="CO308" s="23">
        <f t="shared" si="163"/>
        <v>1</v>
      </c>
      <c r="CP308" s="23">
        <f t="shared" si="164"/>
        <v>1</v>
      </c>
      <c r="CQ308" s="23">
        <f t="shared" si="165"/>
        <v>1</v>
      </c>
      <c r="CR308" s="23">
        <f t="shared" si="166"/>
        <v>1</v>
      </c>
      <c r="CS308" s="23">
        <f t="shared" si="167"/>
        <v>1</v>
      </c>
      <c r="CT308" s="23">
        <f t="shared" si="168"/>
        <v>1</v>
      </c>
      <c r="CU308" s="23">
        <f t="shared" si="169"/>
        <v>1</v>
      </c>
      <c r="CV308" s="23">
        <f t="shared" si="170"/>
        <v>1</v>
      </c>
    </row>
    <row r="309" spans="1:100" ht="13.5">
      <c r="A309" s="15">
        <v>229</v>
      </c>
      <c r="B309" s="38" t="s">
        <v>803</v>
      </c>
      <c r="C309" t="s">
        <v>580</v>
      </c>
      <c r="E309" t="s">
        <v>465</v>
      </c>
      <c r="F309" t="s">
        <v>581</v>
      </c>
      <c r="G309" t="s">
        <v>465</v>
      </c>
      <c r="H309" t="s">
        <v>582</v>
      </c>
      <c r="I309" s="6" t="s">
        <v>136</v>
      </c>
      <c r="J309" s="6">
        <v>0</v>
      </c>
      <c r="L309" s="15">
        <v>1</v>
      </c>
      <c r="N309" s="7">
        <v>46149</v>
      </c>
      <c r="O309" s="7">
        <v>46136</v>
      </c>
      <c r="P309" s="7">
        <v>46139</v>
      </c>
      <c r="S309" s="6" t="s">
        <v>465</v>
      </c>
      <c r="U309" s="6" t="s">
        <v>464</v>
      </c>
      <c r="V309" s="6" t="str">
        <f t="shared" si="137"/>
        <v>26/05</v>
      </c>
      <c r="W309">
        <v>1613</v>
      </c>
      <c r="AA309">
        <v>967</v>
      </c>
      <c r="AC309">
        <v>1020</v>
      </c>
      <c r="AI309" s="23">
        <v>0</v>
      </c>
      <c r="AJ309" s="23">
        <v>0</v>
      </c>
      <c r="AK309" s="23">
        <v>0</v>
      </c>
      <c r="AL309" s="23">
        <v>0</v>
      </c>
      <c r="AM309" s="23">
        <v>0</v>
      </c>
      <c r="AN309" s="23">
        <v>0</v>
      </c>
      <c r="AO309" s="23">
        <v>0</v>
      </c>
      <c r="AP309" s="23">
        <v>0</v>
      </c>
      <c r="AQ309" s="23">
        <v>0</v>
      </c>
      <c r="AR309" s="23">
        <v>0</v>
      </c>
      <c r="AS309" s="23">
        <v>0</v>
      </c>
      <c r="AT309" s="23">
        <v>0</v>
      </c>
      <c r="AU309" s="23">
        <v>0</v>
      </c>
      <c r="AV309" s="23">
        <v>0</v>
      </c>
      <c r="AW309" s="23">
        <v>0</v>
      </c>
      <c r="AX309" s="23">
        <v>0</v>
      </c>
      <c r="AY309" s="23">
        <v>0</v>
      </c>
      <c r="AZ309" s="23">
        <v>0</v>
      </c>
      <c r="BA309" s="23">
        <v>0</v>
      </c>
      <c r="BB309" s="23">
        <v>0</v>
      </c>
      <c r="BC309" s="23">
        <v>0</v>
      </c>
      <c r="BD309" s="23">
        <v>0</v>
      </c>
      <c r="BE309" s="23">
        <v>0</v>
      </c>
      <c r="BF309" s="23">
        <v>0</v>
      </c>
      <c r="BG309" s="23">
        <v>1</v>
      </c>
      <c r="BH309" s="23">
        <v>1</v>
      </c>
      <c r="BI309" s="23">
        <v>1</v>
      </c>
      <c r="BJ309" s="23">
        <v>1</v>
      </c>
      <c r="BK309" s="23">
        <v>1</v>
      </c>
      <c r="BL309" s="23">
        <v>1</v>
      </c>
      <c r="BM309" s="23">
        <v>1</v>
      </c>
      <c r="BN309" s="23">
        <v>1</v>
      </c>
      <c r="BO309" s="23">
        <v>1</v>
      </c>
      <c r="BP309" s="23">
        <f t="shared" si="138"/>
        <v>0</v>
      </c>
      <c r="BQ309" s="23">
        <f t="shared" si="139"/>
        <v>0</v>
      </c>
      <c r="BR309" s="23">
        <f t="shared" si="140"/>
        <v>0</v>
      </c>
      <c r="BS309" s="23">
        <f t="shared" si="141"/>
        <v>0</v>
      </c>
      <c r="BT309" s="23">
        <f t="shared" si="142"/>
        <v>0</v>
      </c>
      <c r="BU309" s="23">
        <f t="shared" si="143"/>
        <v>0</v>
      </c>
      <c r="BV309" s="23">
        <f t="shared" si="144"/>
        <v>0</v>
      </c>
      <c r="BW309" s="23">
        <f t="shared" si="145"/>
        <v>0</v>
      </c>
      <c r="BX309" s="23">
        <f t="shared" si="146"/>
        <v>0</v>
      </c>
      <c r="BY309" s="23">
        <f t="shared" si="147"/>
        <v>0</v>
      </c>
      <c r="BZ309" s="23">
        <f t="shared" si="148"/>
        <v>0</v>
      </c>
      <c r="CA309" s="23">
        <f t="shared" si="149"/>
        <v>0</v>
      </c>
      <c r="CB309" s="23">
        <f t="shared" si="150"/>
        <v>0</v>
      </c>
      <c r="CC309" s="23">
        <f t="shared" si="151"/>
        <v>0</v>
      </c>
      <c r="CD309" s="23">
        <f t="shared" si="152"/>
        <v>0</v>
      </c>
      <c r="CE309" s="23">
        <f t="shared" si="153"/>
        <v>0</v>
      </c>
      <c r="CF309" s="23">
        <f t="shared" si="154"/>
        <v>0</v>
      </c>
      <c r="CG309" s="23">
        <f t="shared" si="155"/>
        <v>0</v>
      </c>
      <c r="CH309" s="23">
        <f t="shared" si="156"/>
        <v>0</v>
      </c>
      <c r="CI309" s="23">
        <f t="shared" si="157"/>
        <v>0</v>
      </c>
      <c r="CJ309" s="23">
        <f t="shared" si="158"/>
        <v>0</v>
      </c>
      <c r="CK309" s="23">
        <f t="shared" si="159"/>
        <v>0</v>
      </c>
      <c r="CL309" s="23">
        <f t="shared" si="160"/>
        <v>0</v>
      </c>
      <c r="CM309" s="23">
        <f t="shared" si="161"/>
        <v>0</v>
      </c>
      <c r="CN309" s="23">
        <f t="shared" si="162"/>
        <v>1</v>
      </c>
      <c r="CO309" s="23">
        <f t="shared" si="163"/>
        <v>1</v>
      </c>
      <c r="CP309" s="23">
        <f t="shared" si="164"/>
        <v>1</v>
      </c>
      <c r="CQ309" s="23">
        <f t="shared" si="165"/>
        <v>1</v>
      </c>
      <c r="CR309" s="23">
        <f t="shared" si="166"/>
        <v>1</v>
      </c>
      <c r="CS309" s="23">
        <f t="shared" si="167"/>
        <v>1</v>
      </c>
      <c r="CT309" s="23">
        <f t="shared" si="168"/>
        <v>1</v>
      </c>
      <c r="CU309" s="23">
        <f t="shared" si="169"/>
        <v>1</v>
      </c>
      <c r="CV309" s="23">
        <f t="shared" si="170"/>
        <v>1</v>
      </c>
    </row>
    <row r="310" spans="1:100" ht="13.5">
      <c r="A310" s="15">
        <v>229</v>
      </c>
      <c r="B310" s="38" t="s">
        <v>804</v>
      </c>
      <c r="C310" t="s">
        <v>580</v>
      </c>
      <c r="E310" t="s">
        <v>465</v>
      </c>
      <c r="F310" t="s">
        <v>581</v>
      </c>
      <c r="G310" t="s">
        <v>465</v>
      </c>
      <c r="H310" t="s">
        <v>582</v>
      </c>
      <c r="I310" s="6" t="s">
        <v>136</v>
      </c>
      <c r="J310" s="6">
        <v>0</v>
      </c>
      <c r="L310" s="15">
        <v>1</v>
      </c>
      <c r="N310" s="7">
        <v>46149</v>
      </c>
      <c r="O310" s="7">
        <v>46136</v>
      </c>
      <c r="P310" s="7">
        <v>46139</v>
      </c>
      <c r="S310" s="6" t="s">
        <v>465</v>
      </c>
      <c r="U310" s="6" t="s">
        <v>464</v>
      </c>
      <c r="V310" s="6" t="str">
        <f t="shared" si="137"/>
        <v>26/05</v>
      </c>
      <c r="W310">
        <v>1614</v>
      </c>
      <c r="AA310">
        <v>968</v>
      </c>
      <c r="AC310">
        <v>1021</v>
      </c>
      <c r="AI310" s="23">
        <v>0</v>
      </c>
      <c r="AJ310" s="23">
        <v>0</v>
      </c>
      <c r="AK310" s="23">
        <v>0</v>
      </c>
      <c r="AL310" s="23">
        <v>0</v>
      </c>
      <c r="AM310" s="23">
        <v>0</v>
      </c>
      <c r="AN310" s="23">
        <v>0</v>
      </c>
      <c r="AO310" s="23">
        <v>0</v>
      </c>
      <c r="AP310" s="23">
        <v>0</v>
      </c>
      <c r="AQ310" s="23">
        <v>0</v>
      </c>
      <c r="AR310" s="23">
        <v>0</v>
      </c>
      <c r="AS310" s="23">
        <v>0</v>
      </c>
      <c r="AT310" s="23">
        <v>0</v>
      </c>
      <c r="AU310" s="23">
        <v>0</v>
      </c>
      <c r="AV310" s="23">
        <v>0</v>
      </c>
      <c r="AW310" s="23">
        <v>0</v>
      </c>
      <c r="AX310" s="23">
        <v>0</v>
      </c>
      <c r="AY310" s="23">
        <v>0</v>
      </c>
      <c r="AZ310" s="23">
        <v>0</v>
      </c>
      <c r="BA310" s="23">
        <v>0</v>
      </c>
      <c r="BB310" s="23">
        <v>0</v>
      </c>
      <c r="BC310" s="23">
        <v>0</v>
      </c>
      <c r="BD310" s="23">
        <v>0</v>
      </c>
      <c r="BE310" s="23">
        <v>0</v>
      </c>
      <c r="BF310" s="23">
        <v>0</v>
      </c>
      <c r="BG310" s="23">
        <v>1</v>
      </c>
      <c r="BH310" s="23">
        <v>1</v>
      </c>
      <c r="BI310" s="23">
        <v>1</v>
      </c>
      <c r="BJ310" s="23">
        <v>1</v>
      </c>
      <c r="BK310" s="23">
        <v>1</v>
      </c>
      <c r="BL310" s="23">
        <v>1</v>
      </c>
      <c r="BM310" s="23">
        <v>1</v>
      </c>
      <c r="BN310" s="23">
        <v>1</v>
      </c>
      <c r="BO310" s="23">
        <v>1</v>
      </c>
      <c r="BP310" s="23">
        <f t="shared" si="138"/>
        <v>0</v>
      </c>
      <c r="BQ310" s="23">
        <f t="shared" si="139"/>
        <v>0</v>
      </c>
      <c r="BR310" s="23">
        <f t="shared" si="140"/>
        <v>0</v>
      </c>
      <c r="BS310" s="23">
        <f t="shared" si="141"/>
        <v>0</v>
      </c>
      <c r="BT310" s="23">
        <f t="shared" si="142"/>
        <v>0</v>
      </c>
      <c r="BU310" s="23">
        <f t="shared" si="143"/>
        <v>0</v>
      </c>
      <c r="BV310" s="23">
        <f t="shared" si="144"/>
        <v>0</v>
      </c>
      <c r="BW310" s="23">
        <f t="shared" si="145"/>
        <v>0</v>
      </c>
      <c r="BX310" s="23">
        <f t="shared" si="146"/>
        <v>0</v>
      </c>
      <c r="BY310" s="23">
        <f t="shared" si="147"/>
        <v>0</v>
      </c>
      <c r="BZ310" s="23">
        <f t="shared" si="148"/>
        <v>0</v>
      </c>
      <c r="CA310" s="23">
        <f t="shared" si="149"/>
        <v>0</v>
      </c>
      <c r="CB310" s="23">
        <f t="shared" si="150"/>
        <v>0</v>
      </c>
      <c r="CC310" s="23">
        <f t="shared" si="151"/>
        <v>0</v>
      </c>
      <c r="CD310" s="23">
        <f t="shared" si="152"/>
        <v>0</v>
      </c>
      <c r="CE310" s="23">
        <f t="shared" si="153"/>
        <v>0</v>
      </c>
      <c r="CF310" s="23">
        <f t="shared" si="154"/>
        <v>0</v>
      </c>
      <c r="CG310" s="23">
        <f t="shared" si="155"/>
        <v>0</v>
      </c>
      <c r="CH310" s="23">
        <f t="shared" si="156"/>
        <v>0</v>
      </c>
      <c r="CI310" s="23">
        <f t="shared" si="157"/>
        <v>0</v>
      </c>
      <c r="CJ310" s="23">
        <f t="shared" si="158"/>
        <v>0</v>
      </c>
      <c r="CK310" s="23">
        <f t="shared" si="159"/>
        <v>0</v>
      </c>
      <c r="CL310" s="23">
        <f t="shared" si="160"/>
        <v>0</v>
      </c>
      <c r="CM310" s="23">
        <f t="shared" si="161"/>
        <v>0</v>
      </c>
      <c r="CN310" s="23">
        <f t="shared" si="162"/>
        <v>1</v>
      </c>
      <c r="CO310" s="23">
        <f t="shared" si="163"/>
        <v>1</v>
      </c>
      <c r="CP310" s="23">
        <f t="shared" si="164"/>
        <v>1</v>
      </c>
      <c r="CQ310" s="23">
        <f t="shared" si="165"/>
        <v>1</v>
      </c>
      <c r="CR310" s="23">
        <f t="shared" si="166"/>
        <v>1</v>
      </c>
      <c r="CS310" s="23">
        <f t="shared" si="167"/>
        <v>1</v>
      </c>
      <c r="CT310" s="23">
        <f t="shared" si="168"/>
        <v>1</v>
      </c>
      <c r="CU310" s="23">
        <f t="shared" si="169"/>
        <v>1</v>
      </c>
      <c r="CV310" s="23">
        <f t="shared" si="170"/>
        <v>1</v>
      </c>
    </row>
    <row r="311" spans="1:100" ht="13.5">
      <c r="A311" s="15">
        <v>229</v>
      </c>
      <c r="B311" s="38" t="s">
        <v>805</v>
      </c>
      <c r="C311" t="s">
        <v>580</v>
      </c>
      <c r="E311" t="s">
        <v>465</v>
      </c>
      <c r="F311" t="s">
        <v>581</v>
      </c>
      <c r="G311" t="s">
        <v>465</v>
      </c>
      <c r="H311" t="s">
        <v>582</v>
      </c>
      <c r="I311" s="6" t="s">
        <v>136</v>
      </c>
      <c r="J311" s="6">
        <v>0</v>
      </c>
      <c r="L311" s="15">
        <v>1</v>
      </c>
      <c r="N311" s="7">
        <v>46149</v>
      </c>
      <c r="O311" s="7">
        <v>46136</v>
      </c>
      <c r="P311" s="7">
        <v>46139</v>
      </c>
      <c r="S311" s="6" t="s">
        <v>465</v>
      </c>
      <c r="U311" s="6" t="s">
        <v>464</v>
      </c>
      <c r="V311" s="6" t="str">
        <f t="shared" si="137"/>
        <v>26/05</v>
      </c>
      <c r="W311">
        <v>1615</v>
      </c>
      <c r="AA311">
        <v>969</v>
      </c>
      <c r="AC311">
        <v>1022</v>
      </c>
      <c r="AI311" s="23">
        <v>0</v>
      </c>
      <c r="AJ311" s="23">
        <v>0</v>
      </c>
      <c r="AK311" s="23">
        <v>0</v>
      </c>
      <c r="AL311" s="23">
        <v>0</v>
      </c>
      <c r="AM311" s="23">
        <v>0</v>
      </c>
      <c r="AN311" s="23">
        <v>0</v>
      </c>
      <c r="AO311" s="23">
        <v>0</v>
      </c>
      <c r="AP311" s="23">
        <v>0</v>
      </c>
      <c r="AQ311" s="23">
        <v>0</v>
      </c>
      <c r="AR311" s="23">
        <v>0</v>
      </c>
      <c r="AS311" s="23">
        <v>0</v>
      </c>
      <c r="AT311" s="23">
        <v>0</v>
      </c>
      <c r="AU311" s="23">
        <v>0</v>
      </c>
      <c r="AV311" s="23">
        <v>0</v>
      </c>
      <c r="AW311" s="23">
        <v>0</v>
      </c>
      <c r="AX311" s="23">
        <v>0</v>
      </c>
      <c r="AY311" s="23">
        <v>0</v>
      </c>
      <c r="AZ311" s="23">
        <v>0</v>
      </c>
      <c r="BA311" s="23">
        <v>0</v>
      </c>
      <c r="BB311" s="23">
        <v>0</v>
      </c>
      <c r="BC311" s="23">
        <v>0</v>
      </c>
      <c r="BD311" s="23">
        <v>0</v>
      </c>
      <c r="BE311" s="23">
        <v>0</v>
      </c>
      <c r="BF311" s="23">
        <v>0</v>
      </c>
      <c r="BG311" s="23">
        <v>1</v>
      </c>
      <c r="BH311" s="23">
        <v>1</v>
      </c>
      <c r="BI311" s="23">
        <v>1</v>
      </c>
      <c r="BJ311" s="23">
        <v>1</v>
      </c>
      <c r="BK311" s="23">
        <v>1</v>
      </c>
      <c r="BL311" s="23">
        <v>1</v>
      </c>
      <c r="BM311" s="23">
        <v>1</v>
      </c>
      <c r="BN311" s="23">
        <v>1</v>
      </c>
      <c r="BO311" s="23">
        <v>1</v>
      </c>
      <c r="BP311" s="23">
        <f t="shared" si="138"/>
        <v>0</v>
      </c>
      <c r="BQ311" s="23">
        <f t="shared" si="139"/>
        <v>0</v>
      </c>
      <c r="BR311" s="23">
        <f t="shared" si="140"/>
        <v>0</v>
      </c>
      <c r="BS311" s="23">
        <f t="shared" si="141"/>
        <v>0</v>
      </c>
      <c r="BT311" s="23">
        <f t="shared" si="142"/>
        <v>0</v>
      </c>
      <c r="BU311" s="23">
        <f t="shared" si="143"/>
        <v>0</v>
      </c>
      <c r="BV311" s="23">
        <f t="shared" si="144"/>
        <v>0</v>
      </c>
      <c r="BW311" s="23">
        <f t="shared" si="145"/>
        <v>0</v>
      </c>
      <c r="BX311" s="23">
        <f t="shared" si="146"/>
        <v>0</v>
      </c>
      <c r="BY311" s="23">
        <f t="shared" si="147"/>
        <v>0</v>
      </c>
      <c r="BZ311" s="23">
        <f t="shared" si="148"/>
        <v>0</v>
      </c>
      <c r="CA311" s="23">
        <f t="shared" si="149"/>
        <v>0</v>
      </c>
      <c r="CB311" s="23">
        <f t="shared" si="150"/>
        <v>0</v>
      </c>
      <c r="CC311" s="23">
        <f t="shared" si="151"/>
        <v>0</v>
      </c>
      <c r="CD311" s="23">
        <f t="shared" si="152"/>
        <v>0</v>
      </c>
      <c r="CE311" s="23">
        <f t="shared" si="153"/>
        <v>0</v>
      </c>
      <c r="CF311" s="23">
        <f t="shared" si="154"/>
        <v>0</v>
      </c>
      <c r="CG311" s="23">
        <f t="shared" si="155"/>
        <v>0</v>
      </c>
      <c r="CH311" s="23">
        <f t="shared" si="156"/>
        <v>0</v>
      </c>
      <c r="CI311" s="23">
        <f t="shared" si="157"/>
        <v>0</v>
      </c>
      <c r="CJ311" s="23">
        <f t="shared" si="158"/>
        <v>0</v>
      </c>
      <c r="CK311" s="23">
        <f t="shared" si="159"/>
        <v>0</v>
      </c>
      <c r="CL311" s="23">
        <f t="shared" si="160"/>
        <v>0</v>
      </c>
      <c r="CM311" s="23">
        <f t="shared" si="161"/>
        <v>0</v>
      </c>
      <c r="CN311" s="23">
        <f t="shared" si="162"/>
        <v>1</v>
      </c>
      <c r="CO311" s="23">
        <f t="shared" si="163"/>
        <v>1</v>
      </c>
      <c r="CP311" s="23">
        <f t="shared" si="164"/>
        <v>1</v>
      </c>
      <c r="CQ311" s="23">
        <f t="shared" si="165"/>
        <v>1</v>
      </c>
      <c r="CR311" s="23">
        <f t="shared" si="166"/>
        <v>1</v>
      </c>
      <c r="CS311" s="23">
        <f t="shared" si="167"/>
        <v>1</v>
      </c>
      <c r="CT311" s="23">
        <f t="shared" si="168"/>
        <v>1</v>
      </c>
      <c r="CU311" s="23">
        <f t="shared" si="169"/>
        <v>1</v>
      </c>
      <c r="CV311" s="23">
        <f t="shared" si="170"/>
        <v>1</v>
      </c>
    </row>
    <row r="312" spans="1:100" ht="13.5">
      <c r="A312" s="15">
        <v>229</v>
      </c>
      <c r="B312" s="38" t="s">
        <v>806</v>
      </c>
      <c r="C312" t="s">
        <v>580</v>
      </c>
      <c r="E312" t="s">
        <v>465</v>
      </c>
      <c r="F312" t="s">
        <v>581</v>
      </c>
      <c r="G312" t="s">
        <v>465</v>
      </c>
      <c r="H312" t="s">
        <v>582</v>
      </c>
      <c r="I312" s="6" t="s">
        <v>136</v>
      </c>
      <c r="J312" s="6">
        <v>0</v>
      </c>
      <c r="L312" s="15">
        <v>1</v>
      </c>
      <c r="N312" s="7">
        <v>46150</v>
      </c>
      <c r="O312" s="7">
        <v>46136</v>
      </c>
      <c r="P312" s="7">
        <v>46139</v>
      </c>
      <c r="S312" s="6" t="s">
        <v>465</v>
      </c>
      <c r="U312" s="6" t="s">
        <v>464</v>
      </c>
      <c r="V312" s="6" t="str">
        <f t="shared" si="137"/>
        <v>26/05</v>
      </c>
      <c r="W312">
        <v>1616</v>
      </c>
      <c r="AA312">
        <v>970</v>
      </c>
      <c r="AC312">
        <v>1023</v>
      </c>
      <c r="AI312" s="23">
        <v>0</v>
      </c>
      <c r="AJ312" s="23">
        <v>0</v>
      </c>
      <c r="AK312" s="23">
        <v>0</v>
      </c>
      <c r="AL312" s="23">
        <v>0</v>
      </c>
      <c r="AM312" s="23">
        <v>0</v>
      </c>
      <c r="AN312" s="23">
        <v>0</v>
      </c>
      <c r="AO312" s="23">
        <v>0</v>
      </c>
      <c r="AP312" s="23">
        <v>0</v>
      </c>
      <c r="AQ312" s="23">
        <v>0</v>
      </c>
      <c r="AR312" s="23">
        <v>0</v>
      </c>
      <c r="AS312" s="23">
        <v>0</v>
      </c>
      <c r="AT312" s="23">
        <v>0</v>
      </c>
      <c r="AU312" s="23">
        <v>0</v>
      </c>
      <c r="AV312" s="23">
        <v>0</v>
      </c>
      <c r="AW312" s="23">
        <v>0</v>
      </c>
      <c r="AX312" s="23">
        <v>0</v>
      </c>
      <c r="AY312" s="23">
        <v>0</v>
      </c>
      <c r="AZ312" s="23">
        <v>0</v>
      </c>
      <c r="BA312" s="23">
        <v>0</v>
      </c>
      <c r="BB312" s="23">
        <v>0</v>
      </c>
      <c r="BC312" s="23">
        <v>0</v>
      </c>
      <c r="BD312" s="23">
        <v>0</v>
      </c>
      <c r="BE312" s="23">
        <v>0</v>
      </c>
      <c r="BF312" s="23">
        <v>0</v>
      </c>
      <c r="BG312" s="23">
        <v>1</v>
      </c>
      <c r="BH312" s="23">
        <v>1</v>
      </c>
      <c r="BI312" s="23">
        <v>1</v>
      </c>
      <c r="BJ312" s="23">
        <v>1</v>
      </c>
      <c r="BK312" s="23">
        <v>1</v>
      </c>
      <c r="BL312" s="23">
        <v>1</v>
      </c>
      <c r="BM312" s="23">
        <v>1</v>
      </c>
      <c r="BN312" s="23">
        <v>1</v>
      </c>
      <c r="BO312" s="23">
        <v>1</v>
      </c>
      <c r="BP312" s="23">
        <f t="shared" si="138"/>
        <v>0</v>
      </c>
      <c r="BQ312" s="23">
        <f t="shared" si="139"/>
        <v>0</v>
      </c>
      <c r="BR312" s="23">
        <f t="shared" si="140"/>
        <v>0</v>
      </c>
      <c r="BS312" s="23">
        <f t="shared" si="141"/>
        <v>0</v>
      </c>
      <c r="BT312" s="23">
        <f t="shared" si="142"/>
        <v>0</v>
      </c>
      <c r="BU312" s="23">
        <f t="shared" si="143"/>
        <v>0</v>
      </c>
      <c r="BV312" s="23">
        <f t="shared" si="144"/>
        <v>0</v>
      </c>
      <c r="BW312" s="23">
        <f t="shared" si="145"/>
        <v>0</v>
      </c>
      <c r="BX312" s="23">
        <f t="shared" si="146"/>
        <v>0</v>
      </c>
      <c r="BY312" s="23">
        <f t="shared" si="147"/>
        <v>0</v>
      </c>
      <c r="BZ312" s="23">
        <f t="shared" si="148"/>
        <v>0</v>
      </c>
      <c r="CA312" s="23">
        <f t="shared" si="149"/>
        <v>0</v>
      </c>
      <c r="CB312" s="23">
        <f t="shared" si="150"/>
        <v>0</v>
      </c>
      <c r="CC312" s="23">
        <f t="shared" si="151"/>
        <v>0</v>
      </c>
      <c r="CD312" s="23">
        <f t="shared" si="152"/>
        <v>0</v>
      </c>
      <c r="CE312" s="23">
        <f t="shared" si="153"/>
        <v>0</v>
      </c>
      <c r="CF312" s="23">
        <f t="shared" si="154"/>
        <v>0</v>
      </c>
      <c r="CG312" s="23">
        <f t="shared" si="155"/>
        <v>0</v>
      </c>
      <c r="CH312" s="23">
        <f t="shared" si="156"/>
        <v>0</v>
      </c>
      <c r="CI312" s="23">
        <f t="shared" si="157"/>
        <v>0</v>
      </c>
      <c r="CJ312" s="23">
        <f t="shared" si="158"/>
        <v>0</v>
      </c>
      <c r="CK312" s="23">
        <f t="shared" si="159"/>
        <v>0</v>
      </c>
      <c r="CL312" s="23">
        <f t="shared" si="160"/>
        <v>0</v>
      </c>
      <c r="CM312" s="23">
        <f t="shared" si="161"/>
        <v>0</v>
      </c>
      <c r="CN312" s="23">
        <f t="shared" si="162"/>
        <v>1</v>
      </c>
      <c r="CO312" s="23">
        <f t="shared" si="163"/>
        <v>1</v>
      </c>
      <c r="CP312" s="23">
        <f t="shared" si="164"/>
        <v>1</v>
      </c>
      <c r="CQ312" s="23">
        <f t="shared" si="165"/>
        <v>1</v>
      </c>
      <c r="CR312" s="23">
        <f t="shared" si="166"/>
        <v>1</v>
      </c>
      <c r="CS312" s="23">
        <f t="shared" si="167"/>
        <v>1</v>
      </c>
      <c r="CT312" s="23">
        <f t="shared" si="168"/>
        <v>1</v>
      </c>
      <c r="CU312" s="23">
        <f t="shared" si="169"/>
        <v>1</v>
      </c>
      <c r="CV312" s="23">
        <f t="shared" si="170"/>
        <v>1</v>
      </c>
    </row>
    <row r="313" spans="1:100" ht="13.5">
      <c r="A313" s="15">
        <v>229</v>
      </c>
      <c r="B313" s="38" t="s">
        <v>807</v>
      </c>
      <c r="C313" t="s">
        <v>580</v>
      </c>
      <c r="E313" t="s">
        <v>465</v>
      </c>
      <c r="F313" t="s">
        <v>581</v>
      </c>
      <c r="G313" t="s">
        <v>465</v>
      </c>
      <c r="H313" t="s">
        <v>582</v>
      </c>
      <c r="I313" s="6" t="s">
        <v>136</v>
      </c>
      <c r="J313" s="6">
        <v>0</v>
      </c>
      <c r="L313" s="15">
        <v>1</v>
      </c>
      <c r="N313" s="7">
        <v>46150</v>
      </c>
      <c r="O313" s="7">
        <v>46136</v>
      </c>
      <c r="P313" s="7">
        <v>46139</v>
      </c>
      <c r="S313" s="6" t="s">
        <v>465</v>
      </c>
      <c r="U313" s="6" t="s">
        <v>464</v>
      </c>
      <c r="V313" s="6" t="str">
        <f t="shared" si="137"/>
        <v>26/05</v>
      </c>
      <c r="W313">
        <v>1617</v>
      </c>
      <c r="AA313">
        <v>971</v>
      </c>
      <c r="AC313">
        <v>1024</v>
      </c>
      <c r="AI313" s="23">
        <v>0</v>
      </c>
      <c r="AJ313" s="23">
        <v>0</v>
      </c>
      <c r="AK313" s="23">
        <v>0</v>
      </c>
      <c r="AL313" s="23">
        <v>0</v>
      </c>
      <c r="AM313" s="23">
        <v>0</v>
      </c>
      <c r="AN313" s="23">
        <v>0</v>
      </c>
      <c r="AO313" s="23">
        <v>0</v>
      </c>
      <c r="AP313" s="23">
        <v>0</v>
      </c>
      <c r="AQ313" s="23">
        <v>0</v>
      </c>
      <c r="AR313" s="23">
        <v>0</v>
      </c>
      <c r="AS313" s="23">
        <v>0</v>
      </c>
      <c r="AT313" s="23">
        <v>0</v>
      </c>
      <c r="AU313" s="23">
        <v>0</v>
      </c>
      <c r="AV313" s="23">
        <v>0</v>
      </c>
      <c r="AW313" s="23">
        <v>0</v>
      </c>
      <c r="AX313" s="23">
        <v>0</v>
      </c>
      <c r="AY313" s="23">
        <v>0</v>
      </c>
      <c r="AZ313" s="23">
        <v>0</v>
      </c>
      <c r="BA313" s="23">
        <v>0</v>
      </c>
      <c r="BB313" s="23">
        <v>0</v>
      </c>
      <c r="BC313" s="23">
        <v>0</v>
      </c>
      <c r="BD313" s="23">
        <v>0</v>
      </c>
      <c r="BE313" s="23">
        <v>0</v>
      </c>
      <c r="BF313" s="23">
        <v>0</v>
      </c>
      <c r="BG313" s="23">
        <v>1</v>
      </c>
      <c r="BH313" s="23">
        <v>1</v>
      </c>
      <c r="BI313" s="23">
        <v>1</v>
      </c>
      <c r="BJ313" s="23">
        <v>1</v>
      </c>
      <c r="BK313" s="23">
        <v>1</v>
      </c>
      <c r="BL313" s="23">
        <v>1</v>
      </c>
      <c r="BM313" s="23">
        <v>1</v>
      </c>
      <c r="BN313" s="23">
        <v>1</v>
      </c>
      <c r="BO313" s="23">
        <v>1</v>
      </c>
      <c r="BP313" s="23">
        <f t="shared" si="138"/>
        <v>0</v>
      </c>
      <c r="BQ313" s="23">
        <f t="shared" si="139"/>
        <v>0</v>
      </c>
      <c r="BR313" s="23">
        <f t="shared" si="140"/>
        <v>0</v>
      </c>
      <c r="BS313" s="23">
        <f t="shared" si="141"/>
        <v>0</v>
      </c>
      <c r="BT313" s="23">
        <f t="shared" si="142"/>
        <v>0</v>
      </c>
      <c r="BU313" s="23">
        <f t="shared" si="143"/>
        <v>0</v>
      </c>
      <c r="BV313" s="23">
        <f t="shared" si="144"/>
        <v>0</v>
      </c>
      <c r="BW313" s="23">
        <f t="shared" si="145"/>
        <v>0</v>
      </c>
      <c r="BX313" s="23">
        <f t="shared" si="146"/>
        <v>0</v>
      </c>
      <c r="BY313" s="23">
        <f t="shared" si="147"/>
        <v>0</v>
      </c>
      <c r="BZ313" s="23">
        <f t="shared" si="148"/>
        <v>0</v>
      </c>
      <c r="CA313" s="23">
        <f t="shared" si="149"/>
        <v>0</v>
      </c>
      <c r="CB313" s="23">
        <f t="shared" si="150"/>
        <v>0</v>
      </c>
      <c r="CC313" s="23">
        <f t="shared" si="151"/>
        <v>0</v>
      </c>
      <c r="CD313" s="23">
        <f t="shared" si="152"/>
        <v>0</v>
      </c>
      <c r="CE313" s="23">
        <f t="shared" si="153"/>
        <v>0</v>
      </c>
      <c r="CF313" s="23">
        <f t="shared" si="154"/>
        <v>0</v>
      </c>
      <c r="CG313" s="23">
        <f t="shared" si="155"/>
        <v>0</v>
      </c>
      <c r="CH313" s="23">
        <f t="shared" si="156"/>
        <v>0</v>
      </c>
      <c r="CI313" s="23">
        <f t="shared" si="157"/>
        <v>0</v>
      </c>
      <c r="CJ313" s="23">
        <f t="shared" si="158"/>
        <v>0</v>
      </c>
      <c r="CK313" s="23">
        <f t="shared" si="159"/>
        <v>0</v>
      </c>
      <c r="CL313" s="23">
        <f t="shared" si="160"/>
        <v>0</v>
      </c>
      <c r="CM313" s="23">
        <f t="shared" si="161"/>
        <v>0</v>
      </c>
      <c r="CN313" s="23">
        <f t="shared" si="162"/>
        <v>1</v>
      </c>
      <c r="CO313" s="23">
        <f t="shared" si="163"/>
        <v>1</v>
      </c>
      <c r="CP313" s="23">
        <f t="shared" si="164"/>
        <v>1</v>
      </c>
      <c r="CQ313" s="23">
        <f t="shared" si="165"/>
        <v>1</v>
      </c>
      <c r="CR313" s="23">
        <f t="shared" si="166"/>
        <v>1</v>
      </c>
      <c r="CS313" s="23">
        <f t="shared" si="167"/>
        <v>1</v>
      </c>
      <c r="CT313" s="23">
        <f t="shared" si="168"/>
        <v>1</v>
      </c>
      <c r="CU313" s="23">
        <f t="shared" si="169"/>
        <v>1</v>
      </c>
      <c r="CV313" s="23">
        <f t="shared" si="170"/>
        <v>1</v>
      </c>
    </row>
    <row r="314" spans="1:100" ht="13.5">
      <c r="A314" s="15">
        <v>229</v>
      </c>
      <c r="B314" s="38" t="s">
        <v>808</v>
      </c>
      <c r="C314" t="s">
        <v>580</v>
      </c>
      <c r="E314" t="s">
        <v>465</v>
      </c>
      <c r="F314" t="s">
        <v>581</v>
      </c>
      <c r="G314" t="s">
        <v>465</v>
      </c>
      <c r="H314" t="s">
        <v>582</v>
      </c>
      <c r="I314" s="6" t="s">
        <v>136</v>
      </c>
      <c r="J314" s="6">
        <v>0</v>
      </c>
      <c r="L314" s="15">
        <v>1</v>
      </c>
      <c r="N314" s="7">
        <v>46150</v>
      </c>
      <c r="O314" s="7">
        <v>46136</v>
      </c>
      <c r="P314" s="7">
        <v>46139</v>
      </c>
      <c r="S314" s="6" t="s">
        <v>465</v>
      </c>
      <c r="U314" s="6" t="s">
        <v>464</v>
      </c>
      <c r="V314" s="6" t="str">
        <f t="shared" si="137"/>
        <v>26/05</v>
      </c>
      <c r="W314">
        <v>1618</v>
      </c>
      <c r="AA314">
        <v>972</v>
      </c>
      <c r="AC314">
        <v>1025</v>
      </c>
      <c r="AI314" s="23">
        <v>0</v>
      </c>
      <c r="AJ314" s="23">
        <v>0</v>
      </c>
      <c r="AK314" s="23">
        <v>0</v>
      </c>
      <c r="AL314" s="23">
        <v>0</v>
      </c>
      <c r="AM314" s="23">
        <v>0</v>
      </c>
      <c r="AN314" s="23">
        <v>0</v>
      </c>
      <c r="AO314" s="23">
        <v>0</v>
      </c>
      <c r="AP314" s="23">
        <v>0</v>
      </c>
      <c r="AQ314" s="23">
        <v>0</v>
      </c>
      <c r="AR314" s="23">
        <v>0</v>
      </c>
      <c r="AS314" s="23">
        <v>0</v>
      </c>
      <c r="AT314" s="23">
        <v>0</v>
      </c>
      <c r="AU314" s="23">
        <v>0</v>
      </c>
      <c r="AV314" s="23">
        <v>0</v>
      </c>
      <c r="AW314" s="23">
        <v>0</v>
      </c>
      <c r="AX314" s="23">
        <v>0</v>
      </c>
      <c r="AY314" s="23">
        <v>0</v>
      </c>
      <c r="AZ314" s="23">
        <v>0</v>
      </c>
      <c r="BA314" s="23">
        <v>0</v>
      </c>
      <c r="BB314" s="23">
        <v>0</v>
      </c>
      <c r="BC314" s="23">
        <v>0</v>
      </c>
      <c r="BD314" s="23">
        <v>0</v>
      </c>
      <c r="BE314" s="23">
        <v>0</v>
      </c>
      <c r="BF314" s="23">
        <v>0</v>
      </c>
      <c r="BG314" s="23">
        <v>1</v>
      </c>
      <c r="BH314" s="23">
        <v>1</v>
      </c>
      <c r="BI314" s="23">
        <v>1</v>
      </c>
      <c r="BJ314" s="23">
        <v>1</v>
      </c>
      <c r="BK314" s="23">
        <v>1</v>
      </c>
      <c r="BL314" s="23">
        <v>1</v>
      </c>
      <c r="BM314" s="23">
        <v>1</v>
      </c>
      <c r="BN314" s="23">
        <v>1</v>
      </c>
      <c r="BO314" s="23">
        <v>1</v>
      </c>
      <c r="BP314" s="23">
        <f t="shared" si="138"/>
        <v>0</v>
      </c>
      <c r="BQ314" s="23">
        <f t="shared" si="139"/>
        <v>0</v>
      </c>
      <c r="BR314" s="23">
        <f t="shared" si="140"/>
        <v>0</v>
      </c>
      <c r="BS314" s="23">
        <f t="shared" si="141"/>
        <v>0</v>
      </c>
      <c r="BT314" s="23">
        <f t="shared" si="142"/>
        <v>0</v>
      </c>
      <c r="BU314" s="23">
        <f t="shared" si="143"/>
        <v>0</v>
      </c>
      <c r="BV314" s="23">
        <f t="shared" si="144"/>
        <v>0</v>
      </c>
      <c r="BW314" s="23">
        <f t="shared" si="145"/>
        <v>0</v>
      </c>
      <c r="BX314" s="23">
        <f t="shared" si="146"/>
        <v>0</v>
      </c>
      <c r="BY314" s="23">
        <f t="shared" si="147"/>
        <v>0</v>
      </c>
      <c r="BZ314" s="23">
        <f t="shared" si="148"/>
        <v>0</v>
      </c>
      <c r="CA314" s="23">
        <f t="shared" si="149"/>
        <v>0</v>
      </c>
      <c r="CB314" s="23">
        <f t="shared" si="150"/>
        <v>0</v>
      </c>
      <c r="CC314" s="23">
        <f t="shared" si="151"/>
        <v>0</v>
      </c>
      <c r="CD314" s="23">
        <f t="shared" si="152"/>
        <v>0</v>
      </c>
      <c r="CE314" s="23">
        <f t="shared" si="153"/>
        <v>0</v>
      </c>
      <c r="CF314" s="23">
        <f t="shared" si="154"/>
        <v>0</v>
      </c>
      <c r="CG314" s="23">
        <f t="shared" si="155"/>
        <v>0</v>
      </c>
      <c r="CH314" s="23">
        <f t="shared" si="156"/>
        <v>0</v>
      </c>
      <c r="CI314" s="23">
        <f t="shared" si="157"/>
        <v>0</v>
      </c>
      <c r="CJ314" s="23">
        <f t="shared" si="158"/>
        <v>0</v>
      </c>
      <c r="CK314" s="23">
        <f t="shared" si="159"/>
        <v>0</v>
      </c>
      <c r="CL314" s="23">
        <f t="shared" si="160"/>
        <v>0</v>
      </c>
      <c r="CM314" s="23">
        <f t="shared" si="161"/>
        <v>0</v>
      </c>
      <c r="CN314" s="23">
        <f t="shared" si="162"/>
        <v>1</v>
      </c>
      <c r="CO314" s="23">
        <f t="shared" si="163"/>
        <v>1</v>
      </c>
      <c r="CP314" s="23">
        <f t="shared" si="164"/>
        <v>1</v>
      </c>
      <c r="CQ314" s="23">
        <f t="shared" si="165"/>
        <v>1</v>
      </c>
      <c r="CR314" s="23">
        <f t="shared" si="166"/>
        <v>1</v>
      </c>
      <c r="CS314" s="23">
        <f t="shared" si="167"/>
        <v>1</v>
      </c>
      <c r="CT314" s="23">
        <f t="shared" si="168"/>
        <v>1</v>
      </c>
      <c r="CU314" s="23">
        <f t="shared" si="169"/>
        <v>1</v>
      </c>
      <c r="CV314" s="23">
        <f t="shared" si="170"/>
        <v>1</v>
      </c>
    </row>
    <row r="315" spans="1:100" ht="13.5">
      <c r="A315" s="15">
        <v>229</v>
      </c>
      <c r="B315" s="38" t="s">
        <v>809</v>
      </c>
      <c r="C315" t="s">
        <v>580</v>
      </c>
      <c r="E315" t="s">
        <v>465</v>
      </c>
      <c r="F315" t="s">
        <v>581</v>
      </c>
      <c r="G315" t="s">
        <v>465</v>
      </c>
      <c r="H315" t="s">
        <v>582</v>
      </c>
      <c r="I315" s="6" t="s">
        <v>136</v>
      </c>
      <c r="J315" s="6">
        <v>0</v>
      </c>
      <c r="L315" s="15">
        <v>1</v>
      </c>
      <c r="N315" s="7">
        <v>46150</v>
      </c>
      <c r="O315" s="7">
        <v>46136</v>
      </c>
      <c r="P315" s="7">
        <v>46139</v>
      </c>
      <c r="S315" s="6" t="s">
        <v>465</v>
      </c>
      <c r="U315" s="6" t="s">
        <v>464</v>
      </c>
      <c r="V315" s="6" t="str">
        <f t="shared" si="137"/>
        <v>26/05</v>
      </c>
      <c r="W315">
        <v>1619</v>
      </c>
      <c r="AA315">
        <v>973</v>
      </c>
      <c r="AC315">
        <v>1026</v>
      </c>
      <c r="AI315" s="23">
        <v>0</v>
      </c>
      <c r="AJ315" s="23">
        <v>0</v>
      </c>
      <c r="AK315" s="23">
        <v>0</v>
      </c>
      <c r="AL315" s="23">
        <v>0</v>
      </c>
      <c r="AM315" s="23">
        <v>0</v>
      </c>
      <c r="AN315" s="23">
        <v>0</v>
      </c>
      <c r="AO315" s="23">
        <v>0</v>
      </c>
      <c r="AP315" s="23">
        <v>0</v>
      </c>
      <c r="AQ315" s="23">
        <v>0</v>
      </c>
      <c r="AR315" s="23">
        <v>0</v>
      </c>
      <c r="AS315" s="23">
        <v>0</v>
      </c>
      <c r="AT315" s="23">
        <v>0</v>
      </c>
      <c r="AU315" s="23">
        <v>0</v>
      </c>
      <c r="AV315" s="23">
        <v>0</v>
      </c>
      <c r="AW315" s="23">
        <v>0</v>
      </c>
      <c r="AX315" s="23">
        <v>0</v>
      </c>
      <c r="AY315" s="23">
        <v>0</v>
      </c>
      <c r="AZ315" s="23">
        <v>0</v>
      </c>
      <c r="BA315" s="23">
        <v>0</v>
      </c>
      <c r="BB315" s="23">
        <v>0</v>
      </c>
      <c r="BC315" s="23">
        <v>0</v>
      </c>
      <c r="BD315" s="23">
        <v>0</v>
      </c>
      <c r="BE315" s="23">
        <v>0</v>
      </c>
      <c r="BF315" s="23">
        <v>0</v>
      </c>
      <c r="BG315" s="23">
        <v>1</v>
      </c>
      <c r="BH315" s="23">
        <v>1</v>
      </c>
      <c r="BI315" s="23">
        <v>1</v>
      </c>
      <c r="BJ315" s="23">
        <v>1</v>
      </c>
      <c r="BK315" s="23">
        <v>1</v>
      </c>
      <c r="BL315" s="23">
        <v>1</v>
      </c>
      <c r="BM315" s="23">
        <v>1</v>
      </c>
      <c r="BN315" s="23">
        <v>1</v>
      </c>
      <c r="BO315" s="23">
        <v>1</v>
      </c>
      <c r="BP315" s="23">
        <f t="shared" si="138"/>
        <v>0</v>
      </c>
      <c r="BQ315" s="23">
        <f t="shared" si="139"/>
        <v>0</v>
      </c>
      <c r="BR315" s="23">
        <f t="shared" si="140"/>
        <v>0</v>
      </c>
      <c r="BS315" s="23">
        <f t="shared" si="141"/>
        <v>0</v>
      </c>
      <c r="BT315" s="23">
        <f t="shared" si="142"/>
        <v>0</v>
      </c>
      <c r="BU315" s="23">
        <f t="shared" si="143"/>
        <v>0</v>
      </c>
      <c r="BV315" s="23">
        <f t="shared" si="144"/>
        <v>0</v>
      </c>
      <c r="BW315" s="23">
        <f t="shared" si="145"/>
        <v>0</v>
      </c>
      <c r="BX315" s="23">
        <f t="shared" si="146"/>
        <v>0</v>
      </c>
      <c r="BY315" s="23">
        <f t="shared" si="147"/>
        <v>0</v>
      </c>
      <c r="BZ315" s="23">
        <f t="shared" si="148"/>
        <v>0</v>
      </c>
      <c r="CA315" s="23">
        <f t="shared" si="149"/>
        <v>0</v>
      </c>
      <c r="CB315" s="23">
        <f t="shared" si="150"/>
        <v>0</v>
      </c>
      <c r="CC315" s="23">
        <f t="shared" si="151"/>
        <v>0</v>
      </c>
      <c r="CD315" s="23">
        <f t="shared" si="152"/>
        <v>0</v>
      </c>
      <c r="CE315" s="23">
        <f t="shared" si="153"/>
        <v>0</v>
      </c>
      <c r="CF315" s="23">
        <f t="shared" si="154"/>
        <v>0</v>
      </c>
      <c r="CG315" s="23">
        <f t="shared" si="155"/>
        <v>0</v>
      </c>
      <c r="CH315" s="23">
        <f t="shared" si="156"/>
        <v>0</v>
      </c>
      <c r="CI315" s="23">
        <f t="shared" si="157"/>
        <v>0</v>
      </c>
      <c r="CJ315" s="23">
        <f t="shared" si="158"/>
        <v>0</v>
      </c>
      <c r="CK315" s="23">
        <f t="shared" si="159"/>
        <v>0</v>
      </c>
      <c r="CL315" s="23">
        <f t="shared" si="160"/>
        <v>0</v>
      </c>
      <c r="CM315" s="23">
        <f t="shared" si="161"/>
        <v>0</v>
      </c>
      <c r="CN315" s="23">
        <f t="shared" si="162"/>
        <v>1</v>
      </c>
      <c r="CO315" s="23">
        <f t="shared" si="163"/>
        <v>1</v>
      </c>
      <c r="CP315" s="23">
        <f t="shared" si="164"/>
        <v>1</v>
      </c>
      <c r="CQ315" s="23">
        <f t="shared" si="165"/>
        <v>1</v>
      </c>
      <c r="CR315" s="23">
        <f t="shared" si="166"/>
        <v>1</v>
      </c>
      <c r="CS315" s="23">
        <f t="shared" si="167"/>
        <v>1</v>
      </c>
      <c r="CT315" s="23">
        <f t="shared" si="168"/>
        <v>1</v>
      </c>
      <c r="CU315" s="23">
        <f t="shared" si="169"/>
        <v>1</v>
      </c>
      <c r="CV315" s="23">
        <f t="shared" si="170"/>
        <v>1</v>
      </c>
    </row>
    <row r="316" spans="1:100" ht="13.5">
      <c r="A316" s="15">
        <v>229</v>
      </c>
      <c r="B316" s="38" t="s">
        <v>810</v>
      </c>
      <c r="C316" t="s">
        <v>580</v>
      </c>
      <c r="E316" t="s">
        <v>465</v>
      </c>
      <c r="F316" t="s">
        <v>581</v>
      </c>
      <c r="G316" t="s">
        <v>465</v>
      </c>
      <c r="H316" t="s">
        <v>582</v>
      </c>
      <c r="I316" s="6" t="s">
        <v>136</v>
      </c>
      <c r="J316" s="6">
        <v>0</v>
      </c>
      <c r="L316" s="15">
        <v>1</v>
      </c>
      <c r="N316" s="7">
        <v>46150</v>
      </c>
      <c r="O316" s="7">
        <v>46136</v>
      </c>
      <c r="P316" s="7">
        <v>46139</v>
      </c>
      <c r="S316" s="6" t="s">
        <v>465</v>
      </c>
      <c r="U316" s="6" t="s">
        <v>464</v>
      </c>
      <c r="V316" s="6" t="str">
        <f t="shared" si="137"/>
        <v>26/05</v>
      </c>
      <c r="W316">
        <v>1620</v>
      </c>
      <c r="AA316">
        <v>974</v>
      </c>
      <c r="AC316">
        <v>1027</v>
      </c>
      <c r="AI316" s="23">
        <v>0</v>
      </c>
      <c r="AJ316" s="23">
        <v>0</v>
      </c>
      <c r="AK316" s="23">
        <v>0</v>
      </c>
      <c r="AL316" s="23">
        <v>0</v>
      </c>
      <c r="AM316" s="23">
        <v>0</v>
      </c>
      <c r="AN316" s="23">
        <v>0</v>
      </c>
      <c r="AO316" s="23">
        <v>0</v>
      </c>
      <c r="AP316" s="23">
        <v>0</v>
      </c>
      <c r="AQ316" s="23">
        <v>0</v>
      </c>
      <c r="AR316" s="23">
        <v>0</v>
      </c>
      <c r="AS316" s="23">
        <v>0</v>
      </c>
      <c r="AT316" s="23">
        <v>0</v>
      </c>
      <c r="AU316" s="23">
        <v>0</v>
      </c>
      <c r="AV316" s="23">
        <v>0</v>
      </c>
      <c r="AW316" s="23">
        <v>0</v>
      </c>
      <c r="AX316" s="23">
        <v>0</v>
      </c>
      <c r="AY316" s="23">
        <v>0</v>
      </c>
      <c r="AZ316" s="23">
        <v>0</v>
      </c>
      <c r="BA316" s="23">
        <v>0</v>
      </c>
      <c r="BB316" s="23">
        <v>0</v>
      </c>
      <c r="BC316" s="23">
        <v>0</v>
      </c>
      <c r="BD316" s="23">
        <v>0</v>
      </c>
      <c r="BE316" s="23">
        <v>0</v>
      </c>
      <c r="BF316" s="23">
        <v>0</v>
      </c>
      <c r="BG316" s="23">
        <v>1</v>
      </c>
      <c r="BH316" s="23">
        <v>1</v>
      </c>
      <c r="BI316" s="23">
        <v>1</v>
      </c>
      <c r="BJ316" s="23">
        <v>1</v>
      </c>
      <c r="BK316" s="23">
        <v>1</v>
      </c>
      <c r="BL316" s="23">
        <v>1</v>
      </c>
      <c r="BM316" s="23">
        <v>1</v>
      </c>
      <c r="BN316" s="23">
        <v>1</v>
      </c>
      <c r="BO316" s="23">
        <v>1</v>
      </c>
      <c r="BP316" s="23">
        <f t="shared" si="138"/>
        <v>0</v>
      </c>
      <c r="BQ316" s="23">
        <f t="shared" si="139"/>
        <v>0</v>
      </c>
      <c r="BR316" s="23">
        <f t="shared" si="140"/>
        <v>0</v>
      </c>
      <c r="BS316" s="23">
        <f t="shared" si="141"/>
        <v>0</v>
      </c>
      <c r="BT316" s="23">
        <f t="shared" si="142"/>
        <v>0</v>
      </c>
      <c r="BU316" s="23">
        <f t="shared" si="143"/>
        <v>0</v>
      </c>
      <c r="BV316" s="23">
        <f t="shared" si="144"/>
        <v>0</v>
      </c>
      <c r="BW316" s="23">
        <f t="shared" si="145"/>
        <v>0</v>
      </c>
      <c r="BX316" s="23">
        <f t="shared" si="146"/>
        <v>0</v>
      </c>
      <c r="BY316" s="23">
        <f t="shared" si="147"/>
        <v>0</v>
      </c>
      <c r="BZ316" s="23">
        <f t="shared" si="148"/>
        <v>0</v>
      </c>
      <c r="CA316" s="23">
        <f t="shared" si="149"/>
        <v>0</v>
      </c>
      <c r="CB316" s="23">
        <f t="shared" si="150"/>
        <v>0</v>
      </c>
      <c r="CC316" s="23">
        <f t="shared" si="151"/>
        <v>0</v>
      </c>
      <c r="CD316" s="23">
        <f t="shared" si="152"/>
        <v>0</v>
      </c>
      <c r="CE316" s="23">
        <f t="shared" si="153"/>
        <v>0</v>
      </c>
      <c r="CF316" s="23">
        <f t="shared" si="154"/>
        <v>0</v>
      </c>
      <c r="CG316" s="23">
        <f t="shared" si="155"/>
        <v>0</v>
      </c>
      <c r="CH316" s="23">
        <f t="shared" si="156"/>
        <v>0</v>
      </c>
      <c r="CI316" s="23">
        <f t="shared" si="157"/>
        <v>0</v>
      </c>
      <c r="CJ316" s="23">
        <f t="shared" si="158"/>
        <v>0</v>
      </c>
      <c r="CK316" s="23">
        <f t="shared" si="159"/>
        <v>0</v>
      </c>
      <c r="CL316" s="23">
        <f t="shared" si="160"/>
        <v>0</v>
      </c>
      <c r="CM316" s="23">
        <f t="shared" si="161"/>
        <v>0</v>
      </c>
      <c r="CN316" s="23">
        <f t="shared" si="162"/>
        <v>1</v>
      </c>
      <c r="CO316" s="23">
        <f t="shared" si="163"/>
        <v>1</v>
      </c>
      <c r="CP316" s="23">
        <f t="shared" si="164"/>
        <v>1</v>
      </c>
      <c r="CQ316" s="23">
        <f t="shared" si="165"/>
        <v>1</v>
      </c>
      <c r="CR316" s="23">
        <f t="shared" si="166"/>
        <v>1</v>
      </c>
      <c r="CS316" s="23">
        <f t="shared" si="167"/>
        <v>1</v>
      </c>
      <c r="CT316" s="23">
        <f t="shared" si="168"/>
        <v>1</v>
      </c>
      <c r="CU316" s="23">
        <f t="shared" si="169"/>
        <v>1</v>
      </c>
      <c r="CV316" s="23">
        <f t="shared" si="170"/>
        <v>1</v>
      </c>
    </row>
    <row r="317" spans="1:100" ht="13.5">
      <c r="A317" s="15">
        <v>229</v>
      </c>
      <c r="B317" s="38" t="s">
        <v>811</v>
      </c>
      <c r="C317" t="s">
        <v>580</v>
      </c>
      <c r="E317" t="s">
        <v>465</v>
      </c>
      <c r="F317" t="s">
        <v>581</v>
      </c>
      <c r="G317" t="s">
        <v>465</v>
      </c>
      <c r="H317" t="s">
        <v>582</v>
      </c>
      <c r="I317" s="6" t="s">
        <v>136</v>
      </c>
      <c r="J317" s="6">
        <v>0</v>
      </c>
      <c r="L317" s="15">
        <v>1</v>
      </c>
      <c r="N317" s="7">
        <v>46150</v>
      </c>
      <c r="O317" s="7">
        <v>46136</v>
      </c>
      <c r="P317" s="7">
        <v>46139</v>
      </c>
      <c r="S317" s="6" t="s">
        <v>465</v>
      </c>
      <c r="U317" s="6" t="s">
        <v>464</v>
      </c>
      <c r="V317" s="6" t="str">
        <f t="shared" si="137"/>
        <v>26/05</v>
      </c>
      <c r="W317">
        <v>1621</v>
      </c>
      <c r="AA317">
        <v>975</v>
      </c>
      <c r="AC317">
        <v>1028</v>
      </c>
      <c r="AI317" s="23">
        <v>0</v>
      </c>
      <c r="AJ317" s="23">
        <v>0</v>
      </c>
      <c r="AK317" s="23">
        <v>0</v>
      </c>
      <c r="AL317" s="23">
        <v>0</v>
      </c>
      <c r="AM317" s="23">
        <v>0</v>
      </c>
      <c r="AN317" s="23">
        <v>0</v>
      </c>
      <c r="AO317" s="23">
        <v>0</v>
      </c>
      <c r="AP317" s="23">
        <v>0</v>
      </c>
      <c r="AQ317" s="23">
        <v>0</v>
      </c>
      <c r="AR317" s="23">
        <v>0</v>
      </c>
      <c r="AS317" s="23">
        <v>0</v>
      </c>
      <c r="AT317" s="23">
        <v>0</v>
      </c>
      <c r="AU317" s="23">
        <v>0</v>
      </c>
      <c r="AV317" s="23">
        <v>0</v>
      </c>
      <c r="AW317" s="23">
        <v>0</v>
      </c>
      <c r="AX317" s="23">
        <v>0</v>
      </c>
      <c r="AY317" s="23">
        <v>0</v>
      </c>
      <c r="AZ317" s="23">
        <v>0</v>
      </c>
      <c r="BA317" s="23">
        <v>0</v>
      </c>
      <c r="BB317" s="23">
        <v>0</v>
      </c>
      <c r="BC317" s="23">
        <v>0</v>
      </c>
      <c r="BD317" s="23">
        <v>0</v>
      </c>
      <c r="BE317" s="23">
        <v>0</v>
      </c>
      <c r="BF317" s="23">
        <v>0</v>
      </c>
      <c r="BG317" s="23">
        <v>1</v>
      </c>
      <c r="BH317" s="23">
        <v>1</v>
      </c>
      <c r="BI317" s="23">
        <v>1</v>
      </c>
      <c r="BJ317" s="23">
        <v>1</v>
      </c>
      <c r="BK317" s="23">
        <v>1</v>
      </c>
      <c r="BL317" s="23">
        <v>1</v>
      </c>
      <c r="BM317" s="23">
        <v>1</v>
      </c>
      <c r="BN317" s="23">
        <v>1</v>
      </c>
      <c r="BO317" s="23">
        <v>1</v>
      </c>
      <c r="BP317" s="23">
        <f t="shared" si="138"/>
        <v>0</v>
      </c>
      <c r="BQ317" s="23">
        <f t="shared" si="139"/>
        <v>0</v>
      </c>
      <c r="BR317" s="23">
        <f t="shared" si="140"/>
        <v>0</v>
      </c>
      <c r="BS317" s="23">
        <f t="shared" si="141"/>
        <v>0</v>
      </c>
      <c r="BT317" s="23">
        <f t="shared" si="142"/>
        <v>0</v>
      </c>
      <c r="BU317" s="23">
        <f t="shared" si="143"/>
        <v>0</v>
      </c>
      <c r="BV317" s="23">
        <f t="shared" si="144"/>
        <v>0</v>
      </c>
      <c r="BW317" s="23">
        <f t="shared" si="145"/>
        <v>0</v>
      </c>
      <c r="BX317" s="23">
        <f t="shared" si="146"/>
        <v>0</v>
      </c>
      <c r="BY317" s="23">
        <f t="shared" si="147"/>
        <v>0</v>
      </c>
      <c r="BZ317" s="23">
        <f t="shared" si="148"/>
        <v>0</v>
      </c>
      <c r="CA317" s="23">
        <f t="shared" si="149"/>
        <v>0</v>
      </c>
      <c r="CB317" s="23">
        <f t="shared" si="150"/>
        <v>0</v>
      </c>
      <c r="CC317" s="23">
        <f t="shared" si="151"/>
        <v>0</v>
      </c>
      <c r="CD317" s="23">
        <f t="shared" si="152"/>
        <v>0</v>
      </c>
      <c r="CE317" s="23">
        <f t="shared" si="153"/>
        <v>0</v>
      </c>
      <c r="CF317" s="23">
        <f t="shared" si="154"/>
        <v>0</v>
      </c>
      <c r="CG317" s="23">
        <f t="shared" si="155"/>
        <v>0</v>
      </c>
      <c r="CH317" s="23">
        <f t="shared" si="156"/>
        <v>0</v>
      </c>
      <c r="CI317" s="23">
        <f t="shared" si="157"/>
        <v>0</v>
      </c>
      <c r="CJ317" s="23">
        <f t="shared" si="158"/>
        <v>0</v>
      </c>
      <c r="CK317" s="23">
        <f t="shared" si="159"/>
        <v>0</v>
      </c>
      <c r="CL317" s="23">
        <f t="shared" si="160"/>
        <v>0</v>
      </c>
      <c r="CM317" s="23">
        <f t="shared" si="161"/>
        <v>0</v>
      </c>
      <c r="CN317" s="23">
        <f t="shared" si="162"/>
        <v>1</v>
      </c>
      <c r="CO317" s="23">
        <f t="shared" si="163"/>
        <v>1</v>
      </c>
      <c r="CP317" s="23">
        <f t="shared" si="164"/>
        <v>1</v>
      </c>
      <c r="CQ317" s="23">
        <f t="shared" si="165"/>
        <v>1</v>
      </c>
      <c r="CR317" s="23">
        <f t="shared" si="166"/>
        <v>1</v>
      </c>
      <c r="CS317" s="23">
        <f t="shared" si="167"/>
        <v>1</v>
      </c>
      <c r="CT317" s="23">
        <f t="shared" si="168"/>
        <v>1</v>
      </c>
      <c r="CU317" s="23">
        <f t="shared" si="169"/>
        <v>1</v>
      </c>
      <c r="CV317" s="23">
        <f t="shared" si="170"/>
        <v>1</v>
      </c>
    </row>
    <row r="318" spans="1:100" ht="13.5">
      <c r="A318" s="15">
        <v>229</v>
      </c>
      <c r="B318" s="38" t="s">
        <v>812</v>
      </c>
      <c r="C318" t="s">
        <v>580</v>
      </c>
      <c r="E318" t="s">
        <v>465</v>
      </c>
      <c r="F318" t="s">
        <v>581</v>
      </c>
      <c r="G318" t="s">
        <v>465</v>
      </c>
      <c r="H318" t="s">
        <v>582</v>
      </c>
      <c r="I318" s="6" t="s">
        <v>136</v>
      </c>
      <c r="J318" s="6">
        <v>0</v>
      </c>
      <c r="L318" s="15">
        <v>1</v>
      </c>
      <c r="N318" s="7">
        <v>46153</v>
      </c>
      <c r="O318" s="7">
        <v>46136</v>
      </c>
      <c r="P318" s="7">
        <v>46139</v>
      </c>
      <c r="S318" s="6" t="s">
        <v>465</v>
      </c>
      <c r="U318" s="6" t="s">
        <v>464</v>
      </c>
      <c r="V318" s="6" t="str">
        <f t="shared" si="137"/>
        <v>26/05</v>
      </c>
      <c r="W318">
        <v>1622</v>
      </c>
      <c r="AA318">
        <v>976</v>
      </c>
      <c r="AC318">
        <v>1029</v>
      </c>
      <c r="AI318" s="23">
        <v>0</v>
      </c>
      <c r="AJ318" s="23">
        <v>0</v>
      </c>
      <c r="AK318" s="23">
        <v>0</v>
      </c>
      <c r="AL318" s="23">
        <v>0</v>
      </c>
      <c r="AM318" s="23">
        <v>0</v>
      </c>
      <c r="AN318" s="23">
        <v>0</v>
      </c>
      <c r="AO318" s="23">
        <v>0</v>
      </c>
      <c r="AP318" s="23">
        <v>0</v>
      </c>
      <c r="AQ318" s="23">
        <v>0</v>
      </c>
      <c r="AR318" s="23">
        <v>0</v>
      </c>
      <c r="AS318" s="23">
        <v>0</v>
      </c>
      <c r="AT318" s="23">
        <v>0</v>
      </c>
      <c r="AU318" s="23">
        <v>0</v>
      </c>
      <c r="AV318" s="23">
        <v>0</v>
      </c>
      <c r="AW318" s="23">
        <v>0</v>
      </c>
      <c r="AX318" s="23">
        <v>0</v>
      </c>
      <c r="AY318" s="23">
        <v>0</v>
      </c>
      <c r="AZ318" s="23">
        <v>0</v>
      </c>
      <c r="BA318" s="23">
        <v>0</v>
      </c>
      <c r="BB318" s="23">
        <v>0</v>
      </c>
      <c r="BC318" s="23">
        <v>0</v>
      </c>
      <c r="BD318" s="23">
        <v>0</v>
      </c>
      <c r="BE318" s="23">
        <v>0</v>
      </c>
      <c r="BF318" s="23">
        <v>0</v>
      </c>
      <c r="BG318" s="23">
        <v>1</v>
      </c>
      <c r="BH318" s="23">
        <v>1</v>
      </c>
      <c r="BI318" s="23">
        <v>1</v>
      </c>
      <c r="BJ318" s="23">
        <v>1</v>
      </c>
      <c r="BK318" s="23">
        <v>1</v>
      </c>
      <c r="BL318" s="23">
        <v>1</v>
      </c>
      <c r="BM318" s="23">
        <v>1</v>
      </c>
      <c r="BN318" s="23">
        <v>1</v>
      </c>
      <c r="BO318" s="23">
        <v>1</v>
      </c>
      <c r="BP318" s="23">
        <f t="shared" si="138"/>
        <v>0</v>
      </c>
      <c r="BQ318" s="23">
        <f t="shared" si="139"/>
        <v>0</v>
      </c>
      <c r="BR318" s="23">
        <f t="shared" si="140"/>
        <v>0</v>
      </c>
      <c r="BS318" s="23">
        <f t="shared" si="141"/>
        <v>0</v>
      </c>
      <c r="BT318" s="23">
        <f t="shared" si="142"/>
        <v>0</v>
      </c>
      <c r="BU318" s="23">
        <f t="shared" si="143"/>
        <v>0</v>
      </c>
      <c r="BV318" s="23">
        <f t="shared" si="144"/>
        <v>0</v>
      </c>
      <c r="BW318" s="23">
        <f t="shared" si="145"/>
        <v>0</v>
      </c>
      <c r="BX318" s="23">
        <f t="shared" si="146"/>
        <v>0</v>
      </c>
      <c r="BY318" s="23">
        <f t="shared" si="147"/>
        <v>0</v>
      </c>
      <c r="BZ318" s="23">
        <f t="shared" si="148"/>
        <v>0</v>
      </c>
      <c r="CA318" s="23">
        <f t="shared" si="149"/>
        <v>0</v>
      </c>
      <c r="CB318" s="23">
        <f t="shared" si="150"/>
        <v>0</v>
      </c>
      <c r="CC318" s="23">
        <f t="shared" si="151"/>
        <v>0</v>
      </c>
      <c r="CD318" s="23">
        <f t="shared" si="152"/>
        <v>0</v>
      </c>
      <c r="CE318" s="23">
        <f t="shared" si="153"/>
        <v>0</v>
      </c>
      <c r="CF318" s="23">
        <f t="shared" si="154"/>
        <v>0</v>
      </c>
      <c r="CG318" s="23">
        <f t="shared" si="155"/>
        <v>0</v>
      </c>
      <c r="CH318" s="23">
        <f t="shared" si="156"/>
        <v>0</v>
      </c>
      <c r="CI318" s="23">
        <f t="shared" si="157"/>
        <v>0</v>
      </c>
      <c r="CJ318" s="23">
        <f t="shared" si="158"/>
        <v>0</v>
      </c>
      <c r="CK318" s="23">
        <f t="shared" si="159"/>
        <v>0</v>
      </c>
      <c r="CL318" s="23">
        <f t="shared" si="160"/>
        <v>0</v>
      </c>
      <c r="CM318" s="23">
        <f t="shared" si="161"/>
        <v>0</v>
      </c>
      <c r="CN318" s="23">
        <f t="shared" si="162"/>
        <v>1</v>
      </c>
      <c r="CO318" s="23">
        <f t="shared" si="163"/>
        <v>1</v>
      </c>
      <c r="CP318" s="23">
        <f t="shared" si="164"/>
        <v>1</v>
      </c>
      <c r="CQ318" s="23">
        <f t="shared" si="165"/>
        <v>1</v>
      </c>
      <c r="CR318" s="23">
        <f t="shared" si="166"/>
        <v>1</v>
      </c>
      <c r="CS318" s="23">
        <f t="shared" si="167"/>
        <v>1</v>
      </c>
      <c r="CT318" s="23">
        <f t="shared" si="168"/>
        <v>1</v>
      </c>
      <c r="CU318" s="23">
        <f t="shared" si="169"/>
        <v>1</v>
      </c>
      <c r="CV318" s="23">
        <f t="shared" si="170"/>
        <v>1</v>
      </c>
    </row>
    <row r="319" spans="1:100" ht="13.5">
      <c r="A319" s="15">
        <v>229</v>
      </c>
      <c r="B319" s="38" t="s">
        <v>813</v>
      </c>
      <c r="C319" t="s">
        <v>580</v>
      </c>
      <c r="E319" t="s">
        <v>465</v>
      </c>
      <c r="F319" t="s">
        <v>581</v>
      </c>
      <c r="G319" t="s">
        <v>465</v>
      </c>
      <c r="H319" t="s">
        <v>582</v>
      </c>
      <c r="I319" s="6" t="s">
        <v>136</v>
      </c>
      <c r="J319" s="6">
        <v>0</v>
      </c>
      <c r="L319" s="15">
        <v>1</v>
      </c>
      <c r="N319" s="7">
        <v>46153</v>
      </c>
      <c r="O319" s="7">
        <v>46136</v>
      </c>
      <c r="P319" s="7">
        <v>46139</v>
      </c>
      <c r="S319" s="6" t="s">
        <v>465</v>
      </c>
      <c r="U319" s="6" t="s">
        <v>464</v>
      </c>
      <c r="V319" s="6" t="str">
        <f t="shared" si="137"/>
        <v>26/05</v>
      </c>
      <c r="W319">
        <v>1623</v>
      </c>
      <c r="AA319">
        <v>977</v>
      </c>
      <c r="AC319">
        <v>1030</v>
      </c>
      <c r="AI319" s="23">
        <v>0</v>
      </c>
      <c r="AJ319" s="23">
        <v>0</v>
      </c>
      <c r="AK319" s="23">
        <v>0</v>
      </c>
      <c r="AL319" s="23">
        <v>0</v>
      </c>
      <c r="AM319" s="23">
        <v>0</v>
      </c>
      <c r="AN319" s="23">
        <v>0</v>
      </c>
      <c r="AO319" s="23">
        <v>0</v>
      </c>
      <c r="AP319" s="23">
        <v>0</v>
      </c>
      <c r="AQ319" s="23">
        <v>0</v>
      </c>
      <c r="AR319" s="23">
        <v>0</v>
      </c>
      <c r="AS319" s="23">
        <v>0</v>
      </c>
      <c r="AT319" s="23">
        <v>0</v>
      </c>
      <c r="AU319" s="23">
        <v>0</v>
      </c>
      <c r="AV319" s="23">
        <v>0</v>
      </c>
      <c r="AW319" s="23">
        <v>0</v>
      </c>
      <c r="AX319" s="23">
        <v>0</v>
      </c>
      <c r="AY319" s="23">
        <v>0</v>
      </c>
      <c r="AZ319" s="23">
        <v>0</v>
      </c>
      <c r="BA319" s="23">
        <v>0</v>
      </c>
      <c r="BB319" s="23">
        <v>0</v>
      </c>
      <c r="BC319" s="23">
        <v>0</v>
      </c>
      <c r="BD319" s="23">
        <v>0</v>
      </c>
      <c r="BE319" s="23">
        <v>0</v>
      </c>
      <c r="BF319" s="23">
        <v>0</v>
      </c>
      <c r="BG319" s="23">
        <v>1</v>
      </c>
      <c r="BH319" s="23">
        <v>1</v>
      </c>
      <c r="BI319" s="23">
        <v>1</v>
      </c>
      <c r="BJ319" s="23">
        <v>1</v>
      </c>
      <c r="BK319" s="23">
        <v>1</v>
      </c>
      <c r="BL319" s="23">
        <v>1</v>
      </c>
      <c r="BM319" s="23">
        <v>1</v>
      </c>
      <c r="BN319" s="23">
        <v>1</v>
      </c>
      <c r="BO319" s="23">
        <v>1</v>
      </c>
      <c r="BP319" s="23">
        <f t="shared" si="138"/>
        <v>0</v>
      </c>
      <c r="BQ319" s="23">
        <f t="shared" si="139"/>
        <v>0</v>
      </c>
      <c r="BR319" s="23">
        <f t="shared" si="140"/>
        <v>0</v>
      </c>
      <c r="BS319" s="23">
        <f t="shared" si="141"/>
        <v>0</v>
      </c>
      <c r="BT319" s="23">
        <f t="shared" si="142"/>
        <v>0</v>
      </c>
      <c r="BU319" s="23">
        <f t="shared" si="143"/>
        <v>0</v>
      </c>
      <c r="BV319" s="23">
        <f t="shared" si="144"/>
        <v>0</v>
      </c>
      <c r="BW319" s="23">
        <f t="shared" si="145"/>
        <v>0</v>
      </c>
      <c r="BX319" s="23">
        <f t="shared" si="146"/>
        <v>0</v>
      </c>
      <c r="BY319" s="23">
        <f t="shared" si="147"/>
        <v>0</v>
      </c>
      <c r="BZ319" s="23">
        <f t="shared" si="148"/>
        <v>0</v>
      </c>
      <c r="CA319" s="23">
        <f t="shared" si="149"/>
        <v>0</v>
      </c>
      <c r="CB319" s="23">
        <f t="shared" si="150"/>
        <v>0</v>
      </c>
      <c r="CC319" s="23">
        <f t="shared" si="151"/>
        <v>0</v>
      </c>
      <c r="CD319" s="23">
        <f t="shared" si="152"/>
        <v>0</v>
      </c>
      <c r="CE319" s="23">
        <f t="shared" si="153"/>
        <v>0</v>
      </c>
      <c r="CF319" s="23">
        <f t="shared" si="154"/>
        <v>0</v>
      </c>
      <c r="CG319" s="23">
        <f t="shared" si="155"/>
        <v>0</v>
      </c>
      <c r="CH319" s="23">
        <f t="shared" si="156"/>
        <v>0</v>
      </c>
      <c r="CI319" s="23">
        <f t="shared" si="157"/>
        <v>0</v>
      </c>
      <c r="CJ319" s="23">
        <f t="shared" si="158"/>
        <v>0</v>
      </c>
      <c r="CK319" s="23">
        <f t="shared" si="159"/>
        <v>0</v>
      </c>
      <c r="CL319" s="23">
        <f t="shared" si="160"/>
        <v>0</v>
      </c>
      <c r="CM319" s="23">
        <f t="shared" si="161"/>
        <v>0</v>
      </c>
      <c r="CN319" s="23">
        <f t="shared" si="162"/>
        <v>1</v>
      </c>
      <c r="CO319" s="23">
        <f t="shared" si="163"/>
        <v>1</v>
      </c>
      <c r="CP319" s="23">
        <f t="shared" si="164"/>
        <v>1</v>
      </c>
      <c r="CQ319" s="23">
        <f t="shared" si="165"/>
        <v>1</v>
      </c>
      <c r="CR319" s="23">
        <f t="shared" si="166"/>
        <v>1</v>
      </c>
      <c r="CS319" s="23">
        <f t="shared" si="167"/>
        <v>1</v>
      </c>
      <c r="CT319" s="23">
        <f t="shared" si="168"/>
        <v>1</v>
      </c>
      <c r="CU319" s="23">
        <f t="shared" si="169"/>
        <v>1</v>
      </c>
      <c r="CV319" s="23">
        <f t="shared" si="170"/>
        <v>1</v>
      </c>
    </row>
    <row r="320" spans="1:100" ht="13.5">
      <c r="A320" s="15">
        <v>229</v>
      </c>
      <c r="B320" s="38" t="s">
        <v>814</v>
      </c>
      <c r="C320" t="s">
        <v>580</v>
      </c>
      <c r="E320" t="s">
        <v>465</v>
      </c>
      <c r="F320" t="s">
        <v>581</v>
      </c>
      <c r="G320" t="s">
        <v>465</v>
      </c>
      <c r="H320" t="s">
        <v>582</v>
      </c>
      <c r="I320" s="6" t="s">
        <v>136</v>
      </c>
      <c r="J320" s="6">
        <v>0</v>
      </c>
      <c r="L320" s="15">
        <v>1</v>
      </c>
      <c r="N320" s="7">
        <v>46153</v>
      </c>
      <c r="O320" s="7">
        <v>46136</v>
      </c>
      <c r="P320" s="7">
        <v>46139</v>
      </c>
      <c r="S320" s="6" t="s">
        <v>465</v>
      </c>
      <c r="U320" s="6" t="s">
        <v>464</v>
      </c>
      <c r="V320" s="6" t="str">
        <f t="shared" si="137"/>
        <v>26/05</v>
      </c>
      <c r="W320">
        <v>1624</v>
      </c>
      <c r="AA320">
        <v>978</v>
      </c>
      <c r="AC320">
        <v>1031</v>
      </c>
      <c r="AI320" s="23">
        <v>0</v>
      </c>
      <c r="AJ320" s="23">
        <v>0</v>
      </c>
      <c r="AK320" s="23">
        <v>0</v>
      </c>
      <c r="AL320" s="23">
        <v>0</v>
      </c>
      <c r="AM320" s="23">
        <v>0</v>
      </c>
      <c r="AN320" s="23">
        <v>0</v>
      </c>
      <c r="AO320" s="23">
        <v>0</v>
      </c>
      <c r="AP320" s="23">
        <v>0</v>
      </c>
      <c r="AQ320" s="23">
        <v>0</v>
      </c>
      <c r="AR320" s="23">
        <v>0</v>
      </c>
      <c r="AS320" s="23">
        <v>0</v>
      </c>
      <c r="AT320" s="23">
        <v>0</v>
      </c>
      <c r="AU320" s="23">
        <v>0</v>
      </c>
      <c r="AV320" s="23">
        <v>0</v>
      </c>
      <c r="AW320" s="23">
        <v>0</v>
      </c>
      <c r="AX320" s="23">
        <v>0</v>
      </c>
      <c r="AY320" s="23">
        <v>0</v>
      </c>
      <c r="AZ320" s="23">
        <v>0</v>
      </c>
      <c r="BA320" s="23">
        <v>0</v>
      </c>
      <c r="BB320" s="23">
        <v>0</v>
      </c>
      <c r="BC320" s="23">
        <v>0</v>
      </c>
      <c r="BD320" s="23">
        <v>0</v>
      </c>
      <c r="BE320" s="23">
        <v>0</v>
      </c>
      <c r="BF320" s="23">
        <v>0</v>
      </c>
      <c r="BG320" s="23">
        <v>1</v>
      </c>
      <c r="BH320" s="23">
        <v>1</v>
      </c>
      <c r="BI320" s="23">
        <v>1</v>
      </c>
      <c r="BJ320" s="23">
        <v>1</v>
      </c>
      <c r="BK320" s="23">
        <v>1</v>
      </c>
      <c r="BL320" s="23">
        <v>1</v>
      </c>
      <c r="BM320" s="23">
        <v>1</v>
      </c>
      <c r="BN320" s="23">
        <v>1</v>
      </c>
      <c r="BO320" s="23">
        <v>1</v>
      </c>
      <c r="BP320" s="23">
        <f t="shared" si="138"/>
        <v>0</v>
      </c>
      <c r="BQ320" s="23">
        <f t="shared" si="139"/>
        <v>0</v>
      </c>
      <c r="BR320" s="23">
        <f t="shared" si="140"/>
        <v>0</v>
      </c>
      <c r="BS320" s="23">
        <f t="shared" si="141"/>
        <v>0</v>
      </c>
      <c r="BT320" s="23">
        <f t="shared" si="142"/>
        <v>0</v>
      </c>
      <c r="BU320" s="23">
        <f t="shared" si="143"/>
        <v>0</v>
      </c>
      <c r="BV320" s="23">
        <f t="shared" si="144"/>
        <v>0</v>
      </c>
      <c r="BW320" s="23">
        <f t="shared" si="145"/>
        <v>0</v>
      </c>
      <c r="BX320" s="23">
        <f t="shared" si="146"/>
        <v>0</v>
      </c>
      <c r="BY320" s="23">
        <f t="shared" si="147"/>
        <v>0</v>
      </c>
      <c r="BZ320" s="23">
        <f t="shared" si="148"/>
        <v>0</v>
      </c>
      <c r="CA320" s="23">
        <f t="shared" si="149"/>
        <v>0</v>
      </c>
      <c r="CB320" s="23">
        <f t="shared" si="150"/>
        <v>0</v>
      </c>
      <c r="CC320" s="23">
        <f t="shared" si="151"/>
        <v>0</v>
      </c>
      <c r="CD320" s="23">
        <f t="shared" si="152"/>
        <v>0</v>
      </c>
      <c r="CE320" s="23">
        <f t="shared" si="153"/>
        <v>0</v>
      </c>
      <c r="CF320" s="23">
        <f t="shared" si="154"/>
        <v>0</v>
      </c>
      <c r="CG320" s="23">
        <f t="shared" si="155"/>
        <v>0</v>
      </c>
      <c r="CH320" s="23">
        <f t="shared" si="156"/>
        <v>0</v>
      </c>
      <c r="CI320" s="23">
        <f t="shared" si="157"/>
        <v>0</v>
      </c>
      <c r="CJ320" s="23">
        <f t="shared" si="158"/>
        <v>0</v>
      </c>
      <c r="CK320" s="23">
        <f t="shared" si="159"/>
        <v>0</v>
      </c>
      <c r="CL320" s="23">
        <f t="shared" si="160"/>
        <v>0</v>
      </c>
      <c r="CM320" s="23">
        <f t="shared" si="161"/>
        <v>0</v>
      </c>
      <c r="CN320" s="23">
        <f t="shared" si="162"/>
        <v>1</v>
      </c>
      <c r="CO320" s="23">
        <f t="shared" si="163"/>
        <v>1</v>
      </c>
      <c r="CP320" s="23">
        <f t="shared" si="164"/>
        <v>1</v>
      </c>
      <c r="CQ320" s="23">
        <f t="shared" si="165"/>
        <v>1</v>
      </c>
      <c r="CR320" s="23">
        <f t="shared" si="166"/>
        <v>1</v>
      </c>
      <c r="CS320" s="23">
        <f t="shared" si="167"/>
        <v>1</v>
      </c>
      <c r="CT320" s="23">
        <f t="shared" si="168"/>
        <v>1</v>
      </c>
      <c r="CU320" s="23">
        <f t="shared" si="169"/>
        <v>1</v>
      </c>
      <c r="CV320" s="23">
        <f t="shared" si="170"/>
        <v>1</v>
      </c>
    </row>
    <row r="321" spans="1:100" ht="13.5">
      <c r="A321" s="15">
        <v>229</v>
      </c>
      <c r="B321" s="38" t="s">
        <v>815</v>
      </c>
      <c r="C321" t="s">
        <v>580</v>
      </c>
      <c r="E321" t="s">
        <v>465</v>
      </c>
      <c r="F321" t="s">
        <v>581</v>
      </c>
      <c r="G321" t="s">
        <v>465</v>
      </c>
      <c r="H321" t="s">
        <v>582</v>
      </c>
      <c r="I321" s="6" t="s">
        <v>136</v>
      </c>
      <c r="J321" s="6">
        <v>0</v>
      </c>
      <c r="L321" s="15">
        <v>1</v>
      </c>
      <c r="N321" s="7">
        <v>46153</v>
      </c>
      <c r="O321" s="7">
        <v>46136</v>
      </c>
      <c r="P321" s="7">
        <v>46139</v>
      </c>
      <c r="S321" s="6" t="s">
        <v>465</v>
      </c>
      <c r="U321" s="6" t="s">
        <v>464</v>
      </c>
      <c r="V321" s="6" t="str">
        <f t="shared" si="137"/>
        <v>26/05</v>
      </c>
      <c r="W321">
        <v>1625</v>
      </c>
      <c r="AA321">
        <v>979</v>
      </c>
      <c r="AC321">
        <v>1032</v>
      </c>
      <c r="AI321" s="23">
        <v>0</v>
      </c>
      <c r="AJ321" s="23">
        <v>0</v>
      </c>
      <c r="AK321" s="23">
        <v>0</v>
      </c>
      <c r="AL321" s="23">
        <v>0</v>
      </c>
      <c r="AM321" s="23">
        <v>0</v>
      </c>
      <c r="AN321" s="23">
        <v>0</v>
      </c>
      <c r="AO321" s="23">
        <v>0</v>
      </c>
      <c r="AP321" s="23">
        <v>0</v>
      </c>
      <c r="AQ321" s="23">
        <v>0</v>
      </c>
      <c r="AR321" s="23">
        <v>0</v>
      </c>
      <c r="AS321" s="23">
        <v>0</v>
      </c>
      <c r="AT321" s="23">
        <v>0</v>
      </c>
      <c r="AU321" s="23">
        <v>0</v>
      </c>
      <c r="AV321" s="23">
        <v>0</v>
      </c>
      <c r="AW321" s="23">
        <v>0</v>
      </c>
      <c r="AX321" s="23">
        <v>0</v>
      </c>
      <c r="AY321" s="23">
        <v>0</v>
      </c>
      <c r="AZ321" s="23">
        <v>0</v>
      </c>
      <c r="BA321" s="23">
        <v>0</v>
      </c>
      <c r="BB321" s="23">
        <v>0</v>
      </c>
      <c r="BC321" s="23">
        <v>0</v>
      </c>
      <c r="BD321" s="23">
        <v>0</v>
      </c>
      <c r="BE321" s="23">
        <v>0</v>
      </c>
      <c r="BF321" s="23">
        <v>0</v>
      </c>
      <c r="BG321" s="23">
        <v>1</v>
      </c>
      <c r="BH321" s="23">
        <v>1</v>
      </c>
      <c r="BI321" s="23">
        <v>1</v>
      </c>
      <c r="BJ321" s="23">
        <v>1</v>
      </c>
      <c r="BK321" s="23">
        <v>1</v>
      </c>
      <c r="BL321" s="23">
        <v>1</v>
      </c>
      <c r="BM321" s="23">
        <v>1</v>
      </c>
      <c r="BN321" s="23">
        <v>1</v>
      </c>
      <c r="BO321" s="23">
        <v>1</v>
      </c>
      <c r="BP321" s="23">
        <f t="shared" si="138"/>
        <v>0</v>
      </c>
      <c r="BQ321" s="23">
        <f t="shared" si="139"/>
        <v>0</v>
      </c>
      <c r="BR321" s="23">
        <f t="shared" si="140"/>
        <v>0</v>
      </c>
      <c r="BS321" s="23">
        <f t="shared" si="141"/>
        <v>0</v>
      </c>
      <c r="BT321" s="23">
        <f t="shared" si="142"/>
        <v>0</v>
      </c>
      <c r="BU321" s="23">
        <f t="shared" si="143"/>
        <v>0</v>
      </c>
      <c r="BV321" s="23">
        <f t="shared" si="144"/>
        <v>0</v>
      </c>
      <c r="BW321" s="23">
        <f t="shared" si="145"/>
        <v>0</v>
      </c>
      <c r="BX321" s="23">
        <f t="shared" si="146"/>
        <v>0</v>
      </c>
      <c r="BY321" s="23">
        <f t="shared" si="147"/>
        <v>0</v>
      </c>
      <c r="BZ321" s="23">
        <f t="shared" si="148"/>
        <v>0</v>
      </c>
      <c r="CA321" s="23">
        <f t="shared" si="149"/>
        <v>0</v>
      </c>
      <c r="CB321" s="23">
        <f t="shared" si="150"/>
        <v>0</v>
      </c>
      <c r="CC321" s="23">
        <f t="shared" si="151"/>
        <v>0</v>
      </c>
      <c r="CD321" s="23">
        <f t="shared" si="152"/>
        <v>0</v>
      </c>
      <c r="CE321" s="23">
        <f t="shared" si="153"/>
        <v>0</v>
      </c>
      <c r="CF321" s="23">
        <f t="shared" si="154"/>
        <v>0</v>
      </c>
      <c r="CG321" s="23">
        <f t="shared" si="155"/>
        <v>0</v>
      </c>
      <c r="CH321" s="23">
        <f t="shared" si="156"/>
        <v>0</v>
      </c>
      <c r="CI321" s="23">
        <f t="shared" si="157"/>
        <v>0</v>
      </c>
      <c r="CJ321" s="23">
        <f t="shared" si="158"/>
        <v>0</v>
      </c>
      <c r="CK321" s="23">
        <f t="shared" si="159"/>
        <v>0</v>
      </c>
      <c r="CL321" s="23">
        <f t="shared" si="160"/>
        <v>0</v>
      </c>
      <c r="CM321" s="23">
        <f t="shared" si="161"/>
        <v>0</v>
      </c>
      <c r="CN321" s="23">
        <f t="shared" si="162"/>
        <v>1</v>
      </c>
      <c r="CO321" s="23">
        <f t="shared" si="163"/>
        <v>1</v>
      </c>
      <c r="CP321" s="23">
        <f t="shared" si="164"/>
        <v>1</v>
      </c>
      <c r="CQ321" s="23">
        <f t="shared" si="165"/>
        <v>1</v>
      </c>
      <c r="CR321" s="23">
        <f t="shared" si="166"/>
        <v>1</v>
      </c>
      <c r="CS321" s="23">
        <f t="shared" si="167"/>
        <v>1</v>
      </c>
      <c r="CT321" s="23">
        <f t="shared" si="168"/>
        <v>1</v>
      </c>
      <c r="CU321" s="23">
        <f t="shared" si="169"/>
        <v>1</v>
      </c>
      <c r="CV321" s="23">
        <f t="shared" si="170"/>
        <v>1</v>
      </c>
    </row>
    <row r="322" spans="1:100" ht="13.5">
      <c r="A322" s="15">
        <v>229</v>
      </c>
      <c r="B322" s="38" t="s">
        <v>816</v>
      </c>
      <c r="C322" t="s">
        <v>580</v>
      </c>
      <c r="E322" t="s">
        <v>465</v>
      </c>
      <c r="F322" t="s">
        <v>581</v>
      </c>
      <c r="G322" t="s">
        <v>465</v>
      </c>
      <c r="H322" t="s">
        <v>582</v>
      </c>
      <c r="I322" s="6" t="s">
        <v>136</v>
      </c>
      <c r="J322" s="6">
        <v>0</v>
      </c>
      <c r="L322" s="15">
        <v>1</v>
      </c>
      <c r="N322" s="7">
        <v>46153</v>
      </c>
      <c r="O322" s="7">
        <v>46136</v>
      </c>
      <c r="P322" s="7">
        <v>46139</v>
      </c>
      <c r="S322" s="6" t="s">
        <v>465</v>
      </c>
      <c r="U322" s="6" t="s">
        <v>464</v>
      </c>
      <c r="V322" s="6" t="str">
        <f t="shared" si="137"/>
        <v>26/05</v>
      </c>
      <c r="W322">
        <v>1626</v>
      </c>
      <c r="AA322">
        <v>980</v>
      </c>
      <c r="AC322">
        <v>1033</v>
      </c>
      <c r="AI322" s="23">
        <v>0</v>
      </c>
      <c r="AJ322" s="23">
        <v>0</v>
      </c>
      <c r="AK322" s="23">
        <v>0</v>
      </c>
      <c r="AL322" s="23">
        <v>0</v>
      </c>
      <c r="AM322" s="23">
        <v>0</v>
      </c>
      <c r="AN322" s="23">
        <v>0</v>
      </c>
      <c r="AO322" s="23">
        <v>0</v>
      </c>
      <c r="AP322" s="23">
        <v>0</v>
      </c>
      <c r="AQ322" s="23">
        <v>0</v>
      </c>
      <c r="AR322" s="23">
        <v>0</v>
      </c>
      <c r="AS322" s="23">
        <v>0</v>
      </c>
      <c r="AT322" s="23">
        <v>0</v>
      </c>
      <c r="AU322" s="23">
        <v>0</v>
      </c>
      <c r="AV322" s="23">
        <v>0</v>
      </c>
      <c r="AW322" s="23">
        <v>0</v>
      </c>
      <c r="AX322" s="23">
        <v>0</v>
      </c>
      <c r="AY322" s="23">
        <v>0</v>
      </c>
      <c r="AZ322" s="23">
        <v>0</v>
      </c>
      <c r="BA322" s="23">
        <v>0</v>
      </c>
      <c r="BB322" s="23">
        <v>0</v>
      </c>
      <c r="BC322" s="23">
        <v>0</v>
      </c>
      <c r="BD322" s="23">
        <v>0</v>
      </c>
      <c r="BE322" s="23">
        <v>0</v>
      </c>
      <c r="BF322" s="23">
        <v>0</v>
      </c>
      <c r="BG322" s="23">
        <v>1</v>
      </c>
      <c r="BH322" s="23">
        <v>1</v>
      </c>
      <c r="BI322" s="23">
        <v>1</v>
      </c>
      <c r="BJ322" s="23">
        <v>1</v>
      </c>
      <c r="BK322" s="23">
        <v>1</v>
      </c>
      <c r="BL322" s="23">
        <v>1</v>
      </c>
      <c r="BM322" s="23">
        <v>1</v>
      </c>
      <c r="BN322" s="23">
        <v>1</v>
      </c>
      <c r="BO322" s="23">
        <v>1</v>
      </c>
      <c r="BP322" s="23">
        <f t="shared" si="138"/>
        <v>0</v>
      </c>
      <c r="BQ322" s="23">
        <f t="shared" si="139"/>
        <v>0</v>
      </c>
      <c r="BR322" s="23">
        <f t="shared" si="140"/>
        <v>0</v>
      </c>
      <c r="BS322" s="23">
        <f t="shared" si="141"/>
        <v>0</v>
      </c>
      <c r="BT322" s="23">
        <f t="shared" si="142"/>
        <v>0</v>
      </c>
      <c r="BU322" s="23">
        <f t="shared" si="143"/>
        <v>0</v>
      </c>
      <c r="BV322" s="23">
        <f t="shared" si="144"/>
        <v>0</v>
      </c>
      <c r="BW322" s="23">
        <f t="shared" si="145"/>
        <v>0</v>
      </c>
      <c r="BX322" s="23">
        <f t="shared" si="146"/>
        <v>0</v>
      </c>
      <c r="BY322" s="23">
        <f t="shared" si="147"/>
        <v>0</v>
      </c>
      <c r="BZ322" s="23">
        <f t="shared" si="148"/>
        <v>0</v>
      </c>
      <c r="CA322" s="23">
        <f t="shared" si="149"/>
        <v>0</v>
      </c>
      <c r="CB322" s="23">
        <f t="shared" si="150"/>
        <v>0</v>
      </c>
      <c r="CC322" s="23">
        <f t="shared" si="151"/>
        <v>0</v>
      </c>
      <c r="CD322" s="23">
        <f t="shared" si="152"/>
        <v>0</v>
      </c>
      <c r="CE322" s="23">
        <f t="shared" si="153"/>
        <v>0</v>
      </c>
      <c r="CF322" s="23">
        <f t="shared" si="154"/>
        <v>0</v>
      </c>
      <c r="CG322" s="23">
        <f t="shared" si="155"/>
        <v>0</v>
      </c>
      <c r="CH322" s="23">
        <f t="shared" si="156"/>
        <v>0</v>
      </c>
      <c r="CI322" s="23">
        <f t="shared" si="157"/>
        <v>0</v>
      </c>
      <c r="CJ322" s="23">
        <f t="shared" si="158"/>
        <v>0</v>
      </c>
      <c r="CK322" s="23">
        <f t="shared" si="159"/>
        <v>0</v>
      </c>
      <c r="CL322" s="23">
        <f t="shared" si="160"/>
        <v>0</v>
      </c>
      <c r="CM322" s="23">
        <f t="shared" si="161"/>
        <v>0</v>
      </c>
      <c r="CN322" s="23">
        <f t="shared" si="162"/>
        <v>1</v>
      </c>
      <c r="CO322" s="23">
        <f t="shared" si="163"/>
        <v>1</v>
      </c>
      <c r="CP322" s="23">
        <f t="shared" si="164"/>
        <v>1</v>
      </c>
      <c r="CQ322" s="23">
        <f t="shared" si="165"/>
        <v>1</v>
      </c>
      <c r="CR322" s="23">
        <f t="shared" si="166"/>
        <v>1</v>
      </c>
      <c r="CS322" s="23">
        <f t="shared" si="167"/>
        <v>1</v>
      </c>
      <c r="CT322" s="23">
        <f t="shared" si="168"/>
        <v>1</v>
      </c>
      <c r="CU322" s="23">
        <f t="shared" si="169"/>
        <v>1</v>
      </c>
      <c r="CV322" s="23">
        <f t="shared" si="170"/>
        <v>1</v>
      </c>
    </row>
    <row r="323" spans="1:100" ht="13.5">
      <c r="A323" s="15">
        <v>229</v>
      </c>
      <c r="B323" s="38" t="s">
        <v>817</v>
      </c>
      <c r="C323" t="s">
        <v>580</v>
      </c>
      <c r="E323" t="s">
        <v>465</v>
      </c>
      <c r="F323" t="s">
        <v>581</v>
      </c>
      <c r="G323" t="s">
        <v>465</v>
      </c>
      <c r="H323" t="s">
        <v>582</v>
      </c>
      <c r="I323" s="6" t="s">
        <v>136</v>
      </c>
      <c r="J323" s="6">
        <v>0</v>
      </c>
      <c r="L323" s="15">
        <v>1</v>
      </c>
      <c r="N323" s="7">
        <v>46154</v>
      </c>
      <c r="O323" s="7">
        <v>46136</v>
      </c>
      <c r="P323" s="7">
        <v>46139</v>
      </c>
      <c r="S323" s="6" t="s">
        <v>465</v>
      </c>
      <c r="U323" s="6" t="s">
        <v>464</v>
      </c>
      <c r="V323" s="6" t="str">
        <f t="shared" si="137"/>
        <v>26/05</v>
      </c>
      <c r="W323">
        <v>1627</v>
      </c>
      <c r="AA323">
        <v>981</v>
      </c>
      <c r="AC323">
        <v>1034</v>
      </c>
      <c r="AI323" s="23">
        <v>0</v>
      </c>
      <c r="AJ323" s="23">
        <v>0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0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0</v>
      </c>
      <c r="BE323" s="23">
        <v>0</v>
      </c>
      <c r="BF323" s="23">
        <v>0</v>
      </c>
      <c r="BG323" s="23">
        <v>1</v>
      </c>
      <c r="BH323" s="23">
        <v>1</v>
      </c>
      <c r="BI323" s="23">
        <v>1</v>
      </c>
      <c r="BJ323" s="23">
        <v>1</v>
      </c>
      <c r="BK323" s="23">
        <v>1</v>
      </c>
      <c r="BL323" s="23">
        <v>1</v>
      </c>
      <c r="BM323" s="23">
        <v>1</v>
      </c>
      <c r="BN323" s="23">
        <v>1</v>
      </c>
      <c r="BO323" s="23">
        <v>1</v>
      </c>
      <c r="BP323" s="23">
        <f t="shared" si="138"/>
        <v>0</v>
      </c>
      <c r="BQ323" s="23">
        <f t="shared" si="139"/>
        <v>0</v>
      </c>
      <c r="BR323" s="23">
        <f t="shared" si="140"/>
        <v>0</v>
      </c>
      <c r="BS323" s="23">
        <f t="shared" si="141"/>
        <v>0</v>
      </c>
      <c r="BT323" s="23">
        <f t="shared" si="142"/>
        <v>0</v>
      </c>
      <c r="BU323" s="23">
        <f t="shared" si="143"/>
        <v>0</v>
      </c>
      <c r="BV323" s="23">
        <f t="shared" si="144"/>
        <v>0</v>
      </c>
      <c r="BW323" s="23">
        <f t="shared" si="145"/>
        <v>0</v>
      </c>
      <c r="BX323" s="23">
        <f t="shared" si="146"/>
        <v>0</v>
      </c>
      <c r="BY323" s="23">
        <f t="shared" si="147"/>
        <v>0</v>
      </c>
      <c r="BZ323" s="23">
        <f t="shared" si="148"/>
        <v>0</v>
      </c>
      <c r="CA323" s="23">
        <f t="shared" si="149"/>
        <v>0</v>
      </c>
      <c r="CB323" s="23">
        <f t="shared" si="150"/>
        <v>0</v>
      </c>
      <c r="CC323" s="23">
        <f t="shared" si="151"/>
        <v>0</v>
      </c>
      <c r="CD323" s="23">
        <f t="shared" si="152"/>
        <v>0</v>
      </c>
      <c r="CE323" s="23">
        <f t="shared" si="153"/>
        <v>0</v>
      </c>
      <c r="CF323" s="23">
        <f t="shared" si="154"/>
        <v>0</v>
      </c>
      <c r="CG323" s="23">
        <f t="shared" si="155"/>
        <v>0</v>
      </c>
      <c r="CH323" s="23">
        <f t="shared" si="156"/>
        <v>0</v>
      </c>
      <c r="CI323" s="23">
        <f t="shared" si="157"/>
        <v>0</v>
      </c>
      <c r="CJ323" s="23">
        <f t="shared" si="158"/>
        <v>0</v>
      </c>
      <c r="CK323" s="23">
        <f t="shared" si="159"/>
        <v>0</v>
      </c>
      <c r="CL323" s="23">
        <f t="shared" si="160"/>
        <v>0</v>
      </c>
      <c r="CM323" s="23">
        <f t="shared" si="161"/>
        <v>0</v>
      </c>
      <c r="CN323" s="23">
        <f t="shared" si="162"/>
        <v>1</v>
      </c>
      <c r="CO323" s="23">
        <f t="shared" si="163"/>
        <v>1</v>
      </c>
      <c r="CP323" s="23">
        <f t="shared" si="164"/>
        <v>1</v>
      </c>
      <c r="CQ323" s="23">
        <f t="shared" si="165"/>
        <v>1</v>
      </c>
      <c r="CR323" s="23">
        <f t="shared" si="166"/>
        <v>1</v>
      </c>
      <c r="CS323" s="23">
        <f t="shared" si="167"/>
        <v>1</v>
      </c>
      <c r="CT323" s="23">
        <f t="shared" si="168"/>
        <v>1</v>
      </c>
      <c r="CU323" s="23">
        <f t="shared" si="169"/>
        <v>1</v>
      </c>
      <c r="CV323" s="23">
        <f t="shared" si="170"/>
        <v>1</v>
      </c>
    </row>
    <row r="324" spans="1:100" ht="13.5">
      <c r="A324" s="15">
        <v>229</v>
      </c>
      <c r="B324" s="38" t="s">
        <v>818</v>
      </c>
      <c r="C324" t="s">
        <v>580</v>
      </c>
      <c r="E324" t="s">
        <v>465</v>
      </c>
      <c r="F324" t="s">
        <v>581</v>
      </c>
      <c r="G324" t="s">
        <v>465</v>
      </c>
      <c r="H324" t="s">
        <v>582</v>
      </c>
      <c r="I324" s="6" t="s">
        <v>136</v>
      </c>
      <c r="J324" s="6">
        <v>0</v>
      </c>
      <c r="L324" s="15">
        <v>1</v>
      </c>
      <c r="N324" s="7">
        <v>46154</v>
      </c>
      <c r="O324" s="7">
        <v>46136</v>
      </c>
      <c r="P324" s="7">
        <v>46139</v>
      </c>
      <c r="S324" s="6" t="s">
        <v>465</v>
      </c>
      <c r="U324" s="6" t="s">
        <v>464</v>
      </c>
      <c r="V324" s="6" t="str">
        <f t="shared" si="137"/>
        <v>26/05</v>
      </c>
      <c r="W324">
        <v>1628</v>
      </c>
      <c r="AA324">
        <v>982</v>
      </c>
      <c r="AC324">
        <v>1035</v>
      </c>
      <c r="AI324" s="23">
        <v>0</v>
      </c>
      <c r="AJ324" s="23">
        <v>0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0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0</v>
      </c>
      <c r="BE324" s="23">
        <v>0</v>
      </c>
      <c r="BF324" s="23">
        <v>0</v>
      </c>
      <c r="BG324" s="23">
        <v>1</v>
      </c>
      <c r="BH324" s="23">
        <v>1</v>
      </c>
      <c r="BI324" s="23">
        <v>1</v>
      </c>
      <c r="BJ324" s="23">
        <v>1</v>
      </c>
      <c r="BK324" s="23">
        <v>1</v>
      </c>
      <c r="BL324" s="23">
        <v>1</v>
      </c>
      <c r="BM324" s="23">
        <v>1</v>
      </c>
      <c r="BN324" s="23">
        <v>1</v>
      </c>
      <c r="BO324" s="23">
        <v>1</v>
      </c>
      <c r="BP324" s="23">
        <f t="shared" si="138"/>
        <v>0</v>
      </c>
      <c r="BQ324" s="23">
        <f t="shared" si="139"/>
        <v>0</v>
      </c>
      <c r="BR324" s="23">
        <f t="shared" si="140"/>
        <v>0</v>
      </c>
      <c r="BS324" s="23">
        <f t="shared" si="141"/>
        <v>0</v>
      </c>
      <c r="BT324" s="23">
        <f t="shared" si="142"/>
        <v>0</v>
      </c>
      <c r="BU324" s="23">
        <f t="shared" si="143"/>
        <v>0</v>
      </c>
      <c r="BV324" s="23">
        <f t="shared" si="144"/>
        <v>0</v>
      </c>
      <c r="BW324" s="23">
        <f t="shared" si="145"/>
        <v>0</v>
      </c>
      <c r="BX324" s="23">
        <f t="shared" si="146"/>
        <v>0</v>
      </c>
      <c r="BY324" s="23">
        <f t="shared" si="147"/>
        <v>0</v>
      </c>
      <c r="BZ324" s="23">
        <f t="shared" si="148"/>
        <v>0</v>
      </c>
      <c r="CA324" s="23">
        <f t="shared" si="149"/>
        <v>0</v>
      </c>
      <c r="CB324" s="23">
        <f t="shared" si="150"/>
        <v>0</v>
      </c>
      <c r="CC324" s="23">
        <f t="shared" si="151"/>
        <v>0</v>
      </c>
      <c r="CD324" s="23">
        <f t="shared" si="152"/>
        <v>0</v>
      </c>
      <c r="CE324" s="23">
        <f t="shared" si="153"/>
        <v>0</v>
      </c>
      <c r="CF324" s="23">
        <f t="shared" si="154"/>
        <v>0</v>
      </c>
      <c r="CG324" s="23">
        <f t="shared" si="155"/>
        <v>0</v>
      </c>
      <c r="CH324" s="23">
        <f t="shared" si="156"/>
        <v>0</v>
      </c>
      <c r="CI324" s="23">
        <f t="shared" si="157"/>
        <v>0</v>
      </c>
      <c r="CJ324" s="23">
        <f t="shared" si="158"/>
        <v>0</v>
      </c>
      <c r="CK324" s="23">
        <f t="shared" si="159"/>
        <v>0</v>
      </c>
      <c r="CL324" s="23">
        <f t="shared" si="160"/>
        <v>0</v>
      </c>
      <c r="CM324" s="23">
        <f t="shared" si="161"/>
        <v>0</v>
      </c>
      <c r="CN324" s="23">
        <f t="shared" si="162"/>
        <v>1</v>
      </c>
      <c r="CO324" s="23">
        <f t="shared" si="163"/>
        <v>1</v>
      </c>
      <c r="CP324" s="23">
        <f t="shared" si="164"/>
        <v>1</v>
      </c>
      <c r="CQ324" s="23">
        <f t="shared" si="165"/>
        <v>1</v>
      </c>
      <c r="CR324" s="23">
        <f t="shared" si="166"/>
        <v>1</v>
      </c>
      <c r="CS324" s="23">
        <f t="shared" si="167"/>
        <v>1</v>
      </c>
      <c r="CT324" s="23">
        <f t="shared" si="168"/>
        <v>1</v>
      </c>
      <c r="CU324" s="23">
        <f t="shared" si="169"/>
        <v>1</v>
      </c>
      <c r="CV324" s="23">
        <f t="shared" si="170"/>
        <v>1</v>
      </c>
    </row>
    <row r="325" spans="1:100" ht="13.5">
      <c r="A325" s="15">
        <v>229</v>
      </c>
      <c r="B325" s="38" t="s">
        <v>819</v>
      </c>
      <c r="C325" t="s">
        <v>580</v>
      </c>
      <c r="E325" t="s">
        <v>465</v>
      </c>
      <c r="F325" t="s">
        <v>581</v>
      </c>
      <c r="G325" t="s">
        <v>465</v>
      </c>
      <c r="H325" t="s">
        <v>582</v>
      </c>
      <c r="I325" s="6" t="s">
        <v>136</v>
      </c>
      <c r="J325" s="6">
        <v>0</v>
      </c>
      <c r="L325" s="15">
        <v>1</v>
      </c>
      <c r="N325" s="7">
        <v>46154</v>
      </c>
      <c r="O325" s="7">
        <v>46136</v>
      </c>
      <c r="P325" s="7">
        <v>46139</v>
      </c>
      <c r="S325" s="6" t="s">
        <v>465</v>
      </c>
      <c r="U325" s="6" t="s">
        <v>464</v>
      </c>
      <c r="V325" s="6" t="str">
        <f t="shared" ref="V325:V388" si="171">TEXT(N325,"YY/MM")</f>
        <v>26/05</v>
      </c>
      <c r="W325">
        <v>1629</v>
      </c>
      <c r="AA325">
        <v>983</v>
      </c>
      <c r="AC325">
        <v>1036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0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1</v>
      </c>
      <c r="BH325" s="23">
        <v>1</v>
      </c>
      <c r="BI325" s="23">
        <v>1</v>
      </c>
      <c r="BJ325" s="23">
        <v>1</v>
      </c>
      <c r="BK325" s="23">
        <v>1</v>
      </c>
      <c r="BL325" s="23">
        <v>1</v>
      </c>
      <c r="BM325" s="23">
        <v>1</v>
      </c>
      <c r="BN325" s="23">
        <v>1</v>
      </c>
      <c r="BO325" s="23">
        <v>1</v>
      </c>
      <c r="BP325" s="23">
        <f t="shared" ref="BP325:BP388" si="172">$L325*AI325</f>
        <v>0</v>
      </c>
      <c r="BQ325" s="23">
        <f t="shared" ref="BQ325:BQ388" si="173">$L325*AJ325</f>
        <v>0</v>
      </c>
      <c r="BR325" s="23">
        <f t="shared" ref="BR325:BR388" si="174">$L325*AK325</f>
        <v>0</v>
      </c>
      <c r="BS325" s="23">
        <f t="shared" ref="BS325:BS388" si="175">$L325*AL325</f>
        <v>0</v>
      </c>
      <c r="BT325" s="23">
        <f t="shared" ref="BT325:BT388" si="176">$L325*AM325</f>
        <v>0</v>
      </c>
      <c r="BU325" s="23">
        <f t="shared" ref="BU325:BU388" si="177">$L325*AN325</f>
        <v>0</v>
      </c>
      <c r="BV325" s="23">
        <f t="shared" ref="BV325:BV388" si="178">$L325*AO325</f>
        <v>0</v>
      </c>
      <c r="BW325" s="23">
        <f t="shared" ref="BW325:BW388" si="179">$L325*AP325</f>
        <v>0</v>
      </c>
      <c r="BX325" s="23">
        <f t="shared" ref="BX325:BX388" si="180">$L325*AQ325</f>
        <v>0</v>
      </c>
      <c r="BY325" s="23">
        <f t="shared" ref="BY325:BY388" si="181">$L325*AR325</f>
        <v>0</v>
      </c>
      <c r="BZ325" s="23">
        <f t="shared" ref="BZ325:BZ388" si="182">$L325*AS325</f>
        <v>0</v>
      </c>
      <c r="CA325" s="23">
        <f t="shared" ref="CA325:CA388" si="183">$L325*AT325</f>
        <v>0</v>
      </c>
      <c r="CB325" s="23">
        <f t="shared" ref="CB325:CB388" si="184">$L325*AU325</f>
        <v>0</v>
      </c>
      <c r="CC325" s="23">
        <f t="shared" ref="CC325:CC388" si="185">$L325*AV325</f>
        <v>0</v>
      </c>
      <c r="CD325" s="23">
        <f t="shared" ref="CD325:CD388" si="186">$L325*AW325</f>
        <v>0</v>
      </c>
      <c r="CE325" s="23">
        <f t="shared" ref="CE325:CE388" si="187">$L325*AX325</f>
        <v>0</v>
      </c>
      <c r="CF325" s="23">
        <f t="shared" ref="CF325:CF388" si="188">$L325*AY325</f>
        <v>0</v>
      </c>
      <c r="CG325" s="23">
        <f t="shared" ref="CG325:CG388" si="189">$L325*AZ325</f>
        <v>0</v>
      </c>
      <c r="CH325" s="23">
        <f t="shared" ref="CH325:CH388" si="190">$L325*BA325</f>
        <v>0</v>
      </c>
      <c r="CI325" s="23">
        <f t="shared" ref="CI325:CI388" si="191">$L325*BB325</f>
        <v>0</v>
      </c>
      <c r="CJ325" s="23">
        <f t="shared" ref="CJ325:CJ388" si="192">$L325*BC325</f>
        <v>0</v>
      </c>
      <c r="CK325" s="23">
        <f t="shared" ref="CK325:CK388" si="193">$L325*BD325</f>
        <v>0</v>
      </c>
      <c r="CL325" s="23">
        <f t="shared" ref="CL325:CL388" si="194">$L325*BE325</f>
        <v>0</v>
      </c>
      <c r="CM325" s="23">
        <f t="shared" ref="CM325:CM388" si="195">$L325*BF325</f>
        <v>0</v>
      </c>
      <c r="CN325" s="23">
        <f t="shared" ref="CN325:CN388" si="196">$L325*BG325</f>
        <v>1</v>
      </c>
      <c r="CO325" s="23">
        <f t="shared" ref="CO325:CO388" si="197">$L325*BH325</f>
        <v>1</v>
      </c>
      <c r="CP325" s="23">
        <f t="shared" ref="CP325:CP388" si="198">$L325*BI325</f>
        <v>1</v>
      </c>
      <c r="CQ325" s="23">
        <f t="shared" ref="CQ325:CQ388" si="199">$L325*BJ325</f>
        <v>1</v>
      </c>
      <c r="CR325" s="23">
        <f t="shared" ref="CR325:CR388" si="200">$L325*BK325</f>
        <v>1</v>
      </c>
      <c r="CS325" s="23">
        <f t="shared" ref="CS325:CS388" si="201">$L325*BL325</f>
        <v>1</v>
      </c>
      <c r="CT325" s="23">
        <f t="shared" ref="CT325:CT388" si="202">$L325*BM325</f>
        <v>1</v>
      </c>
      <c r="CU325" s="23">
        <f t="shared" ref="CU325:CU388" si="203">$L325*BN325</f>
        <v>1</v>
      </c>
      <c r="CV325" s="23">
        <f t="shared" ref="CV325:CV388" si="204">$L325*BO325</f>
        <v>1</v>
      </c>
    </row>
    <row r="326" spans="1:100" ht="13.5">
      <c r="A326" s="15">
        <v>229</v>
      </c>
      <c r="B326" s="38" t="s">
        <v>820</v>
      </c>
      <c r="C326" t="s">
        <v>580</v>
      </c>
      <c r="E326" t="s">
        <v>465</v>
      </c>
      <c r="F326" t="s">
        <v>581</v>
      </c>
      <c r="G326" t="s">
        <v>465</v>
      </c>
      <c r="H326" t="s">
        <v>582</v>
      </c>
      <c r="I326" s="6" t="s">
        <v>136</v>
      </c>
      <c r="J326" s="6">
        <v>0</v>
      </c>
      <c r="L326" s="15">
        <v>1</v>
      </c>
      <c r="N326" s="7">
        <v>46154</v>
      </c>
      <c r="O326" s="7">
        <v>46136</v>
      </c>
      <c r="P326" s="7">
        <v>46139</v>
      </c>
      <c r="S326" s="6" t="s">
        <v>465</v>
      </c>
      <c r="U326" s="6" t="s">
        <v>464</v>
      </c>
      <c r="V326" s="6" t="str">
        <f t="shared" si="171"/>
        <v>26/05</v>
      </c>
      <c r="W326">
        <v>1630</v>
      </c>
      <c r="AA326">
        <v>984</v>
      </c>
      <c r="AC326">
        <v>1037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0</v>
      </c>
      <c r="AT326" s="23">
        <v>0</v>
      </c>
      <c r="AU326" s="23">
        <v>0</v>
      </c>
      <c r="AV326" s="23">
        <v>0</v>
      </c>
      <c r="AW326" s="23">
        <v>0</v>
      </c>
      <c r="AX326" s="23">
        <v>0</v>
      </c>
      <c r="AY326" s="23">
        <v>0</v>
      </c>
      <c r="AZ326" s="23">
        <v>0</v>
      </c>
      <c r="BA326" s="23">
        <v>0</v>
      </c>
      <c r="BB326" s="23">
        <v>0</v>
      </c>
      <c r="BC326" s="23">
        <v>0</v>
      </c>
      <c r="BD326" s="23">
        <v>0</v>
      </c>
      <c r="BE326" s="23">
        <v>0</v>
      </c>
      <c r="BF326" s="23">
        <v>0</v>
      </c>
      <c r="BG326" s="23">
        <v>1</v>
      </c>
      <c r="BH326" s="23">
        <v>1</v>
      </c>
      <c r="BI326" s="23">
        <v>1</v>
      </c>
      <c r="BJ326" s="23">
        <v>1</v>
      </c>
      <c r="BK326" s="23">
        <v>1</v>
      </c>
      <c r="BL326" s="23">
        <v>1</v>
      </c>
      <c r="BM326" s="23">
        <v>1</v>
      </c>
      <c r="BN326" s="23">
        <v>1</v>
      </c>
      <c r="BO326" s="23">
        <v>1</v>
      </c>
      <c r="BP326" s="23">
        <f t="shared" si="172"/>
        <v>0</v>
      </c>
      <c r="BQ326" s="23">
        <f t="shared" si="173"/>
        <v>0</v>
      </c>
      <c r="BR326" s="23">
        <f t="shared" si="174"/>
        <v>0</v>
      </c>
      <c r="BS326" s="23">
        <f t="shared" si="175"/>
        <v>0</v>
      </c>
      <c r="BT326" s="23">
        <f t="shared" si="176"/>
        <v>0</v>
      </c>
      <c r="BU326" s="23">
        <f t="shared" si="177"/>
        <v>0</v>
      </c>
      <c r="BV326" s="23">
        <f t="shared" si="178"/>
        <v>0</v>
      </c>
      <c r="BW326" s="23">
        <f t="shared" si="179"/>
        <v>0</v>
      </c>
      <c r="BX326" s="23">
        <f t="shared" si="180"/>
        <v>0</v>
      </c>
      <c r="BY326" s="23">
        <f t="shared" si="181"/>
        <v>0</v>
      </c>
      <c r="BZ326" s="23">
        <f t="shared" si="182"/>
        <v>0</v>
      </c>
      <c r="CA326" s="23">
        <f t="shared" si="183"/>
        <v>0</v>
      </c>
      <c r="CB326" s="23">
        <f t="shared" si="184"/>
        <v>0</v>
      </c>
      <c r="CC326" s="23">
        <f t="shared" si="185"/>
        <v>0</v>
      </c>
      <c r="CD326" s="23">
        <f t="shared" si="186"/>
        <v>0</v>
      </c>
      <c r="CE326" s="23">
        <f t="shared" si="187"/>
        <v>0</v>
      </c>
      <c r="CF326" s="23">
        <f t="shared" si="188"/>
        <v>0</v>
      </c>
      <c r="CG326" s="23">
        <f t="shared" si="189"/>
        <v>0</v>
      </c>
      <c r="CH326" s="23">
        <f t="shared" si="190"/>
        <v>0</v>
      </c>
      <c r="CI326" s="23">
        <f t="shared" si="191"/>
        <v>0</v>
      </c>
      <c r="CJ326" s="23">
        <f t="shared" si="192"/>
        <v>0</v>
      </c>
      <c r="CK326" s="23">
        <f t="shared" si="193"/>
        <v>0</v>
      </c>
      <c r="CL326" s="23">
        <f t="shared" si="194"/>
        <v>0</v>
      </c>
      <c r="CM326" s="23">
        <f t="shared" si="195"/>
        <v>0</v>
      </c>
      <c r="CN326" s="23">
        <f t="shared" si="196"/>
        <v>1</v>
      </c>
      <c r="CO326" s="23">
        <f t="shared" si="197"/>
        <v>1</v>
      </c>
      <c r="CP326" s="23">
        <f t="shared" si="198"/>
        <v>1</v>
      </c>
      <c r="CQ326" s="23">
        <f t="shared" si="199"/>
        <v>1</v>
      </c>
      <c r="CR326" s="23">
        <f t="shared" si="200"/>
        <v>1</v>
      </c>
      <c r="CS326" s="23">
        <f t="shared" si="201"/>
        <v>1</v>
      </c>
      <c r="CT326" s="23">
        <f t="shared" si="202"/>
        <v>1</v>
      </c>
      <c r="CU326" s="23">
        <f t="shared" si="203"/>
        <v>1</v>
      </c>
      <c r="CV326" s="23">
        <f t="shared" si="204"/>
        <v>1</v>
      </c>
    </row>
    <row r="327" spans="1:100" ht="13.5">
      <c r="A327" s="15">
        <v>229</v>
      </c>
      <c r="B327" s="38" t="s">
        <v>821</v>
      </c>
      <c r="C327" t="s">
        <v>580</v>
      </c>
      <c r="E327" t="s">
        <v>465</v>
      </c>
      <c r="F327" t="s">
        <v>581</v>
      </c>
      <c r="G327" t="s">
        <v>465</v>
      </c>
      <c r="H327" t="s">
        <v>582</v>
      </c>
      <c r="I327" s="6" t="s">
        <v>136</v>
      </c>
      <c r="J327" s="6">
        <v>0</v>
      </c>
      <c r="L327" s="15">
        <v>1</v>
      </c>
      <c r="N327" s="7">
        <v>46154</v>
      </c>
      <c r="O327" s="7">
        <v>46136</v>
      </c>
      <c r="P327" s="7">
        <v>46139</v>
      </c>
      <c r="S327" s="6" t="s">
        <v>465</v>
      </c>
      <c r="U327" s="6" t="s">
        <v>464</v>
      </c>
      <c r="V327" s="6" t="str">
        <f t="shared" si="171"/>
        <v>26/05</v>
      </c>
      <c r="W327">
        <v>1631</v>
      </c>
      <c r="AA327">
        <v>985</v>
      </c>
      <c r="AC327">
        <v>1038</v>
      </c>
      <c r="AI327" s="23">
        <v>0</v>
      </c>
      <c r="AJ327" s="23">
        <v>0</v>
      </c>
      <c r="AK327" s="23">
        <v>0</v>
      </c>
      <c r="AL327" s="23">
        <v>0</v>
      </c>
      <c r="AM327" s="23">
        <v>0</v>
      </c>
      <c r="AN327" s="23">
        <v>0</v>
      </c>
      <c r="AO327" s="23">
        <v>0</v>
      </c>
      <c r="AP327" s="23">
        <v>0</v>
      </c>
      <c r="AQ327" s="23">
        <v>0</v>
      </c>
      <c r="AR327" s="23">
        <v>0</v>
      </c>
      <c r="AS327" s="23">
        <v>0</v>
      </c>
      <c r="AT327" s="23">
        <v>0</v>
      </c>
      <c r="AU327" s="23">
        <v>0</v>
      </c>
      <c r="AV327" s="23">
        <v>0</v>
      </c>
      <c r="AW327" s="23">
        <v>0</v>
      </c>
      <c r="AX327" s="23">
        <v>0</v>
      </c>
      <c r="AY327" s="23">
        <v>0</v>
      </c>
      <c r="AZ327" s="23">
        <v>0</v>
      </c>
      <c r="BA327" s="23">
        <v>0</v>
      </c>
      <c r="BB327" s="23">
        <v>0</v>
      </c>
      <c r="BC327" s="23">
        <v>0</v>
      </c>
      <c r="BD327" s="23">
        <v>0</v>
      </c>
      <c r="BE327" s="23">
        <v>0</v>
      </c>
      <c r="BF327" s="23">
        <v>0</v>
      </c>
      <c r="BG327" s="23">
        <v>1</v>
      </c>
      <c r="BH327" s="23">
        <v>1</v>
      </c>
      <c r="BI327" s="23">
        <v>1</v>
      </c>
      <c r="BJ327" s="23">
        <v>1</v>
      </c>
      <c r="BK327" s="23">
        <v>1</v>
      </c>
      <c r="BL327" s="23">
        <v>1</v>
      </c>
      <c r="BM327" s="23">
        <v>1</v>
      </c>
      <c r="BN327" s="23">
        <v>1</v>
      </c>
      <c r="BO327" s="23">
        <v>1</v>
      </c>
      <c r="BP327" s="23">
        <f t="shared" si="172"/>
        <v>0</v>
      </c>
      <c r="BQ327" s="23">
        <f t="shared" si="173"/>
        <v>0</v>
      </c>
      <c r="BR327" s="23">
        <f t="shared" si="174"/>
        <v>0</v>
      </c>
      <c r="BS327" s="23">
        <f t="shared" si="175"/>
        <v>0</v>
      </c>
      <c r="BT327" s="23">
        <f t="shared" si="176"/>
        <v>0</v>
      </c>
      <c r="BU327" s="23">
        <f t="shared" si="177"/>
        <v>0</v>
      </c>
      <c r="BV327" s="23">
        <f t="shared" si="178"/>
        <v>0</v>
      </c>
      <c r="BW327" s="23">
        <f t="shared" si="179"/>
        <v>0</v>
      </c>
      <c r="BX327" s="23">
        <f t="shared" si="180"/>
        <v>0</v>
      </c>
      <c r="BY327" s="23">
        <f t="shared" si="181"/>
        <v>0</v>
      </c>
      <c r="BZ327" s="23">
        <f t="shared" si="182"/>
        <v>0</v>
      </c>
      <c r="CA327" s="23">
        <f t="shared" si="183"/>
        <v>0</v>
      </c>
      <c r="CB327" s="23">
        <f t="shared" si="184"/>
        <v>0</v>
      </c>
      <c r="CC327" s="23">
        <f t="shared" si="185"/>
        <v>0</v>
      </c>
      <c r="CD327" s="23">
        <f t="shared" si="186"/>
        <v>0</v>
      </c>
      <c r="CE327" s="23">
        <f t="shared" si="187"/>
        <v>0</v>
      </c>
      <c r="CF327" s="23">
        <f t="shared" si="188"/>
        <v>0</v>
      </c>
      <c r="CG327" s="23">
        <f t="shared" si="189"/>
        <v>0</v>
      </c>
      <c r="CH327" s="23">
        <f t="shared" si="190"/>
        <v>0</v>
      </c>
      <c r="CI327" s="23">
        <f t="shared" si="191"/>
        <v>0</v>
      </c>
      <c r="CJ327" s="23">
        <f t="shared" si="192"/>
        <v>0</v>
      </c>
      <c r="CK327" s="23">
        <f t="shared" si="193"/>
        <v>0</v>
      </c>
      <c r="CL327" s="23">
        <f t="shared" si="194"/>
        <v>0</v>
      </c>
      <c r="CM327" s="23">
        <f t="shared" si="195"/>
        <v>0</v>
      </c>
      <c r="CN327" s="23">
        <f t="shared" si="196"/>
        <v>1</v>
      </c>
      <c r="CO327" s="23">
        <f t="shared" si="197"/>
        <v>1</v>
      </c>
      <c r="CP327" s="23">
        <f t="shared" si="198"/>
        <v>1</v>
      </c>
      <c r="CQ327" s="23">
        <f t="shared" si="199"/>
        <v>1</v>
      </c>
      <c r="CR327" s="23">
        <f t="shared" si="200"/>
        <v>1</v>
      </c>
      <c r="CS327" s="23">
        <f t="shared" si="201"/>
        <v>1</v>
      </c>
      <c r="CT327" s="23">
        <f t="shared" si="202"/>
        <v>1</v>
      </c>
      <c r="CU327" s="23">
        <f t="shared" si="203"/>
        <v>1</v>
      </c>
      <c r="CV327" s="23">
        <f t="shared" si="204"/>
        <v>1</v>
      </c>
    </row>
    <row r="328" spans="1:100" ht="13.5">
      <c r="A328" s="15">
        <v>280</v>
      </c>
      <c r="B328" s="27" t="s">
        <v>614</v>
      </c>
      <c r="C328" t="s">
        <v>580</v>
      </c>
      <c r="E328" t="s">
        <v>465</v>
      </c>
      <c r="F328" t="s">
        <v>581</v>
      </c>
      <c r="G328" t="s">
        <v>465</v>
      </c>
      <c r="H328" t="s">
        <v>582</v>
      </c>
      <c r="I328" s="6" t="s">
        <v>136</v>
      </c>
      <c r="J328" s="6">
        <v>0</v>
      </c>
      <c r="L328" s="15">
        <v>27</v>
      </c>
      <c r="N328" s="7">
        <v>46154</v>
      </c>
      <c r="O328" s="7">
        <v>46153</v>
      </c>
      <c r="P328" s="7">
        <v>46154</v>
      </c>
      <c r="S328" s="6" t="s">
        <v>465</v>
      </c>
      <c r="U328" s="6" t="s">
        <v>464</v>
      </c>
      <c r="V328" s="6" t="str">
        <f t="shared" si="171"/>
        <v>26/05</v>
      </c>
      <c r="W328">
        <v>1632</v>
      </c>
      <c r="AA328">
        <v>986</v>
      </c>
      <c r="AC328">
        <v>1039</v>
      </c>
      <c r="AI328" s="23">
        <v>0</v>
      </c>
      <c r="AJ328" s="23">
        <v>0</v>
      </c>
      <c r="AK328" s="23">
        <v>0</v>
      </c>
      <c r="AL328" s="23">
        <v>0</v>
      </c>
      <c r="AM328" s="23">
        <v>0</v>
      </c>
      <c r="AN328" s="23">
        <v>0</v>
      </c>
      <c r="AO328" s="23">
        <v>0</v>
      </c>
      <c r="AP328" s="23">
        <v>0</v>
      </c>
      <c r="AQ328" s="23">
        <v>0</v>
      </c>
      <c r="AR328" s="23">
        <v>0</v>
      </c>
      <c r="AS328" s="23">
        <v>0</v>
      </c>
      <c r="AT328" s="23">
        <v>0</v>
      </c>
      <c r="AU328" s="23">
        <v>0</v>
      </c>
      <c r="AV328" s="23">
        <v>0</v>
      </c>
      <c r="AW328" s="23">
        <v>0</v>
      </c>
      <c r="AX328" s="23">
        <v>0</v>
      </c>
      <c r="AY328" s="23">
        <v>0</v>
      </c>
      <c r="AZ328" s="23">
        <v>0</v>
      </c>
      <c r="BA328" s="23">
        <v>0</v>
      </c>
      <c r="BB328" s="23">
        <v>0</v>
      </c>
      <c r="BC328" s="23">
        <v>0</v>
      </c>
      <c r="BD328" s="23">
        <v>0</v>
      </c>
      <c r="BE328" s="23">
        <v>0</v>
      </c>
      <c r="BF328" s="23">
        <v>0</v>
      </c>
      <c r="BG328" s="23">
        <v>1</v>
      </c>
      <c r="BH328" s="23">
        <v>1</v>
      </c>
      <c r="BI328" s="23">
        <v>1</v>
      </c>
      <c r="BJ328" s="23">
        <v>1</v>
      </c>
      <c r="BK328" s="23">
        <v>1</v>
      </c>
      <c r="BL328" s="23">
        <v>1</v>
      </c>
      <c r="BM328" s="23">
        <v>1</v>
      </c>
      <c r="BN328" s="23">
        <v>1</v>
      </c>
      <c r="BO328" s="23">
        <v>1</v>
      </c>
      <c r="BP328" s="23">
        <f t="shared" si="172"/>
        <v>0</v>
      </c>
      <c r="BQ328" s="23">
        <f t="shared" si="173"/>
        <v>0</v>
      </c>
      <c r="BR328" s="23">
        <f t="shared" si="174"/>
        <v>0</v>
      </c>
      <c r="BS328" s="23">
        <f t="shared" si="175"/>
        <v>0</v>
      </c>
      <c r="BT328" s="23">
        <f t="shared" si="176"/>
        <v>0</v>
      </c>
      <c r="BU328" s="23">
        <f t="shared" si="177"/>
        <v>0</v>
      </c>
      <c r="BV328" s="23">
        <f t="shared" si="178"/>
        <v>0</v>
      </c>
      <c r="BW328" s="23">
        <f t="shared" si="179"/>
        <v>0</v>
      </c>
      <c r="BX328" s="23">
        <f t="shared" si="180"/>
        <v>0</v>
      </c>
      <c r="BY328" s="23">
        <f t="shared" si="181"/>
        <v>0</v>
      </c>
      <c r="BZ328" s="23">
        <f t="shared" si="182"/>
        <v>0</v>
      </c>
      <c r="CA328" s="23">
        <f t="shared" si="183"/>
        <v>0</v>
      </c>
      <c r="CB328" s="23">
        <f t="shared" si="184"/>
        <v>0</v>
      </c>
      <c r="CC328" s="23">
        <f t="shared" si="185"/>
        <v>0</v>
      </c>
      <c r="CD328" s="23">
        <f t="shared" si="186"/>
        <v>0</v>
      </c>
      <c r="CE328" s="23">
        <f t="shared" si="187"/>
        <v>0</v>
      </c>
      <c r="CF328" s="23">
        <f t="shared" si="188"/>
        <v>0</v>
      </c>
      <c r="CG328" s="23">
        <f t="shared" si="189"/>
        <v>0</v>
      </c>
      <c r="CH328" s="23">
        <f t="shared" si="190"/>
        <v>0</v>
      </c>
      <c r="CI328" s="23">
        <f t="shared" si="191"/>
        <v>0</v>
      </c>
      <c r="CJ328" s="23">
        <f t="shared" si="192"/>
        <v>0</v>
      </c>
      <c r="CK328" s="23">
        <f t="shared" si="193"/>
        <v>0</v>
      </c>
      <c r="CL328" s="23">
        <f t="shared" si="194"/>
        <v>0</v>
      </c>
      <c r="CM328" s="23">
        <f t="shared" si="195"/>
        <v>0</v>
      </c>
      <c r="CN328" s="23">
        <f t="shared" si="196"/>
        <v>27</v>
      </c>
      <c r="CO328" s="23">
        <f t="shared" si="197"/>
        <v>27</v>
      </c>
      <c r="CP328" s="23">
        <f t="shared" si="198"/>
        <v>27</v>
      </c>
      <c r="CQ328" s="23">
        <f t="shared" si="199"/>
        <v>27</v>
      </c>
      <c r="CR328" s="23">
        <f t="shared" si="200"/>
        <v>27</v>
      </c>
      <c r="CS328" s="23">
        <f t="shared" si="201"/>
        <v>27</v>
      </c>
      <c r="CT328" s="23">
        <f t="shared" si="202"/>
        <v>27</v>
      </c>
      <c r="CU328" s="23">
        <f t="shared" si="203"/>
        <v>27</v>
      </c>
      <c r="CV328" s="23">
        <f t="shared" si="204"/>
        <v>27</v>
      </c>
    </row>
    <row r="329" spans="1:100" ht="13.5">
      <c r="A329" s="15">
        <v>281</v>
      </c>
      <c r="B329" s="27" t="s">
        <v>615</v>
      </c>
      <c r="C329" t="s">
        <v>580</v>
      </c>
      <c r="E329" t="s">
        <v>465</v>
      </c>
      <c r="F329" t="s">
        <v>581</v>
      </c>
      <c r="G329" t="s">
        <v>465</v>
      </c>
      <c r="H329" t="s">
        <v>582</v>
      </c>
      <c r="I329" s="6" t="s">
        <v>136</v>
      </c>
      <c r="J329" s="6">
        <v>0</v>
      </c>
      <c r="L329" s="15">
        <v>27</v>
      </c>
      <c r="N329" s="7">
        <v>46160</v>
      </c>
      <c r="O329" s="7">
        <v>46157</v>
      </c>
      <c r="P329" s="7">
        <v>46160</v>
      </c>
      <c r="S329" s="6" t="s">
        <v>465</v>
      </c>
      <c r="U329" s="6" t="s">
        <v>464</v>
      </c>
      <c r="V329" s="6" t="str">
        <f t="shared" si="171"/>
        <v>26/05</v>
      </c>
      <c r="W329">
        <v>1633</v>
      </c>
      <c r="AA329">
        <v>987</v>
      </c>
      <c r="AC329">
        <v>1040</v>
      </c>
      <c r="AI329" s="23">
        <v>0</v>
      </c>
      <c r="AJ329" s="23">
        <v>0</v>
      </c>
      <c r="AK329" s="23">
        <v>0</v>
      </c>
      <c r="AL329" s="23">
        <v>0</v>
      </c>
      <c r="AM329" s="23">
        <v>0</v>
      </c>
      <c r="AN329" s="23">
        <v>0</v>
      </c>
      <c r="AO329" s="23">
        <v>0</v>
      </c>
      <c r="AP329" s="23">
        <v>0</v>
      </c>
      <c r="AQ329" s="23">
        <v>0</v>
      </c>
      <c r="AR329" s="23">
        <v>0</v>
      </c>
      <c r="AS329" s="23">
        <v>0</v>
      </c>
      <c r="AT329" s="23">
        <v>0</v>
      </c>
      <c r="AU329" s="23">
        <v>0</v>
      </c>
      <c r="AV329" s="23">
        <v>0</v>
      </c>
      <c r="AW329" s="23">
        <v>0</v>
      </c>
      <c r="AX329" s="23">
        <v>0</v>
      </c>
      <c r="AY329" s="23">
        <v>0</v>
      </c>
      <c r="AZ329" s="23">
        <v>0</v>
      </c>
      <c r="BA329" s="23">
        <v>0</v>
      </c>
      <c r="BB329" s="23">
        <v>0</v>
      </c>
      <c r="BC329" s="23">
        <v>0</v>
      </c>
      <c r="BD329" s="23">
        <v>0</v>
      </c>
      <c r="BE329" s="23">
        <v>0</v>
      </c>
      <c r="BF329" s="23">
        <v>0</v>
      </c>
      <c r="BG329" s="23">
        <v>1</v>
      </c>
      <c r="BH329" s="23">
        <v>1</v>
      </c>
      <c r="BI329" s="23">
        <v>1</v>
      </c>
      <c r="BJ329" s="23">
        <v>1</v>
      </c>
      <c r="BK329" s="23">
        <v>1</v>
      </c>
      <c r="BL329" s="23">
        <v>1</v>
      </c>
      <c r="BM329" s="23">
        <v>1</v>
      </c>
      <c r="BN329" s="23">
        <v>1</v>
      </c>
      <c r="BO329" s="23">
        <v>1</v>
      </c>
      <c r="BP329" s="23">
        <f t="shared" si="172"/>
        <v>0</v>
      </c>
      <c r="BQ329" s="23">
        <f t="shared" si="173"/>
        <v>0</v>
      </c>
      <c r="BR329" s="23">
        <f t="shared" si="174"/>
        <v>0</v>
      </c>
      <c r="BS329" s="23">
        <f t="shared" si="175"/>
        <v>0</v>
      </c>
      <c r="BT329" s="23">
        <f t="shared" si="176"/>
        <v>0</v>
      </c>
      <c r="BU329" s="23">
        <f t="shared" si="177"/>
        <v>0</v>
      </c>
      <c r="BV329" s="23">
        <f t="shared" si="178"/>
        <v>0</v>
      </c>
      <c r="BW329" s="23">
        <f t="shared" si="179"/>
        <v>0</v>
      </c>
      <c r="BX329" s="23">
        <f t="shared" si="180"/>
        <v>0</v>
      </c>
      <c r="BY329" s="23">
        <f t="shared" si="181"/>
        <v>0</v>
      </c>
      <c r="BZ329" s="23">
        <f t="shared" si="182"/>
        <v>0</v>
      </c>
      <c r="CA329" s="23">
        <f t="shared" si="183"/>
        <v>0</v>
      </c>
      <c r="CB329" s="23">
        <f t="shared" si="184"/>
        <v>0</v>
      </c>
      <c r="CC329" s="23">
        <f t="shared" si="185"/>
        <v>0</v>
      </c>
      <c r="CD329" s="23">
        <f t="shared" si="186"/>
        <v>0</v>
      </c>
      <c r="CE329" s="23">
        <f t="shared" si="187"/>
        <v>0</v>
      </c>
      <c r="CF329" s="23">
        <f t="shared" si="188"/>
        <v>0</v>
      </c>
      <c r="CG329" s="23">
        <f t="shared" si="189"/>
        <v>0</v>
      </c>
      <c r="CH329" s="23">
        <f t="shared" si="190"/>
        <v>0</v>
      </c>
      <c r="CI329" s="23">
        <f t="shared" si="191"/>
        <v>0</v>
      </c>
      <c r="CJ329" s="23">
        <f t="shared" si="192"/>
        <v>0</v>
      </c>
      <c r="CK329" s="23">
        <f t="shared" si="193"/>
        <v>0</v>
      </c>
      <c r="CL329" s="23">
        <f t="shared" si="194"/>
        <v>0</v>
      </c>
      <c r="CM329" s="23">
        <f t="shared" si="195"/>
        <v>0</v>
      </c>
      <c r="CN329" s="23">
        <f t="shared" si="196"/>
        <v>27</v>
      </c>
      <c r="CO329" s="23">
        <f t="shared" si="197"/>
        <v>27</v>
      </c>
      <c r="CP329" s="23">
        <f t="shared" si="198"/>
        <v>27</v>
      </c>
      <c r="CQ329" s="23">
        <f t="shared" si="199"/>
        <v>27</v>
      </c>
      <c r="CR329" s="23">
        <f t="shared" si="200"/>
        <v>27</v>
      </c>
      <c r="CS329" s="23">
        <f t="shared" si="201"/>
        <v>27</v>
      </c>
      <c r="CT329" s="23">
        <f t="shared" si="202"/>
        <v>27</v>
      </c>
      <c r="CU329" s="23">
        <f t="shared" si="203"/>
        <v>27</v>
      </c>
      <c r="CV329" s="23">
        <f t="shared" si="204"/>
        <v>27</v>
      </c>
    </row>
    <row r="330" spans="1:100" ht="13.5">
      <c r="A330" s="15">
        <v>282</v>
      </c>
      <c r="B330" s="27" t="s">
        <v>616</v>
      </c>
      <c r="C330" t="s">
        <v>580</v>
      </c>
      <c r="E330" t="s">
        <v>465</v>
      </c>
      <c r="F330" t="s">
        <v>581</v>
      </c>
      <c r="G330" t="s">
        <v>465</v>
      </c>
      <c r="H330" t="s">
        <v>582</v>
      </c>
      <c r="I330" s="6" t="s">
        <v>136</v>
      </c>
      <c r="J330" s="6">
        <v>0</v>
      </c>
      <c r="L330" s="15">
        <v>28</v>
      </c>
      <c r="N330" s="7">
        <v>46168</v>
      </c>
      <c r="O330" s="7">
        <v>46167</v>
      </c>
      <c r="P330" s="7">
        <v>46168</v>
      </c>
      <c r="S330" s="6" t="s">
        <v>465</v>
      </c>
      <c r="U330" s="6" t="s">
        <v>464</v>
      </c>
      <c r="V330" s="6" t="str">
        <f t="shared" si="171"/>
        <v>26/05</v>
      </c>
      <c r="W330">
        <v>1634</v>
      </c>
      <c r="AA330">
        <v>988</v>
      </c>
      <c r="AC330">
        <v>1041</v>
      </c>
      <c r="AI330" s="23">
        <v>0</v>
      </c>
      <c r="AJ330" s="23">
        <v>0</v>
      </c>
      <c r="AK330" s="23">
        <v>0</v>
      </c>
      <c r="AL330" s="23">
        <v>0</v>
      </c>
      <c r="AM330" s="23">
        <v>0</v>
      </c>
      <c r="AN330" s="23">
        <v>0</v>
      </c>
      <c r="AO330" s="23">
        <v>0</v>
      </c>
      <c r="AP330" s="23">
        <v>0</v>
      </c>
      <c r="AQ330" s="23">
        <v>0</v>
      </c>
      <c r="AR330" s="23">
        <v>0</v>
      </c>
      <c r="AS330" s="23">
        <v>0</v>
      </c>
      <c r="AT330" s="23">
        <v>0</v>
      </c>
      <c r="AU330" s="23">
        <v>0</v>
      </c>
      <c r="AV330" s="23">
        <v>0</v>
      </c>
      <c r="AW330" s="23">
        <v>0</v>
      </c>
      <c r="AX330" s="23">
        <v>0</v>
      </c>
      <c r="AY330" s="23">
        <v>0</v>
      </c>
      <c r="AZ330" s="23">
        <v>0</v>
      </c>
      <c r="BA330" s="23">
        <v>0</v>
      </c>
      <c r="BB330" s="23">
        <v>0</v>
      </c>
      <c r="BC330" s="23">
        <v>0</v>
      </c>
      <c r="BD330" s="23">
        <v>0</v>
      </c>
      <c r="BE330" s="23">
        <v>0</v>
      </c>
      <c r="BF330" s="23">
        <v>0</v>
      </c>
      <c r="BG330" s="23">
        <v>1</v>
      </c>
      <c r="BH330" s="23">
        <v>1</v>
      </c>
      <c r="BI330" s="23">
        <v>1</v>
      </c>
      <c r="BJ330" s="23">
        <v>1</v>
      </c>
      <c r="BK330" s="23">
        <v>1</v>
      </c>
      <c r="BL330" s="23">
        <v>1</v>
      </c>
      <c r="BM330" s="23">
        <v>1</v>
      </c>
      <c r="BN330" s="23">
        <v>1</v>
      </c>
      <c r="BO330" s="23">
        <v>1</v>
      </c>
      <c r="BP330" s="23">
        <f t="shared" si="172"/>
        <v>0</v>
      </c>
      <c r="BQ330" s="23">
        <f t="shared" si="173"/>
        <v>0</v>
      </c>
      <c r="BR330" s="23">
        <f t="shared" si="174"/>
        <v>0</v>
      </c>
      <c r="BS330" s="23">
        <f t="shared" si="175"/>
        <v>0</v>
      </c>
      <c r="BT330" s="23">
        <f t="shared" si="176"/>
        <v>0</v>
      </c>
      <c r="BU330" s="23">
        <f t="shared" si="177"/>
        <v>0</v>
      </c>
      <c r="BV330" s="23">
        <f t="shared" si="178"/>
        <v>0</v>
      </c>
      <c r="BW330" s="23">
        <f t="shared" si="179"/>
        <v>0</v>
      </c>
      <c r="BX330" s="23">
        <f t="shared" si="180"/>
        <v>0</v>
      </c>
      <c r="BY330" s="23">
        <f t="shared" si="181"/>
        <v>0</v>
      </c>
      <c r="BZ330" s="23">
        <f t="shared" si="182"/>
        <v>0</v>
      </c>
      <c r="CA330" s="23">
        <f t="shared" si="183"/>
        <v>0</v>
      </c>
      <c r="CB330" s="23">
        <f t="shared" si="184"/>
        <v>0</v>
      </c>
      <c r="CC330" s="23">
        <f t="shared" si="185"/>
        <v>0</v>
      </c>
      <c r="CD330" s="23">
        <f t="shared" si="186"/>
        <v>0</v>
      </c>
      <c r="CE330" s="23">
        <f t="shared" si="187"/>
        <v>0</v>
      </c>
      <c r="CF330" s="23">
        <f t="shared" si="188"/>
        <v>0</v>
      </c>
      <c r="CG330" s="23">
        <f t="shared" si="189"/>
        <v>0</v>
      </c>
      <c r="CH330" s="23">
        <f t="shared" si="190"/>
        <v>0</v>
      </c>
      <c r="CI330" s="23">
        <f t="shared" si="191"/>
        <v>0</v>
      </c>
      <c r="CJ330" s="23">
        <f t="shared" si="192"/>
        <v>0</v>
      </c>
      <c r="CK330" s="23">
        <f t="shared" si="193"/>
        <v>0</v>
      </c>
      <c r="CL330" s="23">
        <f t="shared" si="194"/>
        <v>0</v>
      </c>
      <c r="CM330" s="23">
        <f t="shared" si="195"/>
        <v>0</v>
      </c>
      <c r="CN330" s="23">
        <f t="shared" si="196"/>
        <v>28</v>
      </c>
      <c r="CO330" s="23">
        <f t="shared" si="197"/>
        <v>28</v>
      </c>
      <c r="CP330" s="23">
        <f t="shared" si="198"/>
        <v>28</v>
      </c>
      <c r="CQ330" s="23">
        <f t="shared" si="199"/>
        <v>28</v>
      </c>
      <c r="CR330" s="23">
        <f t="shared" si="200"/>
        <v>28</v>
      </c>
      <c r="CS330" s="23">
        <f t="shared" si="201"/>
        <v>28</v>
      </c>
      <c r="CT330" s="23">
        <f t="shared" si="202"/>
        <v>28</v>
      </c>
      <c r="CU330" s="23">
        <f t="shared" si="203"/>
        <v>28</v>
      </c>
      <c r="CV330" s="23">
        <f t="shared" si="204"/>
        <v>28</v>
      </c>
    </row>
    <row r="331" spans="1:100" ht="13.5">
      <c r="A331" s="15">
        <v>328</v>
      </c>
      <c r="B331" s="27" t="s">
        <v>617</v>
      </c>
      <c r="C331" t="s">
        <v>580</v>
      </c>
      <c r="E331" t="s">
        <v>465</v>
      </c>
      <c r="F331" t="s">
        <v>581</v>
      </c>
      <c r="G331" t="s">
        <v>465</v>
      </c>
      <c r="H331" t="s">
        <v>582</v>
      </c>
      <c r="I331" s="6" t="s">
        <v>136</v>
      </c>
      <c r="J331" s="6">
        <v>0</v>
      </c>
      <c r="L331" s="15">
        <v>28</v>
      </c>
      <c r="N331" s="7">
        <v>46175</v>
      </c>
      <c r="O331" s="7">
        <v>46174</v>
      </c>
      <c r="P331" s="7">
        <v>46175</v>
      </c>
      <c r="S331" s="6" t="s">
        <v>465</v>
      </c>
      <c r="U331" s="6" t="s">
        <v>464</v>
      </c>
      <c r="V331" s="6" t="str">
        <f t="shared" si="171"/>
        <v>26/06</v>
      </c>
      <c r="W331">
        <v>1635</v>
      </c>
      <c r="AA331">
        <v>989</v>
      </c>
      <c r="AC331">
        <v>1042</v>
      </c>
      <c r="AI331" s="23">
        <v>0</v>
      </c>
      <c r="AJ331" s="23">
        <v>0</v>
      </c>
      <c r="AK331" s="23">
        <v>0</v>
      </c>
      <c r="AL331" s="23">
        <v>0</v>
      </c>
      <c r="AM331" s="23">
        <v>0</v>
      </c>
      <c r="AN331" s="23">
        <v>0</v>
      </c>
      <c r="AO331" s="23">
        <v>0</v>
      </c>
      <c r="AP331" s="23">
        <v>0</v>
      </c>
      <c r="AQ331" s="23">
        <v>0</v>
      </c>
      <c r="AR331" s="23">
        <v>0</v>
      </c>
      <c r="AS331" s="23">
        <v>0</v>
      </c>
      <c r="AT331" s="23">
        <v>0</v>
      </c>
      <c r="AU331" s="23">
        <v>0</v>
      </c>
      <c r="AV331" s="23">
        <v>0</v>
      </c>
      <c r="AW331" s="23">
        <v>0</v>
      </c>
      <c r="AX331" s="23">
        <v>0</v>
      </c>
      <c r="AY331" s="23">
        <v>0</v>
      </c>
      <c r="AZ331" s="23">
        <v>0</v>
      </c>
      <c r="BA331" s="23">
        <v>0</v>
      </c>
      <c r="BB331" s="23">
        <v>0</v>
      </c>
      <c r="BC331" s="23">
        <v>0</v>
      </c>
      <c r="BD331" s="23">
        <v>0</v>
      </c>
      <c r="BE331" s="23">
        <v>0</v>
      </c>
      <c r="BF331" s="23">
        <v>0</v>
      </c>
      <c r="BG331" s="23">
        <v>1</v>
      </c>
      <c r="BH331" s="23">
        <v>1</v>
      </c>
      <c r="BI331" s="23">
        <v>1</v>
      </c>
      <c r="BJ331" s="23">
        <v>1</v>
      </c>
      <c r="BK331" s="23">
        <v>1</v>
      </c>
      <c r="BL331" s="23">
        <v>1</v>
      </c>
      <c r="BM331" s="23">
        <v>1</v>
      </c>
      <c r="BN331" s="23">
        <v>1</v>
      </c>
      <c r="BO331" s="23">
        <v>1</v>
      </c>
      <c r="BP331" s="23">
        <f t="shared" si="172"/>
        <v>0</v>
      </c>
      <c r="BQ331" s="23">
        <f t="shared" si="173"/>
        <v>0</v>
      </c>
      <c r="BR331" s="23">
        <f t="shared" si="174"/>
        <v>0</v>
      </c>
      <c r="BS331" s="23">
        <f t="shared" si="175"/>
        <v>0</v>
      </c>
      <c r="BT331" s="23">
        <f t="shared" si="176"/>
        <v>0</v>
      </c>
      <c r="BU331" s="23">
        <f t="shared" si="177"/>
        <v>0</v>
      </c>
      <c r="BV331" s="23">
        <f t="shared" si="178"/>
        <v>0</v>
      </c>
      <c r="BW331" s="23">
        <f t="shared" si="179"/>
        <v>0</v>
      </c>
      <c r="BX331" s="23">
        <f t="shared" si="180"/>
        <v>0</v>
      </c>
      <c r="BY331" s="23">
        <f t="shared" si="181"/>
        <v>0</v>
      </c>
      <c r="BZ331" s="23">
        <f t="shared" si="182"/>
        <v>0</v>
      </c>
      <c r="CA331" s="23">
        <f t="shared" si="183"/>
        <v>0</v>
      </c>
      <c r="CB331" s="23">
        <f t="shared" si="184"/>
        <v>0</v>
      </c>
      <c r="CC331" s="23">
        <f t="shared" si="185"/>
        <v>0</v>
      </c>
      <c r="CD331" s="23">
        <f t="shared" si="186"/>
        <v>0</v>
      </c>
      <c r="CE331" s="23">
        <f t="shared" si="187"/>
        <v>0</v>
      </c>
      <c r="CF331" s="23">
        <f t="shared" si="188"/>
        <v>0</v>
      </c>
      <c r="CG331" s="23">
        <f t="shared" si="189"/>
        <v>0</v>
      </c>
      <c r="CH331" s="23">
        <f t="shared" si="190"/>
        <v>0</v>
      </c>
      <c r="CI331" s="23">
        <f t="shared" si="191"/>
        <v>0</v>
      </c>
      <c r="CJ331" s="23">
        <f t="shared" si="192"/>
        <v>0</v>
      </c>
      <c r="CK331" s="23">
        <f t="shared" si="193"/>
        <v>0</v>
      </c>
      <c r="CL331" s="23">
        <f t="shared" si="194"/>
        <v>0</v>
      </c>
      <c r="CM331" s="23">
        <f t="shared" si="195"/>
        <v>0</v>
      </c>
      <c r="CN331" s="23">
        <f t="shared" si="196"/>
        <v>28</v>
      </c>
      <c r="CO331" s="23">
        <f t="shared" si="197"/>
        <v>28</v>
      </c>
      <c r="CP331" s="23">
        <f t="shared" si="198"/>
        <v>28</v>
      </c>
      <c r="CQ331" s="23">
        <f t="shared" si="199"/>
        <v>28</v>
      </c>
      <c r="CR331" s="23">
        <f t="shared" si="200"/>
        <v>28</v>
      </c>
      <c r="CS331" s="23">
        <f t="shared" si="201"/>
        <v>28</v>
      </c>
      <c r="CT331" s="23">
        <f t="shared" si="202"/>
        <v>28</v>
      </c>
      <c r="CU331" s="23">
        <f t="shared" si="203"/>
        <v>28</v>
      </c>
      <c r="CV331" s="23">
        <f t="shared" si="204"/>
        <v>28</v>
      </c>
    </row>
    <row r="332" spans="1:100" ht="13.5">
      <c r="A332" s="15">
        <v>329</v>
      </c>
      <c r="B332" s="27" t="s">
        <v>618</v>
      </c>
      <c r="C332" t="s">
        <v>580</v>
      </c>
      <c r="E332" t="s">
        <v>465</v>
      </c>
      <c r="F332" t="s">
        <v>581</v>
      </c>
      <c r="G332" t="s">
        <v>465</v>
      </c>
      <c r="H332" t="s">
        <v>582</v>
      </c>
      <c r="I332" s="6" t="s">
        <v>136</v>
      </c>
      <c r="J332" s="6">
        <v>0</v>
      </c>
      <c r="L332" s="15">
        <v>27</v>
      </c>
      <c r="N332" s="7">
        <v>46182</v>
      </c>
      <c r="O332" s="7">
        <v>46181</v>
      </c>
      <c r="P332" s="7">
        <v>46182</v>
      </c>
      <c r="S332" s="6" t="s">
        <v>465</v>
      </c>
      <c r="U332" s="6" t="s">
        <v>464</v>
      </c>
      <c r="V332" s="6" t="str">
        <f t="shared" si="171"/>
        <v>26/06</v>
      </c>
      <c r="W332">
        <v>1636</v>
      </c>
      <c r="AA332">
        <v>990</v>
      </c>
      <c r="AC332">
        <v>1043</v>
      </c>
      <c r="AI332" s="23">
        <v>0</v>
      </c>
      <c r="AJ332" s="23">
        <v>0</v>
      </c>
      <c r="AK332" s="23">
        <v>0</v>
      </c>
      <c r="AL332" s="23">
        <v>0</v>
      </c>
      <c r="AM332" s="23">
        <v>0</v>
      </c>
      <c r="AN332" s="23">
        <v>0</v>
      </c>
      <c r="AO332" s="23">
        <v>0</v>
      </c>
      <c r="AP332" s="23">
        <v>0</v>
      </c>
      <c r="AQ332" s="23">
        <v>0</v>
      </c>
      <c r="AR332" s="23">
        <v>0</v>
      </c>
      <c r="AS332" s="23">
        <v>0</v>
      </c>
      <c r="AT332" s="23">
        <v>0</v>
      </c>
      <c r="AU332" s="23">
        <v>0</v>
      </c>
      <c r="AV332" s="23">
        <v>0</v>
      </c>
      <c r="AW332" s="23">
        <v>0</v>
      </c>
      <c r="AX332" s="23">
        <v>0</v>
      </c>
      <c r="AY332" s="23">
        <v>0</v>
      </c>
      <c r="AZ332" s="23">
        <v>0</v>
      </c>
      <c r="BA332" s="23">
        <v>0</v>
      </c>
      <c r="BB332" s="23">
        <v>0</v>
      </c>
      <c r="BC332" s="23">
        <v>0</v>
      </c>
      <c r="BD332" s="23">
        <v>0</v>
      </c>
      <c r="BE332" s="23">
        <v>0</v>
      </c>
      <c r="BF332" s="23">
        <v>0</v>
      </c>
      <c r="BG332" s="23">
        <v>1</v>
      </c>
      <c r="BH332" s="23">
        <v>1</v>
      </c>
      <c r="BI332" s="23">
        <v>1</v>
      </c>
      <c r="BJ332" s="23">
        <v>1</v>
      </c>
      <c r="BK332" s="23">
        <v>1</v>
      </c>
      <c r="BL332" s="23">
        <v>1</v>
      </c>
      <c r="BM332" s="23">
        <v>1</v>
      </c>
      <c r="BN332" s="23">
        <v>1</v>
      </c>
      <c r="BO332" s="23">
        <v>1</v>
      </c>
      <c r="BP332" s="23">
        <f t="shared" si="172"/>
        <v>0</v>
      </c>
      <c r="BQ332" s="23">
        <f t="shared" si="173"/>
        <v>0</v>
      </c>
      <c r="BR332" s="23">
        <f t="shared" si="174"/>
        <v>0</v>
      </c>
      <c r="BS332" s="23">
        <f t="shared" si="175"/>
        <v>0</v>
      </c>
      <c r="BT332" s="23">
        <f t="shared" si="176"/>
        <v>0</v>
      </c>
      <c r="BU332" s="23">
        <f t="shared" si="177"/>
        <v>0</v>
      </c>
      <c r="BV332" s="23">
        <f t="shared" si="178"/>
        <v>0</v>
      </c>
      <c r="BW332" s="23">
        <f t="shared" si="179"/>
        <v>0</v>
      </c>
      <c r="BX332" s="23">
        <f t="shared" si="180"/>
        <v>0</v>
      </c>
      <c r="BY332" s="23">
        <f t="shared" si="181"/>
        <v>0</v>
      </c>
      <c r="BZ332" s="23">
        <f t="shared" si="182"/>
        <v>0</v>
      </c>
      <c r="CA332" s="23">
        <f t="shared" si="183"/>
        <v>0</v>
      </c>
      <c r="CB332" s="23">
        <f t="shared" si="184"/>
        <v>0</v>
      </c>
      <c r="CC332" s="23">
        <f t="shared" si="185"/>
        <v>0</v>
      </c>
      <c r="CD332" s="23">
        <f t="shared" si="186"/>
        <v>0</v>
      </c>
      <c r="CE332" s="23">
        <f t="shared" si="187"/>
        <v>0</v>
      </c>
      <c r="CF332" s="23">
        <f t="shared" si="188"/>
        <v>0</v>
      </c>
      <c r="CG332" s="23">
        <f t="shared" si="189"/>
        <v>0</v>
      </c>
      <c r="CH332" s="23">
        <f t="shared" si="190"/>
        <v>0</v>
      </c>
      <c r="CI332" s="23">
        <f t="shared" si="191"/>
        <v>0</v>
      </c>
      <c r="CJ332" s="23">
        <f t="shared" si="192"/>
        <v>0</v>
      </c>
      <c r="CK332" s="23">
        <f t="shared" si="193"/>
        <v>0</v>
      </c>
      <c r="CL332" s="23">
        <f t="shared" si="194"/>
        <v>0</v>
      </c>
      <c r="CM332" s="23">
        <f t="shared" si="195"/>
        <v>0</v>
      </c>
      <c r="CN332" s="23">
        <f t="shared" si="196"/>
        <v>27</v>
      </c>
      <c r="CO332" s="23">
        <f t="shared" si="197"/>
        <v>27</v>
      </c>
      <c r="CP332" s="23">
        <f t="shared" si="198"/>
        <v>27</v>
      </c>
      <c r="CQ332" s="23">
        <f t="shared" si="199"/>
        <v>27</v>
      </c>
      <c r="CR332" s="23">
        <f t="shared" si="200"/>
        <v>27</v>
      </c>
      <c r="CS332" s="23">
        <f t="shared" si="201"/>
        <v>27</v>
      </c>
      <c r="CT332" s="23">
        <f t="shared" si="202"/>
        <v>27</v>
      </c>
      <c r="CU332" s="23">
        <f t="shared" si="203"/>
        <v>27</v>
      </c>
      <c r="CV332" s="23">
        <f t="shared" si="204"/>
        <v>27</v>
      </c>
    </row>
    <row r="333" spans="1:100" ht="13.5">
      <c r="A333" s="15">
        <v>330</v>
      </c>
      <c r="B333" s="27" t="s">
        <v>619</v>
      </c>
      <c r="C333" t="s">
        <v>580</v>
      </c>
      <c r="E333" t="s">
        <v>465</v>
      </c>
      <c r="F333" t="s">
        <v>581</v>
      </c>
      <c r="G333" t="s">
        <v>465</v>
      </c>
      <c r="H333" t="s">
        <v>582</v>
      </c>
      <c r="I333" s="6" t="s">
        <v>136</v>
      </c>
      <c r="J333" s="6">
        <v>0</v>
      </c>
      <c r="L333" s="15">
        <v>27</v>
      </c>
      <c r="N333" s="7">
        <v>46189</v>
      </c>
      <c r="O333" s="7">
        <v>46188</v>
      </c>
      <c r="P333" s="7">
        <v>46189</v>
      </c>
      <c r="S333" s="6" t="s">
        <v>465</v>
      </c>
      <c r="U333" s="6" t="s">
        <v>464</v>
      </c>
      <c r="V333" s="6" t="str">
        <f t="shared" si="171"/>
        <v>26/06</v>
      </c>
      <c r="W333">
        <v>1637</v>
      </c>
      <c r="AA333">
        <v>991</v>
      </c>
      <c r="AC333">
        <v>1044</v>
      </c>
      <c r="AI333" s="23">
        <v>0</v>
      </c>
      <c r="AJ333" s="23">
        <v>0</v>
      </c>
      <c r="AK333" s="23">
        <v>0</v>
      </c>
      <c r="AL333" s="23">
        <v>0</v>
      </c>
      <c r="AM333" s="23">
        <v>0</v>
      </c>
      <c r="AN333" s="23">
        <v>0</v>
      </c>
      <c r="AO333" s="23">
        <v>0</v>
      </c>
      <c r="AP333" s="23">
        <v>0</v>
      </c>
      <c r="AQ333" s="23">
        <v>0</v>
      </c>
      <c r="AR333" s="23">
        <v>0</v>
      </c>
      <c r="AS333" s="23">
        <v>0</v>
      </c>
      <c r="AT333" s="23">
        <v>0</v>
      </c>
      <c r="AU333" s="23">
        <v>0</v>
      </c>
      <c r="AV333" s="23">
        <v>0</v>
      </c>
      <c r="AW333" s="23">
        <v>0</v>
      </c>
      <c r="AX333" s="23">
        <v>0</v>
      </c>
      <c r="AY333" s="23">
        <v>0</v>
      </c>
      <c r="AZ333" s="23">
        <v>0</v>
      </c>
      <c r="BA333" s="23">
        <v>0</v>
      </c>
      <c r="BB333" s="23">
        <v>0</v>
      </c>
      <c r="BC333" s="23">
        <v>0</v>
      </c>
      <c r="BD333" s="23">
        <v>0</v>
      </c>
      <c r="BE333" s="23">
        <v>0</v>
      </c>
      <c r="BF333" s="23">
        <v>0</v>
      </c>
      <c r="BG333" s="23">
        <v>1</v>
      </c>
      <c r="BH333" s="23">
        <v>1</v>
      </c>
      <c r="BI333" s="23">
        <v>1</v>
      </c>
      <c r="BJ333" s="23">
        <v>1</v>
      </c>
      <c r="BK333" s="23">
        <v>1</v>
      </c>
      <c r="BL333" s="23">
        <v>1</v>
      </c>
      <c r="BM333" s="23">
        <v>1</v>
      </c>
      <c r="BN333" s="23">
        <v>1</v>
      </c>
      <c r="BO333" s="23">
        <v>1</v>
      </c>
      <c r="BP333" s="23">
        <f t="shared" si="172"/>
        <v>0</v>
      </c>
      <c r="BQ333" s="23">
        <f t="shared" si="173"/>
        <v>0</v>
      </c>
      <c r="BR333" s="23">
        <f t="shared" si="174"/>
        <v>0</v>
      </c>
      <c r="BS333" s="23">
        <f t="shared" si="175"/>
        <v>0</v>
      </c>
      <c r="BT333" s="23">
        <f t="shared" si="176"/>
        <v>0</v>
      </c>
      <c r="BU333" s="23">
        <f t="shared" si="177"/>
        <v>0</v>
      </c>
      <c r="BV333" s="23">
        <f t="shared" si="178"/>
        <v>0</v>
      </c>
      <c r="BW333" s="23">
        <f t="shared" si="179"/>
        <v>0</v>
      </c>
      <c r="BX333" s="23">
        <f t="shared" si="180"/>
        <v>0</v>
      </c>
      <c r="BY333" s="23">
        <f t="shared" si="181"/>
        <v>0</v>
      </c>
      <c r="BZ333" s="23">
        <f t="shared" si="182"/>
        <v>0</v>
      </c>
      <c r="CA333" s="23">
        <f t="shared" si="183"/>
        <v>0</v>
      </c>
      <c r="CB333" s="23">
        <f t="shared" si="184"/>
        <v>0</v>
      </c>
      <c r="CC333" s="23">
        <f t="shared" si="185"/>
        <v>0</v>
      </c>
      <c r="CD333" s="23">
        <f t="shared" si="186"/>
        <v>0</v>
      </c>
      <c r="CE333" s="23">
        <f t="shared" si="187"/>
        <v>0</v>
      </c>
      <c r="CF333" s="23">
        <f t="shared" si="188"/>
        <v>0</v>
      </c>
      <c r="CG333" s="23">
        <f t="shared" si="189"/>
        <v>0</v>
      </c>
      <c r="CH333" s="23">
        <f t="shared" si="190"/>
        <v>0</v>
      </c>
      <c r="CI333" s="23">
        <f t="shared" si="191"/>
        <v>0</v>
      </c>
      <c r="CJ333" s="23">
        <f t="shared" si="192"/>
        <v>0</v>
      </c>
      <c r="CK333" s="23">
        <f t="shared" si="193"/>
        <v>0</v>
      </c>
      <c r="CL333" s="23">
        <f t="shared" si="194"/>
        <v>0</v>
      </c>
      <c r="CM333" s="23">
        <f t="shared" si="195"/>
        <v>0</v>
      </c>
      <c r="CN333" s="23">
        <f t="shared" si="196"/>
        <v>27</v>
      </c>
      <c r="CO333" s="23">
        <f t="shared" si="197"/>
        <v>27</v>
      </c>
      <c r="CP333" s="23">
        <f t="shared" si="198"/>
        <v>27</v>
      </c>
      <c r="CQ333" s="23">
        <f t="shared" si="199"/>
        <v>27</v>
      </c>
      <c r="CR333" s="23">
        <f t="shared" si="200"/>
        <v>27</v>
      </c>
      <c r="CS333" s="23">
        <f t="shared" si="201"/>
        <v>27</v>
      </c>
      <c r="CT333" s="23">
        <f t="shared" si="202"/>
        <v>27</v>
      </c>
      <c r="CU333" s="23">
        <f t="shared" si="203"/>
        <v>27</v>
      </c>
      <c r="CV333" s="23">
        <f t="shared" si="204"/>
        <v>27</v>
      </c>
    </row>
    <row r="334" spans="1:100" ht="13.5">
      <c r="A334" s="15">
        <v>335</v>
      </c>
      <c r="B334" s="27" t="s">
        <v>620</v>
      </c>
      <c r="C334" t="s">
        <v>580</v>
      </c>
      <c r="E334" t="s">
        <v>465</v>
      </c>
      <c r="F334" t="s">
        <v>581</v>
      </c>
      <c r="G334" t="s">
        <v>465</v>
      </c>
      <c r="H334" t="s">
        <v>582</v>
      </c>
      <c r="I334" s="6" t="s">
        <v>136</v>
      </c>
      <c r="J334" s="6">
        <v>0</v>
      </c>
      <c r="L334" s="15">
        <v>28</v>
      </c>
      <c r="N334" s="7">
        <v>46196</v>
      </c>
      <c r="O334" s="7">
        <v>46195</v>
      </c>
      <c r="P334" s="7">
        <v>46196</v>
      </c>
      <c r="S334" s="6" t="s">
        <v>465</v>
      </c>
      <c r="U334" s="6" t="s">
        <v>464</v>
      </c>
      <c r="V334" s="6" t="str">
        <f t="shared" si="171"/>
        <v>26/06</v>
      </c>
      <c r="W334">
        <v>1638</v>
      </c>
      <c r="AA334">
        <v>992</v>
      </c>
      <c r="AC334">
        <v>1045</v>
      </c>
      <c r="AI334" s="23">
        <v>0</v>
      </c>
      <c r="AJ334" s="23">
        <v>0</v>
      </c>
      <c r="AK334" s="23">
        <v>0</v>
      </c>
      <c r="AL334" s="23">
        <v>0</v>
      </c>
      <c r="AM334" s="23">
        <v>0</v>
      </c>
      <c r="AN334" s="23">
        <v>0</v>
      </c>
      <c r="AO334" s="23">
        <v>0</v>
      </c>
      <c r="AP334" s="23">
        <v>0</v>
      </c>
      <c r="AQ334" s="23">
        <v>0</v>
      </c>
      <c r="AR334" s="23">
        <v>0</v>
      </c>
      <c r="AS334" s="23">
        <v>0</v>
      </c>
      <c r="AT334" s="23">
        <v>0</v>
      </c>
      <c r="AU334" s="23">
        <v>0</v>
      </c>
      <c r="AV334" s="23">
        <v>0</v>
      </c>
      <c r="AW334" s="23">
        <v>0</v>
      </c>
      <c r="AX334" s="23">
        <v>0</v>
      </c>
      <c r="AY334" s="23">
        <v>0</v>
      </c>
      <c r="AZ334" s="23">
        <v>0</v>
      </c>
      <c r="BA334" s="23">
        <v>0</v>
      </c>
      <c r="BB334" s="23">
        <v>0</v>
      </c>
      <c r="BC334" s="23">
        <v>0</v>
      </c>
      <c r="BD334" s="23">
        <v>0</v>
      </c>
      <c r="BE334" s="23">
        <v>0</v>
      </c>
      <c r="BF334" s="23">
        <v>0</v>
      </c>
      <c r="BG334" s="23">
        <v>1</v>
      </c>
      <c r="BH334" s="23">
        <v>1</v>
      </c>
      <c r="BI334" s="23">
        <v>1</v>
      </c>
      <c r="BJ334" s="23">
        <v>1</v>
      </c>
      <c r="BK334" s="23">
        <v>1</v>
      </c>
      <c r="BL334" s="23">
        <v>1</v>
      </c>
      <c r="BM334" s="23">
        <v>1</v>
      </c>
      <c r="BN334" s="23">
        <v>1</v>
      </c>
      <c r="BO334" s="23">
        <v>1</v>
      </c>
      <c r="BP334" s="23">
        <f t="shared" si="172"/>
        <v>0</v>
      </c>
      <c r="BQ334" s="23">
        <f t="shared" si="173"/>
        <v>0</v>
      </c>
      <c r="BR334" s="23">
        <f t="shared" si="174"/>
        <v>0</v>
      </c>
      <c r="BS334" s="23">
        <f t="shared" si="175"/>
        <v>0</v>
      </c>
      <c r="BT334" s="23">
        <f t="shared" si="176"/>
        <v>0</v>
      </c>
      <c r="BU334" s="23">
        <f t="shared" si="177"/>
        <v>0</v>
      </c>
      <c r="BV334" s="23">
        <f t="shared" si="178"/>
        <v>0</v>
      </c>
      <c r="BW334" s="23">
        <f t="shared" si="179"/>
        <v>0</v>
      </c>
      <c r="BX334" s="23">
        <f t="shared" si="180"/>
        <v>0</v>
      </c>
      <c r="BY334" s="23">
        <f t="shared" si="181"/>
        <v>0</v>
      </c>
      <c r="BZ334" s="23">
        <f t="shared" si="182"/>
        <v>0</v>
      </c>
      <c r="CA334" s="23">
        <f t="shared" si="183"/>
        <v>0</v>
      </c>
      <c r="CB334" s="23">
        <f t="shared" si="184"/>
        <v>0</v>
      </c>
      <c r="CC334" s="23">
        <f t="shared" si="185"/>
        <v>0</v>
      </c>
      <c r="CD334" s="23">
        <f t="shared" si="186"/>
        <v>0</v>
      </c>
      <c r="CE334" s="23">
        <f t="shared" si="187"/>
        <v>0</v>
      </c>
      <c r="CF334" s="23">
        <f t="shared" si="188"/>
        <v>0</v>
      </c>
      <c r="CG334" s="23">
        <f t="shared" si="189"/>
        <v>0</v>
      </c>
      <c r="CH334" s="23">
        <f t="shared" si="190"/>
        <v>0</v>
      </c>
      <c r="CI334" s="23">
        <f t="shared" si="191"/>
        <v>0</v>
      </c>
      <c r="CJ334" s="23">
        <f t="shared" si="192"/>
        <v>0</v>
      </c>
      <c r="CK334" s="23">
        <f t="shared" si="193"/>
        <v>0</v>
      </c>
      <c r="CL334" s="23">
        <f t="shared" si="194"/>
        <v>0</v>
      </c>
      <c r="CM334" s="23">
        <f t="shared" si="195"/>
        <v>0</v>
      </c>
      <c r="CN334" s="23">
        <f t="shared" si="196"/>
        <v>28</v>
      </c>
      <c r="CO334" s="23">
        <f t="shared" si="197"/>
        <v>28</v>
      </c>
      <c r="CP334" s="23">
        <f t="shared" si="198"/>
        <v>28</v>
      </c>
      <c r="CQ334" s="23">
        <f t="shared" si="199"/>
        <v>28</v>
      </c>
      <c r="CR334" s="23">
        <f t="shared" si="200"/>
        <v>28</v>
      </c>
      <c r="CS334" s="23">
        <f t="shared" si="201"/>
        <v>28</v>
      </c>
      <c r="CT334" s="23">
        <f t="shared" si="202"/>
        <v>28</v>
      </c>
      <c r="CU334" s="23">
        <f t="shared" si="203"/>
        <v>28</v>
      </c>
      <c r="CV334" s="23">
        <f t="shared" si="204"/>
        <v>28</v>
      </c>
    </row>
    <row r="335" spans="1:100" ht="13.5">
      <c r="A335" s="15">
        <v>337</v>
      </c>
      <c r="B335" s="27" t="s">
        <v>621</v>
      </c>
      <c r="C335" t="s">
        <v>580</v>
      </c>
      <c r="E335" t="s">
        <v>465</v>
      </c>
      <c r="F335" t="s">
        <v>581</v>
      </c>
      <c r="G335" t="s">
        <v>465</v>
      </c>
      <c r="H335" t="s">
        <v>582</v>
      </c>
      <c r="I335" s="6" t="s">
        <v>136</v>
      </c>
      <c r="J335" s="6">
        <v>0</v>
      </c>
      <c r="L335" s="15">
        <v>28</v>
      </c>
      <c r="N335" s="7">
        <v>46203</v>
      </c>
      <c r="O335" s="7">
        <v>46202</v>
      </c>
      <c r="P335" s="7">
        <v>46203</v>
      </c>
      <c r="S335" s="6" t="s">
        <v>465</v>
      </c>
      <c r="U335" s="6" t="s">
        <v>464</v>
      </c>
      <c r="V335" s="6" t="str">
        <f t="shared" si="171"/>
        <v>26/06</v>
      </c>
      <c r="W335">
        <v>1639</v>
      </c>
      <c r="AA335">
        <v>993</v>
      </c>
      <c r="AC335">
        <v>1046</v>
      </c>
      <c r="AI335" s="23">
        <v>0</v>
      </c>
      <c r="AJ335" s="23">
        <v>0</v>
      </c>
      <c r="AK335" s="23">
        <v>0</v>
      </c>
      <c r="AL335" s="23">
        <v>0</v>
      </c>
      <c r="AM335" s="23">
        <v>0</v>
      </c>
      <c r="AN335" s="23">
        <v>0</v>
      </c>
      <c r="AO335" s="23">
        <v>0</v>
      </c>
      <c r="AP335" s="23">
        <v>0</v>
      </c>
      <c r="AQ335" s="23">
        <v>0</v>
      </c>
      <c r="AR335" s="23">
        <v>0</v>
      </c>
      <c r="AS335" s="23">
        <v>0</v>
      </c>
      <c r="AT335" s="23">
        <v>0</v>
      </c>
      <c r="AU335" s="23">
        <v>0</v>
      </c>
      <c r="AV335" s="23">
        <v>0</v>
      </c>
      <c r="AW335" s="23">
        <v>0</v>
      </c>
      <c r="AX335" s="23">
        <v>0</v>
      </c>
      <c r="AY335" s="23">
        <v>0</v>
      </c>
      <c r="AZ335" s="23">
        <v>0</v>
      </c>
      <c r="BA335" s="23">
        <v>0</v>
      </c>
      <c r="BB335" s="23">
        <v>0</v>
      </c>
      <c r="BC335" s="23">
        <v>0</v>
      </c>
      <c r="BD335" s="23">
        <v>0</v>
      </c>
      <c r="BE335" s="23">
        <v>0</v>
      </c>
      <c r="BF335" s="23">
        <v>0</v>
      </c>
      <c r="BG335" s="23">
        <v>1</v>
      </c>
      <c r="BH335" s="23">
        <v>1</v>
      </c>
      <c r="BI335" s="23">
        <v>1</v>
      </c>
      <c r="BJ335" s="23">
        <v>1</v>
      </c>
      <c r="BK335" s="23">
        <v>1</v>
      </c>
      <c r="BL335" s="23">
        <v>1</v>
      </c>
      <c r="BM335" s="23">
        <v>1</v>
      </c>
      <c r="BN335" s="23">
        <v>1</v>
      </c>
      <c r="BO335" s="23">
        <v>1</v>
      </c>
      <c r="BP335" s="23">
        <f t="shared" si="172"/>
        <v>0</v>
      </c>
      <c r="BQ335" s="23">
        <f t="shared" si="173"/>
        <v>0</v>
      </c>
      <c r="BR335" s="23">
        <f t="shared" si="174"/>
        <v>0</v>
      </c>
      <c r="BS335" s="23">
        <f t="shared" si="175"/>
        <v>0</v>
      </c>
      <c r="BT335" s="23">
        <f t="shared" si="176"/>
        <v>0</v>
      </c>
      <c r="BU335" s="23">
        <f t="shared" si="177"/>
        <v>0</v>
      </c>
      <c r="BV335" s="23">
        <f t="shared" si="178"/>
        <v>0</v>
      </c>
      <c r="BW335" s="23">
        <f t="shared" si="179"/>
        <v>0</v>
      </c>
      <c r="BX335" s="23">
        <f t="shared" si="180"/>
        <v>0</v>
      </c>
      <c r="BY335" s="23">
        <f t="shared" si="181"/>
        <v>0</v>
      </c>
      <c r="BZ335" s="23">
        <f t="shared" si="182"/>
        <v>0</v>
      </c>
      <c r="CA335" s="23">
        <f t="shared" si="183"/>
        <v>0</v>
      </c>
      <c r="CB335" s="23">
        <f t="shared" si="184"/>
        <v>0</v>
      </c>
      <c r="CC335" s="23">
        <f t="shared" si="185"/>
        <v>0</v>
      </c>
      <c r="CD335" s="23">
        <f t="shared" si="186"/>
        <v>0</v>
      </c>
      <c r="CE335" s="23">
        <f t="shared" si="187"/>
        <v>0</v>
      </c>
      <c r="CF335" s="23">
        <f t="shared" si="188"/>
        <v>0</v>
      </c>
      <c r="CG335" s="23">
        <f t="shared" si="189"/>
        <v>0</v>
      </c>
      <c r="CH335" s="23">
        <f t="shared" si="190"/>
        <v>0</v>
      </c>
      <c r="CI335" s="23">
        <f t="shared" si="191"/>
        <v>0</v>
      </c>
      <c r="CJ335" s="23">
        <f t="shared" si="192"/>
        <v>0</v>
      </c>
      <c r="CK335" s="23">
        <f t="shared" si="193"/>
        <v>0</v>
      </c>
      <c r="CL335" s="23">
        <f t="shared" si="194"/>
        <v>0</v>
      </c>
      <c r="CM335" s="23">
        <f t="shared" si="195"/>
        <v>0</v>
      </c>
      <c r="CN335" s="23">
        <f t="shared" si="196"/>
        <v>28</v>
      </c>
      <c r="CO335" s="23">
        <f t="shared" si="197"/>
        <v>28</v>
      </c>
      <c r="CP335" s="23">
        <f t="shared" si="198"/>
        <v>28</v>
      </c>
      <c r="CQ335" s="23">
        <f t="shared" si="199"/>
        <v>28</v>
      </c>
      <c r="CR335" s="23">
        <f t="shared" si="200"/>
        <v>28</v>
      </c>
      <c r="CS335" s="23">
        <f t="shared" si="201"/>
        <v>28</v>
      </c>
      <c r="CT335" s="23">
        <f t="shared" si="202"/>
        <v>28</v>
      </c>
      <c r="CU335" s="23">
        <f t="shared" si="203"/>
        <v>28</v>
      </c>
      <c r="CV335" s="23">
        <f t="shared" si="204"/>
        <v>28</v>
      </c>
    </row>
    <row r="336" spans="1:100" ht="13.5">
      <c r="A336" s="15">
        <v>361</v>
      </c>
      <c r="B336" s="27" t="s">
        <v>622</v>
      </c>
      <c r="C336" t="s">
        <v>580</v>
      </c>
      <c r="E336" t="s">
        <v>465</v>
      </c>
      <c r="F336" t="s">
        <v>581</v>
      </c>
      <c r="G336" t="s">
        <v>465</v>
      </c>
      <c r="H336" t="s">
        <v>582</v>
      </c>
      <c r="I336" s="6" t="s">
        <v>136</v>
      </c>
      <c r="J336" s="6">
        <v>0</v>
      </c>
      <c r="L336" s="15">
        <v>27</v>
      </c>
      <c r="N336" s="7">
        <v>46210</v>
      </c>
      <c r="O336" s="7">
        <v>46209</v>
      </c>
      <c r="P336" s="7">
        <v>46210</v>
      </c>
      <c r="S336" s="6" t="s">
        <v>465</v>
      </c>
      <c r="U336" s="6" t="s">
        <v>464</v>
      </c>
      <c r="V336" s="6" t="str">
        <f t="shared" si="171"/>
        <v>26/07</v>
      </c>
      <c r="W336">
        <v>1640</v>
      </c>
      <c r="AA336">
        <v>994</v>
      </c>
      <c r="AC336">
        <v>1047</v>
      </c>
      <c r="AI336" s="23">
        <v>0</v>
      </c>
      <c r="AJ336" s="23">
        <v>0</v>
      </c>
      <c r="AK336" s="23">
        <v>0</v>
      </c>
      <c r="AL336" s="23">
        <v>0</v>
      </c>
      <c r="AM336" s="23">
        <v>0</v>
      </c>
      <c r="AN336" s="23">
        <v>0</v>
      </c>
      <c r="AO336" s="23">
        <v>0</v>
      </c>
      <c r="AP336" s="23">
        <v>0</v>
      </c>
      <c r="AQ336" s="23">
        <v>0</v>
      </c>
      <c r="AR336" s="23">
        <v>0</v>
      </c>
      <c r="AS336" s="23">
        <v>0</v>
      </c>
      <c r="AT336" s="23">
        <v>0</v>
      </c>
      <c r="AU336" s="23">
        <v>0</v>
      </c>
      <c r="AV336" s="23">
        <v>0</v>
      </c>
      <c r="AW336" s="23">
        <v>0</v>
      </c>
      <c r="AX336" s="23">
        <v>0</v>
      </c>
      <c r="AY336" s="23">
        <v>0</v>
      </c>
      <c r="AZ336" s="23">
        <v>0</v>
      </c>
      <c r="BA336" s="23">
        <v>0</v>
      </c>
      <c r="BB336" s="23">
        <v>0</v>
      </c>
      <c r="BC336" s="23">
        <v>0</v>
      </c>
      <c r="BD336" s="23">
        <v>0</v>
      </c>
      <c r="BE336" s="23">
        <v>0</v>
      </c>
      <c r="BF336" s="23">
        <v>0</v>
      </c>
      <c r="BG336" s="23">
        <v>1</v>
      </c>
      <c r="BH336" s="23">
        <v>1</v>
      </c>
      <c r="BI336" s="23">
        <v>1</v>
      </c>
      <c r="BJ336" s="23">
        <v>1</v>
      </c>
      <c r="BK336" s="23">
        <v>1</v>
      </c>
      <c r="BL336" s="23">
        <v>1</v>
      </c>
      <c r="BM336" s="23">
        <v>1</v>
      </c>
      <c r="BN336" s="23">
        <v>1</v>
      </c>
      <c r="BO336" s="23">
        <v>1</v>
      </c>
      <c r="BP336" s="23">
        <f t="shared" si="172"/>
        <v>0</v>
      </c>
      <c r="BQ336" s="23">
        <f t="shared" si="173"/>
        <v>0</v>
      </c>
      <c r="BR336" s="23">
        <f t="shared" si="174"/>
        <v>0</v>
      </c>
      <c r="BS336" s="23">
        <f t="shared" si="175"/>
        <v>0</v>
      </c>
      <c r="BT336" s="23">
        <f t="shared" si="176"/>
        <v>0</v>
      </c>
      <c r="BU336" s="23">
        <f t="shared" si="177"/>
        <v>0</v>
      </c>
      <c r="BV336" s="23">
        <f t="shared" si="178"/>
        <v>0</v>
      </c>
      <c r="BW336" s="23">
        <f t="shared" si="179"/>
        <v>0</v>
      </c>
      <c r="BX336" s="23">
        <f t="shared" si="180"/>
        <v>0</v>
      </c>
      <c r="BY336" s="23">
        <f t="shared" si="181"/>
        <v>0</v>
      </c>
      <c r="BZ336" s="23">
        <f t="shared" si="182"/>
        <v>0</v>
      </c>
      <c r="CA336" s="23">
        <f t="shared" si="183"/>
        <v>0</v>
      </c>
      <c r="CB336" s="23">
        <f t="shared" si="184"/>
        <v>0</v>
      </c>
      <c r="CC336" s="23">
        <f t="shared" si="185"/>
        <v>0</v>
      </c>
      <c r="CD336" s="23">
        <f t="shared" si="186"/>
        <v>0</v>
      </c>
      <c r="CE336" s="23">
        <f t="shared" si="187"/>
        <v>0</v>
      </c>
      <c r="CF336" s="23">
        <f t="shared" si="188"/>
        <v>0</v>
      </c>
      <c r="CG336" s="23">
        <f t="shared" si="189"/>
        <v>0</v>
      </c>
      <c r="CH336" s="23">
        <f t="shared" si="190"/>
        <v>0</v>
      </c>
      <c r="CI336" s="23">
        <f t="shared" si="191"/>
        <v>0</v>
      </c>
      <c r="CJ336" s="23">
        <f t="shared" si="192"/>
        <v>0</v>
      </c>
      <c r="CK336" s="23">
        <f t="shared" si="193"/>
        <v>0</v>
      </c>
      <c r="CL336" s="23">
        <f t="shared" si="194"/>
        <v>0</v>
      </c>
      <c r="CM336" s="23">
        <f t="shared" si="195"/>
        <v>0</v>
      </c>
      <c r="CN336" s="23">
        <f t="shared" si="196"/>
        <v>27</v>
      </c>
      <c r="CO336" s="23">
        <f t="shared" si="197"/>
        <v>27</v>
      </c>
      <c r="CP336" s="23">
        <f t="shared" si="198"/>
        <v>27</v>
      </c>
      <c r="CQ336" s="23">
        <f t="shared" si="199"/>
        <v>27</v>
      </c>
      <c r="CR336" s="23">
        <f t="shared" si="200"/>
        <v>27</v>
      </c>
      <c r="CS336" s="23">
        <f t="shared" si="201"/>
        <v>27</v>
      </c>
      <c r="CT336" s="23">
        <f t="shared" si="202"/>
        <v>27</v>
      </c>
      <c r="CU336" s="23">
        <f t="shared" si="203"/>
        <v>27</v>
      </c>
      <c r="CV336" s="23">
        <f t="shared" si="204"/>
        <v>27</v>
      </c>
    </row>
    <row r="337" spans="1:100" ht="13.5">
      <c r="A337" s="15">
        <v>363</v>
      </c>
      <c r="B337" s="27" t="s">
        <v>623</v>
      </c>
      <c r="C337" t="s">
        <v>580</v>
      </c>
      <c r="E337" t="s">
        <v>465</v>
      </c>
      <c r="F337" t="s">
        <v>581</v>
      </c>
      <c r="G337" t="s">
        <v>465</v>
      </c>
      <c r="H337" t="s">
        <v>582</v>
      </c>
      <c r="I337" s="6" t="s">
        <v>136</v>
      </c>
      <c r="J337" s="6">
        <v>0</v>
      </c>
      <c r="L337" s="15">
        <v>27</v>
      </c>
      <c r="N337" s="7">
        <v>46216</v>
      </c>
      <c r="O337" s="7">
        <v>46213</v>
      </c>
      <c r="P337" s="7">
        <v>46216</v>
      </c>
      <c r="S337" s="6" t="s">
        <v>465</v>
      </c>
      <c r="U337" s="6" t="s">
        <v>464</v>
      </c>
      <c r="V337" s="6" t="str">
        <f t="shared" si="171"/>
        <v>26/07</v>
      </c>
      <c r="W337">
        <v>1641</v>
      </c>
      <c r="AA337">
        <v>995</v>
      </c>
      <c r="AC337">
        <v>1048</v>
      </c>
      <c r="AI337" s="23">
        <v>0</v>
      </c>
      <c r="AJ337" s="23">
        <v>0</v>
      </c>
      <c r="AK337" s="23">
        <v>0</v>
      </c>
      <c r="AL337" s="23">
        <v>0</v>
      </c>
      <c r="AM337" s="23">
        <v>0</v>
      </c>
      <c r="AN337" s="23">
        <v>0</v>
      </c>
      <c r="AO337" s="23">
        <v>0</v>
      </c>
      <c r="AP337" s="23">
        <v>0</v>
      </c>
      <c r="AQ337" s="23">
        <v>0</v>
      </c>
      <c r="AR337" s="23">
        <v>0</v>
      </c>
      <c r="AS337" s="23">
        <v>0</v>
      </c>
      <c r="AT337" s="23">
        <v>0</v>
      </c>
      <c r="AU337" s="23">
        <v>0</v>
      </c>
      <c r="AV337" s="23">
        <v>0</v>
      </c>
      <c r="AW337" s="23">
        <v>0</v>
      </c>
      <c r="AX337" s="23">
        <v>0</v>
      </c>
      <c r="AY337" s="23">
        <v>0</v>
      </c>
      <c r="AZ337" s="23">
        <v>0</v>
      </c>
      <c r="BA337" s="23">
        <v>0</v>
      </c>
      <c r="BB337" s="23">
        <v>0</v>
      </c>
      <c r="BC337" s="23">
        <v>0</v>
      </c>
      <c r="BD337" s="23">
        <v>0</v>
      </c>
      <c r="BE337" s="23">
        <v>0</v>
      </c>
      <c r="BF337" s="23">
        <v>0</v>
      </c>
      <c r="BG337" s="23">
        <v>1</v>
      </c>
      <c r="BH337" s="23">
        <v>1</v>
      </c>
      <c r="BI337" s="23">
        <v>1</v>
      </c>
      <c r="BJ337" s="23">
        <v>1</v>
      </c>
      <c r="BK337" s="23">
        <v>1</v>
      </c>
      <c r="BL337" s="23">
        <v>1</v>
      </c>
      <c r="BM337" s="23">
        <v>1</v>
      </c>
      <c r="BN337" s="23">
        <v>1</v>
      </c>
      <c r="BO337" s="23">
        <v>1</v>
      </c>
      <c r="BP337" s="23">
        <f t="shared" si="172"/>
        <v>0</v>
      </c>
      <c r="BQ337" s="23">
        <f t="shared" si="173"/>
        <v>0</v>
      </c>
      <c r="BR337" s="23">
        <f t="shared" si="174"/>
        <v>0</v>
      </c>
      <c r="BS337" s="23">
        <f t="shared" si="175"/>
        <v>0</v>
      </c>
      <c r="BT337" s="23">
        <f t="shared" si="176"/>
        <v>0</v>
      </c>
      <c r="BU337" s="23">
        <f t="shared" si="177"/>
        <v>0</v>
      </c>
      <c r="BV337" s="23">
        <f t="shared" si="178"/>
        <v>0</v>
      </c>
      <c r="BW337" s="23">
        <f t="shared" si="179"/>
        <v>0</v>
      </c>
      <c r="BX337" s="23">
        <f t="shared" si="180"/>
        <v>0</v>
      </c>
      <c r="BY337" s="23">
        <f t="shared" si="181"/>
        <v>0</v>
      </c>
      <c r="BZ337" s="23">
        <f t="shared" si="182"/>
        <v>0</v>
      </c>
      <c r="CA337" s="23">
        <f t="shared" si="183"/>
        <v>0</v>
      </c>
      <c r="CB337" s="23">
        <f t="shared" si="184"/>
        <v>0</v>
      </c>
      <c r="CC337" s="23">
        <f t="shared" si="185"/>
        <v>0</v>
      </c>
      <c r="CD337" s="23">
        <f t="shared" si="186"/>
        <v>0</v>
      </c>
      <c r="CE337" s="23">
        <f t="shared" si="187"/>
        <v>0</v>
      </c>
      <c r="CF337" s="23">
        <f t="shared" si="188"/>
        <v>0</v>
      </c>
      <c r="CG337" s="23">
        <f t="shared" si="189"/>
        <v>0</v>
      </c>
      <c r="CH337" s="23">
        <f t="shared" si="190"/>
        <v>0</v>
      </c>
      <c r="CI337" s="23">
        <f t="shared" si="191"/>
        <v>0</v>
      </c>
      <c r="CJ337" s="23">
        <f t="shared" si="192"/>
        <v>0</v>
      </c>
      <c r="CK337" s="23">
        <f t="shared" si="193"/>
        <v>0</v>
      </c>
      <c r="CL337" s="23">
        <f t="shared" si="194"/>
        <v>0</v>
      </c>
      <c r="CM337" s="23">
        <f t="shared" si="195"/>
        <v>0</v>
      </c>
      <c r="CN337" s="23">
        <f t="shared" si="196"/>
        <v>27</v>
      </c>
      <c r="CO337" s="23">
        <f t="shared" si="197"/>
        <v>27</v>
      </c>
      <c r="CP337" s="23">
        <f t="shared" si="198"/>
        <v>27</v>
      </c>
      <c r="CQ337" s="23">
        <f t="shared" si="199"/>
        <v>27</v>
      </c>
      <c r="CR337" s="23">
        <f t="shared" si="200"/>
        <v>27</v>
      </c>
      <c r="CS337" s="23">
        <f t="shared" si="201"/>
        <v>27</v>
      </c>
      <c r="CT337" s="23">
        <f t="shared" si="202"/>
        <v>27</v>
      </c>
      <c r="CU337" s="23">
        <f t="shared" si="203"/>
        <v>27</v>
      </c>
      <c r="CV337" s="23">
        <f t="shared" si="204"/>
        <v>27</v>
      </c>
    </row>
    <row r="338" spans="1:100" ht="13.5">
      <c r="A338" s="15">
        <v>364</v>
      </c>
      <c r="B338" s="27" t="s">
        <v>624</v>
      </c>
      <c r="C338" t="s">
        <v>580</v>
      </c>
      <c r="E338" t="s">
        <v>465</v>
      </c>
      <c r="F338" t="s">
        <v>581</v>
      </c>
      <c r="G338" t="s">
        <v>465</v>
      </c>
      <c r="H338" t="s">
        <v>582</v>
      </c>
      <c r="I338" s="6" t="s">
        <v>136</v>
      </c>
      <c r="J338" s="6">
        <v>0</v>
      </c>
      <c r="L338" s="15">
        <v>37</v>
      </c>
      <c r="N338" s="7">
        <v>46231</v>
      </c>
      <c r="O338" s="7">
        <v>46230</v>
      </c>
      <c r="P338" s="7">
        <v>46231</v>
      </c>
      <c r="S338" s="6" t="s">
        <v>465</v>
      </c>
      <c r="U338" s="6" t="s">
        <v>464</v>
      </c>
      <c r="V338" s="6" t="str">
        <f t="shared" si="171"/>
        <v>26/07</v>
      </c>
      <c r="W338">
        <v>1642</v>
      </c>
      <c r="AA338">
        <v>996</v>
      </c>
      <c r="AC338">
        <v>1049</v>
      </c>
      <c r="AI338" s="23">
        <v>0</v>
      </c>
      <c r="AJ338" s="23">
        <v>0</v>
      </c>
      <c r="AK338" s="23">
        <v>0</v>
      </c>
      <c r="AL338" s="23">
        <v>0</v>
      </c>
      <c r="AM338" s="23">
        <v>0</v>
      </c>
      <c r="AN338" s="23">
        <v>0</v>
      </c>
      <c r="AO338" s="23">
        <v>0</v>
      </c>
      <c r="AP338" s="23">
        <v>0</v>
      </c>
      <c r="AQ338" s="23">
        <v>0</v>
      </c>
      <c r="AR338" s="23">
        <v>0</v>
      </c>
      <c r="AS338" s="23">
        <v>0</v>
      </c>
      <c r="AT338" s="23">
        <v>0</v>
      </c>
      <c r="AU338" s="23">
        <v>0</v>
      </c>
      <c r="AV338" s="23">
        <v>0</v>
      </c>
      <c r="AW338" s="23">
        <v>0</v>
      </c>
      <c r="AX338" s="23">
        <v>0</v>
      </c>
      <c r="AY338" s="23">
        <v>0</v>
      </c>
      <c r="AZ338" s="23">
        <v>0</v>
      </c>
      <c r="BA338" s="23">
        <v>0</v>
      </c>
      <c r="BB338" s="23">
        <v>0</v>
      </c>
      <c r="BC338" s="23">
        <v>0</v>
      </c>
      <c r="BD338" s="23">
        <v>0</v>
      </c>
      <c r="BE338" s="23">
        <v>0</v>
      </c>
      <c r="BF338" s="23">
        <v>0</v>
      </c>
      <c r="BG338" s="23">
        <v>1</v>
      </c>
      <c r="BH338" s="23">
        <v>1</v>
      </c>
      <c r="BI338" s="23">
        <v>1</v>
      </c>
      <c r="BJ338" s="23">
        <v>1</v>
      </c>
      <c r="BK338" s="23">
        <v>1</v>
      </c>
      <c r="BL338" s="23">
        <v>1</v>
      </c>
      <c r="BM338" s="23">
        <v>1</v>
      </c>
      <c r="BN338" s="23">
        <v>1</v>
      </c>
      <c r="BO338" s="23">
        <v>1</v>
      </c>
      <c r="BP338" s="23">
        <f t="shared" si="172"/>
        <v>0</v>
      </c>
      <c r="BQ338" s="23">
        <f t="shared" si="173"/>
        <v>0</v>
      </c>
      <c r="BR338" s="23">
        <f t="shared" si="174"/>
        <v>0</v>
      </c>
      <c r="BS338" s="23">
        <f t="shared" si="175"/>
        <v>0</v>
      </c>
      <c r="BT338" s="23">
        <f t="shared" si="176"/>
        <v>0</v>
      </c>
      <c r="BU338" s="23">
        <f t="shared" si="177"/>
        <v>0</v>
      </c>
      <c r="BV338" s="23">
        <f t="shared" si="178"/>
        <v>0</v>
      </c>
      <c r="BW338" s="23">
        <f t="shared" si="179"/>
        <v>0</v>
      </c>
      <c r="BX338" s="23">
        <f t="shared" si="180"/>
        <v>0</v>
      </c>
      <c r="BY338" s="23">
        <f t="shared" si="181"/>
        <v>0</v>
      </c>
      <c r="BZ338" s="23">
        <f t="shared" si="182"/>
        <v>0</v>
      </c>
      <c r="CA338" s="23">
        <f t="shared" si="183"/>
        <v>0</v>
      </c>
      <c r="CB338" s="23">
        <f t="shared" si="184"/>
        <v>0</v>
      </c>
      <c r="CC338" s="23">
        <f t="shared" si="185"/>
        <v>0</v>
      </c>
      <c r="CD338" s="23">
        <f t="shared" si="186"/>
        <v>0</v>
      </c>
      <c r="CE338" s="23">
        <f t="shared" si="187"/>
        <v>0</v>
      </c>
      <c r="CF338" s="23">
        <f t="shared" si="188"/>
        <v>0</v>
      </c>
      <c r="CG338" s="23">
        <f t="shared" si="189"/>
        <v>0</v>
      </c>
      <c r="CH338" s="23">
        <f t="shared" si="190"/>
        <v>0</v>
      </c>
      <c r="CI338" s="23">
        <f t="shared" si="191"/>
        <v>0</v>
      </c>
      <c r="CJ338" s="23">
        <f t="shared" si="192"/>
        <v>0</v>
      </c>
      <c r="CK338" s="23">
        <f t="shared" si="193"/>
        <v>0</v>
      </c>
      <c r="CL338" s="23">
        <f t="shared" si="194"/>
        <v>0</v>
      </c>
      <c r="CM338" s="23">
        <f t="shared" si="195"/>
        <v>0</v>
      </c>
      <c r="CN338" s="23">
        <f t="shared" si="196"/>
        <v>37</v>
      </c>
      <c r="CO338" s="23">
        <f t="shared" si="197"/>
        <v>37</v>
      </c>
      <c r="CP338" s="23">
        <f t="shared" si="198"/>
        <v>37</v>
      </c>
      <c r="CQ338" s="23">
        <f t="shared" si="199"/>
        <v>37</v>
      </c>
      <c r="CR338" s="23">
        <f t="shared" si="200"/>
        <v>37</v>
      </c>
      <c r="CS338" s="23">
        <f t="shared" si="201"/>
        <v>37</v>
      </c>
      <c r="CT338" s="23">
        <f t="shared" si="202"/>
        <v>37</v>
      </c>
      <c r="CU338" s="23">
        <f t="shared" si="203"/>
        <v>37</v>
      </c>
      <c r="CV338" s="23">
        <f t="shared" si="204"/>
        <v>37</v>
      </c>
    </row>
    <row r="339" spans="1:100" ht="13.5">
      <c r="A339" s="15">
        <v>398</v>
      </c>
      <c r="B339" s="27" t="s">
        <v>625</v>
      </c>
      <c r="C339" t="s">
        <v>580</v>
      </c>
      <c r="E339" t="s">
        <v>465</v>
      </c>
      <c r="F339" t="s">
        <v>581</v>
      </c>
      <c r="G339" t="s">
        <v>465</v>
      </c>
      <c r="H339" t="s">
        <v>582</v>
      </c>
      <c r="I339" s="6" t="s">
        <v>136</v>
      </c>
      <c r="J339" s="6">
        <v>0</v>
      </c>
      <c r="L339" s="15">
        <v>37</v>
      </c>
      <c r="N339" s="7">
        <v>46238</v>
      </c>
      <c r="O339" s="7">
        <v>46237</v>
      </c>
      <c r="P339" s="7">
        <v>46238</v>
      </c>
      <c r="S339" s="6" t="s">
        <v>465</v>
      </c>
      <c r="U339" s="6" t="s">
        <v>464</v>
      </c>
      <c r="V339" s="6" t="str">
        <f t="shared" si="171"/>
        <v>26/08</v>
      </c>
      <c r="W339">
        <v>1643</v>
      </c>
      <c r="AA339">
        <v>997</v>
      </c>
      <c r="AC339">
        <v>1050</v>
      </c>
      <c r="AI339" s="23">
        <v>0</v>
      </c>
      <c r="AJ339" s="23">
        <v>0</v>
      </c>
      <c r="AK339" s="23">
        <v>0</v>
      </c>
      <c r="AL339" s="23">
        <v>0</v>
      </c>
      <c r="AM339" s="23">
        <v>0</v>
      </c>
      <c r="AN339" s="23">
        <v>0</v>
      </c>
      <c r="AO339" s="23">
        <v>0</v>
      </c>
      <c r="AP339" s="23">
        <v>0</v>
      </c>
      <c r="AQ339" s="23">
        <v>0</v>
      </c>
      <c r="AR339" s="23">
        <v>0</v>
      </c>
      <c r="AS339" s="23">
        <v>0</v>
      </c>
      <c r="AT339" s="23">
        <v>0</v>
      </c>
      <c r="AU339" s="23">
        <v>0</v>
      </c>
      <c r="AV339" s="23">
        <v>0</v>
      </c>
      <c r="AW339" s="23">
        <v>0</v>
      </c>
      <c r="AX339" s="23">
        <v>0</v>
      </c>
      <c r="AY339" s="23">
        <v>0</v>
      </c>
      <c r="AZ339" s="23">
        <v>0</v>
      </c>
      <c r="BA339" s="23">
        <v>0</v>
      </c>
      <c r="BB339" s="23">
        <v>0</v>
      </c>
      <c r="BC339" s="23">
        <v>0</v>
      </c>
      <c r="BD339" s="23">
        <v>0</v>
      </c>
      <c r="BE339" s="23">
        <v>0</v>
      </c>
      <c r="BF339" s="23">
        <v>0</v>
      </c>
      <c r="BG339" s="23">
        <v>1</v>
      </c>
      <c r="BH339" s="23">
        <v>1</v>
      </c>
      <c r="BI339" s="23">
        <v>1</v>
      </c>
      <c r="BJ339" s="23">
        <v>1</v>
      </c>
      <c r="BK339" s="23">
        <v>1</v>
      </c>
      <c r="BL339" s="23">
        <v>1</v>
      </c>
      <c r="BM339" s="23">
        <v>1</v>
      </c>
      <c r="BN339" s="23">
        <v>1</v>
      </c>
      <c r="BO339" s="23">
        <v>1</v>
      </c>
      <c r="BP339" s="23">
        <f t="shared" si="172"/>
        <v>0</v>
      </c>
      <c r="BQ339" s="23">
        <f t="shared" si="173"/>
        <v>0</v>
      </c>
      <c r="BR339" s="23">
        <f t="shared" si="174"/>
        <v>0</v>
      </c>
      <c r="BS339" s="23">
        <f t="shared" si="175"/>
        <v>0</v>
      </c>
      <c r="BT339" s="23">
        <f t="shared" si="176"/>
        <v>0</v>
      </c>
      <c r="BU339" s="23">
        <f t="shared" si="177"/>
        <v>0</v>
      </c>
      <c r="BV339" s="23">
        <f t="shared" si="178"/>
        <v>0</v>
      </c>
      <c r="BW339" s="23">
        <f t="shared" si="179"/>
        <v>0</v>
      </c>
      <c r="BX339" s="23">
        <f t="shared" si="180"/>
        <v>0</v>
      </c>
      <c r="BY339" s="23">
        <f t="shared" si="181"/>
        <v>0</v>
      </c>
      <c r="BZ339" s="23">
        <f t="shared" si="182"/>
        <v>0</v>
      </c>
      <c r="CA339" s="23">
        <f t="shared" si="183"/>
        <v>0</v>
      </c>
      <c r="CB339" s="23">
        <f t="shared" si="184"/>
        <v>0</v>
      </c>
      <c r="CC339" s="23">
        <f t="shared" si="185"/>
        <v>0</v>
      </c>
      <c r="CD339" s="23">
        <f t="shared" si="186"/>
        <v>0</v>
      </c>
      <c r="CE339" s="23">
        <f t="shared" si="187"/>
        <v>0</v>
      </c>
      <c r="CF339" s="23">
        <f t="shared" si="188"/>
        <v>0</v>
      </c>
      <c r="CG339" s="23">
        <f t="shared" si="189"/>
        <v>0</v>
      </c>
      <c r="CH339" s="23">
        <f t="shared" si="190"/>
        <v>0</v>
      </c>
      <c r="CI339" s="23">
        <f t="shared" si="191"/>
        <v>0</v>
      </c>
      <c r="CJ339" s="23">
        <f t="shared" si="192"/>
        <v>0</v>
      </c>
      <c r="CK339" s="23">
        <f t="shared" si="193"/>
        <v>0</v>
      </c>
      <c r="CL339" s="23">
        <f t="shared" si="194"/>
        <v>0</v>
      </c>
      <c r="CM339" s="23">
        <f t="shared" si="195"/>
        <v>0</v>
      </c>
      <c r="CN339" s="23">
        <f t="shared" si="196"/>
        <v>37</v>
      </c>
      <c r="CO339" s="23">
        <f t="shared" si="197"/>
        <v>37</v>
      </c>
      <c r="CP339" s="23">
        <f t="shared" si="198"/>
        <v>37</v>
      </c>
      <c r="CQ339" s="23">
        <f t="shared" si="199"/>
        <v>37</v>
      </c>
      <c r="CR339" s="23">
        <f t="shared" si="200"/>
        <v>37</v>
      </c>
      <c r="CS339" s="23">
        <f t="shared" si="201"/>
        <v>37</v>
      </c>
      <c r="CT339" s="23">
        <f t="shared" si="202"/>
        <v>37</v>
      </c>
      <c r="CU339" s="23">
        <f t="shared" si="203"/>
        <v>37</v>
      </c>
      <c r="CV339" s="23">
        <f t="shared" si="204"/>
        <v>37</v>
      </c>
    </row>
    <row r="340" spans="1:100" ht="13.5">
      <c r="A340" s="15">
        <v>399</v>
      </c>
      <c r="B340" s="27" t="s">
        <v>626</v>
      </c>
      <c r="C340" t="s">
        <v>580</v>
      </c>
      <c r="E340" t="s">
        <v>465</v>
      </c>
      <c r="F340" t="s">
        <v>581</v>
      </c>
      <c r="G340" t="s">
        <v>465</v>
      </c>
      <c r="H340" t="s">
        <v>582</v>
      </c>
      <c r="I340" s="6" t="s">
        <v>136</v>
      </c>
      <c r="J340" s="6">
        <v>0</v>
      </c>
      <c r="L340" s="15">
        <v>36</v>
      </c>
      <c r="N340" s="7">
        <v>46252</v>
      </c>
      <c r="O340" s="7">
        <v>46251</v>
      </c>
      <c r="P340" s="7">
        <v>46252</v>
      </c>
      <c r="S340" s="6" t="s">
        <v>465</v>
      </c>
      <c r="U340" s="6" t="s">
        <v>464</v>
      </c>
      <c r="V340" s="6" t="str">
        <f t="shared" si="171"/>
        <v>26/08</v>
      </c>
      <c r="W340">
        <v>1644</v>
      </c>
      <c r="AA340">
        <v>998</v>
      </c>
      <c r="AC340">
        <v>1051</v>
      </c>
      <c r="AI340" s="23">
        <v>0</v>
      </c>
      <c r="AJ340" s="23">
        <v>0</v>
      </c>
      <c r="AK340" s="23">
        <v>0</v>
      </c>
      <c r="AL340" s="23">
        <v>0</v>
      </c>
      <c r="AM340" s="23">
        <v>0</v>
      </c>
      <c r="AN340" s="23">
        <v>0</v>
      </c>
      <c r="AO340" s="23">
        <v>0</v>
      </c>
      <c r="AP340" s="23">
        <v>0</v>
      </c>
      <c r="AQ340" s="23">
        <v>0</v>
      </c>
      <c r="AR340" s="23">
        <v>0</v>
      </c>
      <c r="AS340" s="23">
        <v>0</v>
      </c>
      <c r="AT340" s="23">
        <v>0</v>
      </c>
      <c r="AU340" s="23">
        <v>0</v>
      </c>
      <c r="AV340" s="23">
        <v>0</v>
      </c>
      <c r="AW340" s="23">
        <v>0</v>
      </c>
      <c r="AX340" s="23">
        <v>0</v>
      </c>
      <c r="AY340" s="23">
        <v>0</v>
      </c>
      <c r="AZ340" s="23">
        <v>0</v>
      </c>
      <c r="BA340" s="23">
        <v>0</v>
      </c>
      <c r="BB340" s="23">
        <v>0</v>
      </c>
      <c r="BC340" s="23">
        <v>0</v>
      </c>
      <c r="BD340" s="23">
        <v>0</v>
      </c>
      <c r="BE340" s="23">
        <v>0</v>
      </c>
      <c r="BF340" s="23">
        <v>0</v>
      </c>
      <c r="BG340" s="23">
        <v>1</v>
      </c>
      <c r="BH340" s="23">
        <v>1</v>
      </c>
      <c r="BI340" s="23">
        <v>1</v>
      </c>
      <c r="BJ340" s="23">
        <v>1</v>
      </c>
      <c r="BK340" s="23">
        <v>1</v>
      </c>
      <c r="BL340" s="23">
        <v>1</v>
      </c>
      <c r="BM340" s="23">
        <v>1</v>
      </c>
      <c r="BN340" s="23">
        <v>1</v>
      </c>
      <c r="BO340" s="23">
        <v>1</v>
      </c>
      <c r="BP340" s="23">
        <f t="shared" si="172"/>
        <v>0</v>
      </c>
      <c r="BQ340" s="23">
        <f t="shared" si="173"/>
        <v>0</v>
      </c>
      <c r="BR340" s="23">
        <f t="shared" si="174"/>
        <v>0</v>
      </c>
      <c r="BS340" s="23">
        <f t="shared" si="175"/>
        <v>0</v>
      </c>
      <c r="BT340" s="23">
        <f t="shared" si="176"/>
        <v>0</v>
      </c>
      <c r="BU340" s="23">
        <f t="shared" si="177"/>
        <v>0</v>
      </c>
      <c r="BV340" s="23">
        <f t="shared" si="178"/>
        <v>0</v>
      </c>
      <c r="BW340" s="23">
        <f t="shared" si="179"/>
        <v>0</v>
      </c>
      <c r="BX340" s="23">
        <f t="shared" si="180"/>
        <v>0</v>
      </c>
      <c r="BY340" s="23">
        <f t="shared" si="181"/>
        <v>0</v>
      </c>
      <c r="BZ340" s="23">
        <f t="shared" si="182"/>
        <v>0</v>
      </c>
      <c r="CA340" s="23">
        <f t="shared" si="183"/>
        <v>0</v>
      </c>
      <c r="CB340" s="23">
        <f t="shared" si="184"/>
        <v>0</v>
      </c>
      <c r="CC340" s="23">
        <f t="shared" si="185"/>
        <v>0</v>
      </c>
      <c r="CD340" s="23">
        <f t="shared" si="186"/>
        <v>0</v>
      </c>
      <c r="CE340" s="23">
        <f t="shared" si="187"/>
        <v>0</v>
      </c>
      <c r="CF340" s="23">
        <f t="shared" si="188"/>
        <v>0</v>
      </c>
      <c r="CG340" s="23">
        <f t="shared" si="189"/>
        <v>0</v>
      </c>
      <c r="CH340" s="23">
        <f t="shared" si="190"/>
        <v>0</v>
      </c>
      <c r="CI340" s="23">
        <f t="shared" si="191"/>
        <v>0</v>
      </c>
      <c r="CJ340" s="23">
        <f t="shared" si="192"/>
        <v>0</v>
      </c>
      <c r="CK340" s="23">
        <f t="shared" si="193"/>
        <v>0</v>
      </c>
      <c r="CL340" s="23">
        <f t="shared" si="194"/>
        <v>0</v>
      </c>
      <c r="CM340" s="23">
        <f t="shared" si="195"/>
        <v>0</v>
      </c>
      <c r="CN340" s="23">
        <f t="shared" si="196"/>
        <v>36</v>
      </c>
      <c r="CO340" s="23">
        <f t="shared" si="197"/>
        <v>36</v>
      </c>
      <c r="CP340" s="23">
        <f t="shared" si="198"/>
        <v>36</v>
      </c>
      <c r="CQ340" s="23">
        <f t="shared" si="199"/>
        <v>36</v>
      </c>
      <c r="CR340" s="23">
        <f t="shared" si="200"/>
        <v>36</v>
      </c>
      <c r="CS340" s="23">
        <f t="shared" si="201"/>
        <v>36</v>
      </c>
      <c r="CT340" s="23">
        <f t="shared" si="202"/>
        <v>36</v>
      </c>
      <c r="CU340" s="23">
        <f t="shared" si="203"/>
        <v>36</v>
      </c>
      <c r="CV340" s="23">
        <f t="shared" si="204"/>
        <v>36</v>
      </c>
    </row>
    <row r="341" spans="1:100" ht="13.5">
      <c r="A341" s="15">
        <v>400</v>
      </c>
      <c r="B341" s="27" t="s">
        <v>627</v>
      </c>
      <c r="C341" t="s">
        <v>580</v>
      </c>
      <c r="E341" t="s">
        <v>465</v>
      </c>
      <c r="F341" t="s">
        <v>581</v>
      </c>
      <c r="G341" t="s">
        <v>465</v>
      </c>
      <c r="H341" t="s">
        <v>582</v>
      </c>
      <c r="I341" s="6" t="s">
        <v>136</v>
      </c>
      <c r="J341" s="6">
        <v>0</v>
      </c>
      <c r="L341" s="15">
        <v>90</v>
      </c>
      <c r="N341" s="7">
        <v>46259</v>
      </c>
      <c r="O341" s="7">
        <v>46258</v>
      </c>
      <c r="P341" s="7">
        <v>46259</v>
      </c>
      <c r="S341" s="6" t="s">
        <v>465</v>
      </c>
      <c r="U341" s="6" t="s">
        <v>464</v>
      </c>
      <c r="V341" s="6" t="str">
        <f t="shared" si="171"/>
        <v>26/08</v>
      </c>
      <c r="W341">
        <v>1645</v>
      </c>
      <c r="AA341">
        <v>999</v>
      </c>
      <c r="AC341">
        <v>1052</v>
      </c>
      <c r="AI341" s="23">
        <v>0</v>
      </c>
      <c r="AJ341" s="23">
        <v>0</v>
      </c>
      <c r="AK341" s="23">
        <v>0</v>
      </c>
      <c r="AL341" s="23">
        <v>0</v>
      </c>
      <c r="AM341" s="23">
        <v>0</v>
      </c>
      <c r="AN341" s="23">
        <v>0</v>
      </c>
      <c r="AO341" s="23">
        <v>0</v>
      </c>
      <c r="AP341" s="23">
        <v>0</v>
      </c>
      <c r="AQ341" s="23">
        <v>0</v>
      </c>
      <c r="AR341" s="23">
        <v>0</v>
      </c>
      <c r="AS341" s="23">
        <v>0</v>
      </c>
      <c r="AT341" s="23">
        <v>0</v>
      </c>
      <c r="AU341" s="23">
        <v>0</v>
      </c>
      <c r="AV341" s="23">
        <v>0</v>
      </c>
      <c r="AW341" s="23">
        <v>0</v>
      </c>
      <c r="AX341" s="23">
        <v>0</v>
      </c>
      <c r="AY341" s="23">
        <v>0</v>
      </c>
      <c r="AZ341" s="23">
        <v>0</v>
      </c>
      <c r="BA341" s="23">
        <v>0</v>
      </c>
      <c r="BB341" s="23">
        <v>0</v>
      </c>
      <c r="BC341" s="23">
        <v>0</v>
      </c>
      <c r="BD341" s="23">
        <v>0</v>
      </c>
      <c r="BE341" s="23">
        <v>0</v>
      </c>
      <c r="BF341" s="23">
        <v>0</v>
      </c>
      <c r="BG341" s="23">
        <v>1</v>
      </c>
      <c r="BH341" s="23">
        <v>1</v>
      </c>
      <c r="BI341" s="23">
        <v>1</v>
      </c>
      <c r="BJ341" s="23">
        <v>1</v>
      </c>
      <c r="BK341" s="23">
        <v>1</v>
      </c>
      <c r="BL341" s="23">
        <v>1</v>
      </c>
      <c r="BM341" s="23">
        <v>1</v>
      </c>
      <c r="BN341" s="23">
        <v>1</v>
      </c>
      <c r="BO341" s="23">
        <v>1</v>
      </c>
      <c r="BP341" s="23">
        <f t="shared" si="172"/>
        <v>0</v>
      </c>
      <c r="BQ341" s="23">
        <f t="shared" si="173"/>
        <v>0</v>
      </c>
      <c r="BR341" s="23">
        <f t="shared" si="174"/>
        <v>0</v>
      </c>
      <c r="BS341" s="23">
        <f t="shared" si="175"/>
        <v>0</v>
      </c>
      <c r="BT341" s="23">
        <f t="shared" si="176"/>
        <v>0</v>
      </c>
      <c r="BU341" s="23">
        <f t="shared" si="177"/>
        <v>0</v>
      </c>
      <c r="BV341" s="23">
        <f t="shared" si="178"/>
        <v>0</v>
      </c>
      <c r="BW341" s="23">
        <f t="shared" si="179"/>
        <v>0</v>
      </c>
      <c r="BX341" s="23">
        <f t="shared" si="180"/>
        <v>0</v>
      </c>
      <c r="BY341" s="23">
        <f t="shared" si="181"/>
        <v>0</v>
      </c>
      <c r="BZ341" s="23">
        <f t="shared" si="182"/>
        <v>0</v>
      </c>
      <c r="CA341" s="23">
        <f t="shared" si="183"/>
        <v>0</v>
      </c>
      <c r="CB341" s="23">
        <f t="shared" si="184"/>
        <v>0</v>
      </c>
      <c r="CC341" s="23">
        <f t="shared" si="185"/>
        <v>0</v>
      </c>
      <c r="CD341" s="23">
        <f t="shared" si="186"/>
        <v>0</v>
      </c>
      <c r="CE341" s="23">
        <f t="shared" si="187"/>
        <v>0</v>
      </c>
      <c r="CF341" s="23">
        <f t="shared" si="188"/>
        <v>0</v>
      </c>
      <c r="CG341" s="23">
        <f t="shared" si="189"/>
        <v>0</v>
      </c>
      <c r="CH341" s="23">
        <f t="shared" si="190"/>
        <v>0</v>
      </c>
      <c r="CI341" s="23">
        <f t="shared" si="191"/>
        <v>0</v>
      </c>
      <c r="CJ341" s="23">
        <f t="shared" si="192"/>
        <v>0</v>
      </c>
      <c r="CK341" s="23">
        <f t="shared" si="193"/>
        <v>0</v>
      </c>
      <c r="CL341" s="23">
        <f t="shared" si="194"/>
        <v>0</v>
      </c>
      <c r="CM341" s="23">
        <f t="shared" si="195"/>
        <v>0</v>
      </c>
      <c r="CN341" s="23">
        <f t="shared" si="196"/>
        <v>90</v>
      </c>
      <c r="CO341" s="23">
        <f t="shared" si="197"/>
        <v>90</v>
      </c>
      <c r="CP341" s="23">
        <f t="shared" si="198"/>
        <v>90</v>
      </c>
      <c r="CQ341" s="23">
        <f t="shared" si="199"/>
        <v>90</v>
      </c>
      <c r="CR341" s="23">
        <f t="shared" si="200"/>
        <v>90</v>
      </c>
      <c r="CS341" s="23">
        <f t="shared" si="201"/>
        <v>90</v>
      </c>
      <c r="CT341" s="23">
        <f t="shared" si="202"/>
        <v>90</v>
      </c>
      <c r="CU341" s="23">
        <f t="shared" si="203"/>
        <v>90</v>
      </c>
      <c r="CV341" s="23">
        <f t="shared" si="204"/>
        <v>90</v>
      </c>
    </row>
    <row r="342" spans="1:100" ht="13.5">
      <c r="A342" s="15">
        <v>401</v>
      </c>
      <c r="B342" s="27" t="s">
        <v>179</v>
      </c>
      <c r="C342" t="s">
        <v>180</v>
      </c>
      <c r="F342" t="s">
        <v>181</v>
      </c>
      <c r="G342" t="s">
        <v>182</v>
      </c>
      <c r="H342" t="s">
        <v>183</v>
      </c>
      <c r="I342" s="6" t="s">
        <v>136</v>
      </c>
      <c r="J342" s="6">
        <v>1</v>
      </c>
      <c r="L342" s="15">
        <v>41</v>
      </c>
      <c r="N342" s="7">
        <v>46266</v>
      </c>
      <c r="O342" s="7">
        <v>46265</v>
      </c>
      <c r="P342" s="7">
        <v>46266</v>
      </c>
      <c r="S342" s="6" t="s">
        <v>182</v>
      </c>
      <c r="U342" s="6" t="s">
        <v>464</v>
      </c>
      <c r="V342" s="6" t="str">
        <f t="shared" si="171"/>
        <v>26/09</v>
      </c>
      <c r="W342">
        <v>1646</v>
      </c>
      <c r="AB342">
        <v>650</v>
      </c>
      <c r="AD342">
        <v>597</v>
      </c>
      <c r="AI342" s="23">
        <v>0</v>
      </c>
      <c r="AJ342" s="23">
        <v>0</v>
      </c>
      <c r="AK342" s="23">
        <v>0</v>
      </c>
      <c r="AL342" s="23">
        <v>0</v>
      </c>
      <c r="AM342" s="23">
        <v>0</v>
      </c>
      <c r="AN342" s="23">
        <v>0</v>
      </c>
      <c r="AO342" s="23">
        <v>0</v>
      </c>
      <c r="AP342" s="23">
        <v>0</v>
      </c>
      <c r="AQ342" s="23">
        <v>0</v>
      </c>
      <c r="AR342" s="23">
        <v>0</v>
      </c>
      <c r="AS342" s="23">
        <v>0</v>
      </c>
      <c r="AT342" s="23">
        <v>0</v>
      </c>
      <c r="AU342" s="23">
        <v>0</v>
      </c>
      <c r="AV342" s="23">
        <v>0</v>
      </c>
      <c r="AW342" s="23">
        <v>0</v>
      </c>
      <c r="AX342" s="23">
        <v>0</v>
      </c>
      <c r="AY342" s="23">
        <v>0</v>
      </c>
      <c r="AZ342" s="23">
        <v>0</v>
      </c>
      <c r="BA342" s="23">
        <v>0</v>
      </c>
      <c r="BB342" s="23">
        <v>0</v>
      </c>
      <c r="BC342" s="23">
        <v>0</v>
      </c>
      <c r="BD342" s="23">
        <v>0</v>
      </c>
      <c r="BE342" s="23">
        <v>0</v>
      </c>
      <c r="BF342" s="23">
        <v>0</v>
      </c>
      <c r="BG342" s="23">
        <v>1</v>
      </c>
      <c r="BH342" s="23">
        <v>1</v>
      </c>
      <c r="BI342" s="23">
        <v>1</v>
      </c>
      <c r="BJ342" s="23">
        <v>1</v>
      </c>
      <c r="BK342" s="23">
        <v>1</v>
      </c>
      <c r="BL342" s="23">
        <v>1</v>
      </c>
      <c r="BM342" s="23">
        <v>1</v>
      </c>
      <c r="BN342" s="23">
        <v>1</v>
      </c>
      <c r="BO342" s="23">
        <v>0</v>
      </c>
      <c r="BP342" s="23">
        <f t="shared" si="172"/>
        <v>0</v>
      </c>
      <c r="BQ342" s="23">
        <f t="shared" si="173"/>
        <v>0</v>
      </c>
      <c r="BR342" s="23">
        <f t="shared" si="174"/>
        <v>0</v>
      </c>
      <c r="BS342" s="23">
        <f t="shared" si="175"/>
        <v>0</v>
      </c>
      <c r="BT342" s="23">
        <f t="shared" si="176"/>
        <v>0</v>
      </c>
      <c r="BU342" s="23">
        <f t="shared" si="177"/>
        <v>0</v>
      </c>
      <c r="BV342" s="23">
        <f t="shared" si="178"/>
        <v>0</v>
      </c>
      <c r="BW342" s="23">
        <f t="shared" si="179"/>
        <v>0</v>
      </c>
      <c r="BX342" s="23">
        <f t="shared" si="180"/>
        <v>0</v>
      </c>
      <c r="BY342" s="23">
        <f t="shared" si="181"/>
        <v>0</v>
      </c>
      <c r="BZ342" s="23">
        <f t="shared" si="182"/>
        <v>0</v>
      </c>
      <c r="CA342" s="23">
        <f t="shared" si="183"/>
        <v>0</v>
      </c>
      <c r="CB342" s="23">
        <f t="shared" si="184"/>
        <v>0</v>
      </c>
      <c r="CC342" s="23">
        <f t="shared" si="185"/>
        <v>0</v>
      </c>
      <c r="CD342" s="23">
        <f t="shared" si="186"/>
        <v>0</v>
      </c>
      <c r="CE342" s="23">
        <f t="shared" si="187"/>
        <v>0</v>
      </c>
      <c r="CF342" s="23">
        <f t="shared" si="188"/>
        <v>0</v>
      </c>
      <c r="CG342" s="23">
        <f t="shared" si="189"/>
        <v>0</v>
      </c>
      <c r="CH342" s="23">
        <f t="shared" si="190"/>
        <v>0</v>
      </c>
      <c r="CI342" s="23">
        <f t="shared" si="191"/>
        <v>0</v>
      </c>
      <c r="CJ342" s="23">
        <f t="shared" si="192"/>
        <v>0</v>
      </c>
      <c r="CK342" s="23">
        <f t="shared" si="193"/>
        <v>0</v>
      </c>
      <c r="CL342" s="23">
        <f t="shared" si="194"/>
        <v>0</v>
      </c>
      <c r="CM342" s="23">
        <f t="shared" si="195"/>
        <v>0</v>
      </c>
      <c r="CN342" s="23">
        <f t="shared" si="196"/>
        <v>41</v>
      </c>
      <c r="CO342" s="23">
        <f t="shared" si="197"/>
        <v>41</v>
      </c>
      <c r="CP342" s="23">
        <f t="shared" si="198"/>
        <v>41</v>
      </c>
      <c r="CQ342" s="23">
        <f t="shared" si="199"/>
        <v>41</v>
      </c>
      <c r="CR342" s="23">
        <f t="shared" si="200"/>
        <v>41</v>
      </c>
      <c r="CS342" s="23">
        <f t="shared" si="201"/>
        <v>41</v>
      </c>
      <c r="CT342" s="23">
        <f t="shared" si="202"/>
        <v>41</v>
      </c>
      <c r="CU342" s="23">
        <f t="shared" si="203"/>
        <v>41</v>
      </c>
      <c r="CV342" s="23">
        <f t="shared" si="204"/>
        <v>0</v>
      </c>
    </row>
    <row r="343" spans="1:100" ht="13.5">
      <c r="A343" s="15">
        <v>461</v>
      </c>
      <c r="B343" s="27" t="s">
        <v>628</v>
      </c>
      <c r="C343" t="s">
        <v>580</v>
      </c>
      <c r="E343" t="s">
        <v>465</v>
      </c>
      <c r="F343" t="s">
        <v>581</v>
      </c>
      <c r="G343" t="s">
        <v>465</v>
      </c>
      <c r="H343" t="s">
        <v>582</v>
      </c>
      <c r="I343" s="6" t="s">
        <v>136</v>
      </c>
      <c r="J343" s="6">
        <v>0</v>
      </c>
      <c r="L343" s="15">
        <v>90</v>
      </c>
      <c r="N343" s="7">
        <v>46282</v>
      </c>
      <c r="O343" s="7">
        <v>46281</v>
      </c>
      <c r="P343" s="7">
        <v>46282</v>
      </c>
      <c r="S343" s="6" t="s">
        <v>465</v>
      </c>
      <c r="U343" s="6" t="s">
        <v>464</v>
      </c>
      <c r="V343" s="6" t="str">
        <f t="shared" si="171"/>
        <v>26/09</v>
      </c>
      <c r="W343">
        <v>1647</v>
      </c>
      <c r="AA343">
        <v>1000</v>
      </c>
      <c r="AC343">
        <v>1053</v>
      </c>
      <c r="AI343" s="23">
        <v>0</v>
      </c>
      <c r="AJ343" s="23">
        <v>0</v>
      </c>
      <c r="AK343" s="23">
        <v>0</v>
      </c>
      <c r="AL343" s="23">
        <v>0</v>
      </c>
      <c r="AM343" s="23">
        <v>0</v>
      </c>
      <c r="AN343" s="23">
        <v>0</v>
      </c>
      <c r="AO343" s="23">
        <v>0</v>
      </c>
      <c r="AP343" s="23">
        <v>0</v>
      </c>
      <c r="AQ343" s="23">
        <v>0</v>
      </c>
      <c r="AR343" s="23">
        <v>0</v>
      </c>
      <c r="AS343" s="23">
        <v>0</v>
      </c>
      <c r="AT343" s="23">
        <v>0</v>
      </c>
      <c r="AU343" s="23">
        <v>0</v>
      </c>
      <c r="AV343" s="23">
        <v>0</v>
      </c>
      <c r="AW343" s="23">
        <v>0</v>
      </c>
      <c r="AX343" s="23">
        <v>0</v>
      </c>
      <c r="AY343" s="23">
        <v>0</v>
      </c>
      <c r="AZ343" s="23">
        <v>0</v>
      </c>
      <c r="BA343" s="23">
        <v>0</v>
      </c>
      <c r="BB343" s="23">
        <v>0</v>
      </c>
      <c r="BC343" s="23">
        <v>0</v>
      </c>
      <c r="BD343" s="23">
        <v>0</v>
      </c>
      <c r="BE343" s="23">
        <v>0</v>
      </c>
      <c r="BF343" s="23">
        <v>0</v>
      </c>
      <c r="BG343" s="23">
        <v>1</v>
      </c>
      <c r="BH343" s="23">
        <v>1</v>
      </c>
      <c r="BI343" s="23">
        <v>1</v>
      </c>
      <c r="BJ343" s="23">
        <v>1</v>
      </c>
      <c r="BK343" s="23">
        <v>1</v>
      </c>
      <c r="BL343" s="23">
        <v>1</v>
      </c>
      <c r="BM343" s="23">
        <v>1</v>
      </c>
      <c r="BN343" s="23">
        <v>1</v>
      </c>
      <c r="BO343" s="23">
        <v>1</v>
      </c>
      <c r="BP343" s="23">
        <f t="shared" si="172"/>
        <v>0</v>
      </c>
      <c r="BQ343" s="23">
        <f t="shared" si="173"/>
        <v>0</v>
      </c>
      <c r="BR343" s="23">
        <f t="shared" si="174"/>
        <v>0</v>
      </c>
      <c r="BS343" s="23">
        <f t="shared" si="175"/>
        <v>0</v>
      </c>
      <c r="BT343" s="23">
        <f t="shared" si="176"/>
        <v>0</v>
      </c>
      <c r="BU343" s="23">
        <f t="shared" si="177"/>
        <v>0</v>
      </c>
      <c r="BV343" s="23">
        <f t="shared" si="178"/>
        <v>0</v>
      </c>
      <c r="BW343" s="23">
        <f t="shared" si="179"/>
        <v>0</v>
      </c>
      <c r="BX343" s="23">
        <f t="shared" si="180"/>
        <v>0</v>
      </c>
      <c r="BY343" s="23">
        <f t="shared" si="181"/>
        <v>0</v>
      </c>
      <c r="BZ343" s="23">
        <f t="shared" si="182"/>
        <v>0</v>
      </c>
      <c r="CA343" s="23">
        <f t="shared" si="183"/>
        <v>0</v>
      </c>
      <c r="CB343" s="23">
        <f t="shared" si="184"/>
        <v>0</v>
      </c>
      <c r="CC343" s="23">
        <f t="shared" si="185"/>
        <v>0</v>
      </c>
      <c r="CD343" s="23">
        <f t="shared" si="186"/>
        <v>0</v>
      </c>
      <c r="CE343" s="23">
        <f t="shared" si="187"/>
        <v>0</v>
      </c>
      <c r="CF343" s="23">
        <f t="shared" si="188"/>
        <v>0</v>
      </c>
      <c r="CG343" s="23">
        <f t="shared" si="189"/>
        <v>0</v>
      </c>
      <c r="CH343" s="23">
        <f t="shared" si="190"/>
        <v>0</v>
      </c>
      <c r="CI343" s="23">
        <f t="shared" si="191"/>
        <v>0</v>
      </c>
      <c r="CJ343" s="23">
        <f t="shared" si="192"/>
        <v>0</v>
      </c>
      <c r="CK343" s="23">
        <f t="shared" si="193"/>
        <v>0</v>
      </c>
      <c r="CL343" s="23">
        <f t="shared" si="194"/>
        <v>0</v>
      </c>
      <c r="CM343" s="23">
        <f t="shared" si="195"/>
        <v>0</v>
      </c>
      <c r="CN343" s="23">
        <f t="shared" si="196"/>
        <v>90</v>
      </c>
      <c r="CO343" s="23">
        <f t="shared" si="197"/>
        <v>90</v>
      </c>
      <c r="CP343" s="23">
        <f t="shared" si="198"/>
        <v>90</v>
      </c>
      <c r="CQ343" s="23">
        <f t="shared" si="199"/>
        <v>90</v>
      </c>
      <c r="CR343" s="23">
        <f t="shared" si="200"/>
        <v>90</v>
      </c>
      <c r="CS343" s="23">
        <f t="shared" si="201"/>
        <v>90</v>
      </c>
      <c r="CT343" s="23">
        <f t="shared" si="202"/>
        <v>90</v>
      </c>
      <c r="CU343" s="23">
        <f t="shared" si="203"/>
        <v>90</v>
      </c>
      <c r="CV343" s="23">
        <f t="shared" si="204"/>
        <v>90</v>
      </c>
    </row>
    <row r="344" spans="1:100" ht="13.5">
      <c r="A344" s="15">
        <v>519</v>
      </c>
      <c r="B344" s="27" t="s">
        <v>629</v>
      </c>
      <c r="C344" t="s">
        <v>580</v>
      </c>
      <c r="E344" t="s">
        <v>465</v>
      </c>
      <c r="F344" t="s">
        <v>581</v>
      </c>
      <c r="G344" t="s">
        <v>465</v>
      </c>
      <c r="H344" t="s">
        <v>582</v>
      </c>
      <c r="I344" s="6" t="s">
        <v>136</v>
      </c>
      <c r="J344" s="6">
        <v>0</v>
      </c>
      <c r="L344" s="15">
        <v>90</v>
      </c>
      <c r="N344" s="7">
        <v>46318</v>
      </c>
      <c r="O344" s="7">
        <v>46317</v>
      </c>
      <c r="P344" s="7">
        <v>46318</v>
      </c>
      <c r="S344" s="6" t="s">
        <v>465</v>
      </c>
      <c r="U344" s="6" t="s">
        <v>464</v>
      </c>
      <c r="V344" s="6" t="str">
        <f t="shared" si="171"/>
        <v>26/10</v>
      </c>
      <c r="W344">
        <v>1648</v>
      </c>
      <c r="AA344">
        <v>1001</v>
      </c>
      <c r="AC344">
        <v>1054</v>
      </c>
      <c r="AI344" s="23">
        <v>0</v>
      </c>
      <c r="AJ344" s="23">
        <v>0</v>
      </c>
      <c r="AK344" s="23">
        <v>0</v>
      </c>
      <c r="AL344" s="23">
        <v>0</v>
      </c>
      <c r="AM344" s="23">
        <v>0</v>
      </c>
      <c r="AN344" s="23">
        <v>0</v>
      </c>
      <c r="AO344" s="23">
        <v>0</v>
      </c>
      <c r="AP344" s="23">
        <v>0</v>
      </c>
      <c r="AQ344" s="23">
        <v>0</v>
      </c>
      <c r="AR344" s="23">
        <v>0</v>
      </c>
      <c r="AS344" s="23">
        <v>0</v>
      </c>
      <c r="AT344" s="23">
        <v>0</v>
      </c>
      <c r="AU344" s="23">
        <v>0</v>
      </c>
      <c r="AV344" s="23">
        <v>0</v>
      </c>
      <c r="AW344" s="23">
        <v>0</v>
      </c>
      <c r="AX344" s="23">
        <v>0</v>
      </c>
      <c r="AY344" s="23">
        <v>0</v>
      </c>
      <c r="AZ344" s="23">
        <v>0</v>
      </c>
      <c r="BA344" s="23">
        <v>0</v>
      </c>
      <c r="BB344" s="23">
        <v>0</v>
      </c>
      <c r="BC344" s="23">
        <v>0</v>
      </c>
      <c r="BD344" s="23">
        <v>0</v>
      </c>
      <c r="BE344" s="23">
        <v>0</v>
      </c>
      <c r="BF344" s="23">
        <v>0</v>
      </c>
      <c r="BG344" s="23">
        <v>1</v>
      </c>
      <c r="BH344" s="23">
        <v>1</v>
      </c>
      <c r="BI344" s="23">
        <v>1</v>
      </c>
      <c r="BJ344" s="23">
        <v>1</v>
      </c>
      <c r="BK344" s="23">
        <v>1</v>
      </c>
      <c r="BL344" s="23">
        <v>1</v>
      </c>
      <c r="BM344" s="23">
        <v>1</v>
      </c>
      <c r="BN344" s="23">
        <v>1</v>
      </c>
      <c r="BO344" s="23">
        <v>1</v>
      </c>
      <c r="BP344" s="23">
        <f t="shared" si="172"/>
        <v>0</v>
      </c>
      <c r="BQ344" s="23">
        <f t="shared" si="173"/>
        <v>0</v>
      </c>
      <c r="BR344" s="23">
        <f t="shared" si="174"/>
        <v>0</v>
      </c>
      <c r="BS344" s="23">
        <f t="shared" si="175"/>
        <v>0</v>
      </c>
      <c r="BT344" s="23">
        <f t="shared" si="176"/>
        <v>0</v>
      </c>
      <c r="BU344" s="23">
        <f t="shared" si="177"/>
        <v>0</v>
      </c>
      <c r="BV344" s="23">
        <f t="shared" si="178"/>
        <v>0</v>
      </c>
      <c r="BW344" s="23">
        <f t="shared" si="179"/>
        <v>0</v>
      </c>
      <c r="BX344" s="23">
        <f t="shared" si="180"/>
        <v>0</v>
      </c>
      <c r="BY344" s="23">
        <f t="shared" si="181"/>
        <v>0</v>
      </c>
      <c r="BZ344" s="23">
        <f t="shared" si="182"/>
        <v>0</v>
      </c>
      <c r="CA344" s="23">
        <f t="shared" si="183"/>
        <v>0</v>
      </c>
      <c r="CB344" s="23">
        <f t="shared" si="184"/>
        <v>0</v>
      </c>
      <c r="CC344" s="23">
        <f t="shared" si="185"/>
        <v>0</v>
      </c>
      <c r="CD344" s="23">
        <f t="shared" si="186"/>
        <v>0</v>
      </c>
      <c r="CE344" s="23">
        <f t="shared" si="187"/>
        <v>0</v>
      </c>
      <c r="CF344" s="23">
        <f t="shared" si="188"/>
        <v>0</v>
      </c>
      <c r="CG344" s="23">
        <f t="shared" si="189"/>
        <v>0</v>
      </c>
      <c r="CH344" s="23">
        <f t="shared" si="190"/>
        <v>0</v>
      </c>
      <c r="CI344" s="23">
        <f t="shared" si="191"/>
        <v>0</v>
      </c>
      <c r="CJ344" s="23">
        <f t="shared" si="192"/>
        <v>0</v>
      </c>
      <c r="CK344" s="23">
        <f t="shared" si="193"/>
        <v>0</v>
      </c>
      <c r="CL344" s="23">
        <f t="shared" si="194"/>
        <v>0</v>
      </c>
      <c r="CM344" s="23">
        <f t="shared" si="195"/>
        <v>0</v>
      </c>
      <c r="CN344" s="23">
        <f t="shared" si="196"/>
        <v>90</v>
      </c>
      <c r="CO344" s="23">
        <f t="shared" si="197"/>
        <v>90</v>
      </c>
      <c r="CP344" s="23">
        <f t="shared" si="198"/>
        <v>90</v>
      </c>
      <c r="CQ344" s="23">
        <f t="shared" si="199"/>
        <v>90</v>
      </c>
      <c r="CR344" s="23">
        <f t="shared" si="200"/>
        <v>90</v>
      </c>
      <c r="CS344" s="23">
        <f t="shared" si="201"/>
        <v>90</v>
      </c>
      <c r="CT344" s="23">
        <f t="shared" si="202"/>
        <v>90</v>
      </c>
      <c r="CU344" s="23">
        <f t="shared" si="203"/>
        <v>90</v>
      </c>
      <c r="CV344" s="23">
        <f t="shared" si="204"/>
        <v>90</v>
      </c>
    </row>
    <row r="345" spans="1:100" ht="13.5">
      <c r="A345" s="15">
        <v>520</v>
      </c>
      <c r="B345" s="27" t="s">
        <v>184</v>
      </c>
      <c r="C345" t="s">
        <v>180</v>
      </c>
      <c r="F345" t="s">
        <v>181</v>
      </c>
      <c r="G345" t="s">
        <v>182</v>
      </c>
      <c r="H345" t="s">
        <v>183</v>
      </c>
      <c r="I345" s="6" t="s">
        <v>136</v>
      </c>
      <c r="J345" s="6">
        <v>1</v>
      </c>
      <c r="L345" s="15">
        <v>50</v>
      </c>
      <c r="N345" s="7">
        <v>46328</v>
      </c>
      <c r="O345" s="7">
        <v>46325</v>
      </c>
      <c r="P345" s="7">
        <v>46328</v>
      </c>
      <c r="S345" s="6" t="s">
        <v>182</v>
      </c>
      <c r="U345" s="6" t="s">
        <v>464</v>
      </c>
      <c r="V345" s="6" t="str">
        <f t="shared" si="171"/>
        <v>26/11</v>
      </c>
      <c r="W345">
        <v>1649</v>
      </c>
      <c r="AB345">
        <v>651</v>
      </c>
      <c r="AD345">
        <v>598</v>
      </c>
      <c r="AI345" s="23">
        <v>0</v>
      </c>
      <c r="AJ345" s="23">
        <v>0</v>
      </c>
      <c r="AK345" s="23">
        <v>0</v>
      </c>
      <c r="AL345" s="23">
        <v>0</v>
      </c>
      <c r="AM345" s="23">
        <v>0</v>
      </c>
      <c r="AN345" s="23">
        <v>0</v>
      </c>
      <c r="AO345" s="23">
        <v>0</v>
      </c>
      <c r="AP345" s="23">
        <v>0</v>
      </c>
      <c r="AQ345" s="23">
        <v>0</v>
      </c>
      <c r="AR345" s="23">
        <v>0</v>
      </c>
      <c r="AS345" s="23">
        <v>0</v>
      </c>
      <c r="AT345" s="23">
        <v>0</v>
      </c>
      <c r="AU345" s="23">
        <v>0</v>
      </c>
      <c r="AV345" s="23">
        <v>0</v>
      </c>
      <c r="AW345" s="23">
        <v>0</v>
      </c>
      <c r="AX345" s="23">
        <v>0</v>
      </c>
      <c r="AY345" s="23">
        <v>0</v>
      </c>
      <c r="AZ345" s="23">
        <v>0</v>
      </c>
      <c r="BA345" s="23">
        <v>0</v>
      </c>
      <c r="BB345" s="23">
        <v>0</v>
      </c>
      <c r="BC345" s="23">
        <v>0</v>
      </c>
      <c r="BD345" s="23">
        <v>0</v>
      </c>
      <c r="BE345" s="23">
        <v>0</v>
      </c>
      <c r="BF345" s="23">
        <v>0</v>
      </c>
      <c r="BG345" s="23">
        <v>1</v>
      </c>
      <c r="BH345" s="23">
        <v>1</v>
      </c>
      <c r="BI345" s="23">
        <v>1</v>
      </c>
      <c r="BJ345" s="23">
        <v>1</v>
      </c>
      <c r="BK345" s="23">
        <v>1</v>
      </c>
      <c r="BL345" s="23">
        <v>1</v>
      </c>
      <c r="BM345" s="23">
        <v>1</v>
      </c>
      <c r="BN345" s="23">
        <v>1</v>
      </c>
      <c r="BO345" s="23">
        <v>0</v>
      </c>
      <c r="BP345" s="23">
        <f t="shared" si="172"/>
        <v>0</v>
      </c>
      <c r="BQ345" s="23">
        <f t="shared" si="173"/>
        <v>0</v>
      </c>
      <c r="BR345" s="23">
        <f t="shared" si="174"/>
        <v>0</v>
      </c>
      <c r="BS345" s="23">
        <f t="shared" si="175"/>
        <v>0</v>
      </c>
      <c r="BT345" s="23">
        <f t="shared" si="176"/>
        <v>0</v>
      </c>
      <c r="BU345" s="23">
        <f t="shared" si="177"/>
        <v>0</v>
      </c>
      <c r="BV345" s="23">
        <f t="shared" si="178"/>
        <v>0</v>
      </c>
      <c r="BW345" s="23">
        <f t="shared" si="179"/>
        <v>0</v>
      </c>
      <c r="BX345" s="23">
        <f t="shared" si="180"/>
        <v>0</v>
      </c>
      <c r="BY345" s="23">
        <f t="shared" si="181"/>
        <v>0</v>
      </c>
      <c r="BZ345" s="23">
        <f t="shared" si="182"/>
        <v>0</v>
      </c>
      <c r="CA345" s="23">
        <f t="shared" si="183"/>
        <v>0</v>
      </c>
      <c r="CB345" s="23">
        <f t="shared" si="184"/>
        <v>0</v>
      </c>
      <c r="CC345" s="23">
        <f t="shared" si="185"/>
        <v>0</v>
      </c>
      <c r="CD345" s="23">
        <f t="shared" si="186"/>
        <v>0</v>
      </c>
      <c r="CE345" s="23">
        <f t="shared" si="187"/>
        <v>0</v>
      </c>
      <c r="CF345" s="23">
        <f t="shared" si="188"/>
        <v>0</v>
      </c>
      <c r="CG345" s="23">
        <f t="shared" si="189"/>
        <v>0</v>
      </c>
      <c r="CH345" s="23">
        <f t="shared" si="190"/>
        <v>0</v>
      </c>
      <c r="CI345" s="23">
        <f t="shared" si="191"/>
        <v>0</v>
      </c>
      <c r="CJ345" s="23">
        <f t="shared" si="192"/>
        <v>0</v>
      </c>
      <c r="CK345" s="23">
        <f t="shared" si="193"/>
        <v>0</v>
      </c>
      <c r="CL345" s="23">
        <f t="shared" si="194"/>
        <v>0</v>
      </c>
      <c r="CM345" s="23">
        <f t="shared" si="195"/>
        <v>0</v>
      </c>
      <c r="CN345" s="23">
        <f t="shared" si="196"/>
        <v>50</v>
      </c>
      <c r="CO345" s="23">
        <f t="shared" si="197"/>
        <v>50</v>
      </c>
      <c r="CP345" s="23">
        <f t="shared" si="198"/>
        <v>50</v>
      </c>
      <c r="CQ345" s="23">
        <f t="shared" si="199"/>
        <v>50</v>
      </c>
      <c r="CR345" s="23">
        <f t="shared" si="200"/>
        <v>50</v>
      </c>
      <c r="CS345" s="23">
        <f t="shared" si="201"/>
        <v>50</v>
      </c>
      <c r="CT345" s="23">
        <f t="shared" si="202"/>
        <v>50</v>
      </c>
      <c r="CU345" s="23">
        <f t="shared" si="203"/>
        <v>50</v>
      </c>
      <c r="CV345" s="23">
        <f t="shared" si="204"/>
        <v>0</v>
      </c>
    </row>
    <row r="346" spans="1:100" ht="13.5">
      <c r="A346" s="15">
        <v>548</v>
      </c>
      <c r="B346" s="27" t="s">
        <v>630</v>
      </c>
      <c r="C346" t="s">
        <v>580</v>
      </c>
      <c r="E346" t="s">
        <v>465</v>
      </c>
      <c r="F346" t="s">
        <v>581</v>
      </c>
      <c r="G346" t="s">
        <v>465</v>
      </c>
      <c r="H346" t="s">
        <v>582</v>
      </c>
      <c r="I346" s="6" t="s">
        <v>136</v>
      </c>
      <c r="J346" s="6">
        <v>0</v>
      </c>
      <c r="L346" s="15">
        <v>85</v>
      </c>
      <c r="N346" s="7">
        <v>46350</v>
      </c>
      <c r="O346" s="7">
        <v>46349</v>
      </c>
      <c r="P346" s="7">
        <v>46350</v>
      </c>
      <c r="S346" s="6" t="s">
        <v>465</v>
      </c>
      <c r="U346" s="6" t="s">
        <v>464</v>
      </c>
      <c r="V346" s="6" t="str">
        <f t="shared" si="171"/>
        <v>26/11</v>
      </c>
      <c r="W346">
        <v>1650</v>
      </c>
      <c r="AA346">
        <v>1002</v>
      </c>
      <c r="AC346">
        <v>1055</v>
      </c>
      <c r="AI346" s="23">
        <v>0</v>
      </c>
      <c r="AJ346" s="23">
        <v>0</v>
      </c>
      <c r="AK346" s="23">
        <v>0</v>
      </c>
      <c r="AL346" s="23">
        <v>0</v>
      </c>
      <c r="AM346" s="23">
        <v>0</v>
      </c>
      <c r="AN346" s="23">
        <v>0</v>
      </c>
      <c r="AO346" s="23">
        <v>0</v>
      </c>
      <c r="AP346" s="23">
        <v>0</v>
      </c>
      <c r="AQ346" s="23">
        <v>0</v>
      </c>
      <c r="AR346" s="23">
        <v>0</v>
      </c>
      <c r="AS346" s="23">
        <v>0</v>
      </c>
      <c r="AT346" s="23">
        <v>0</v>
      </c>
      <c r="AU346" s="23">
        <v>0</v>
      </c>
      <c r="AV346" s="23">
        <v>0</v>
      </c>
      <c r="AW346" s="23">
        <v>0</v>
      </c>
      <c r="AX346" s="23">
        <v>0</v>
      </c>
      <c r="AY346" s="23">
        <v>0</v>
      </c>
      <c r="AZ346" s="23">
        <v>0</v>
      </c>
      <c r="BA346" s="23">
        <v>0</v>
      </c>
      <c r="BB346" s="23">
        <v>0</v>
      </c>
      <c r="BC346" s="23">
        <v>0</v>
      </c>
      <c r="BD346" s="23">
        <v>0</v>
      </c>
      <c r="BE346" s="23">
        <v>0</v>
      </c>
      <c r="BF346" s="23">
        <v>0</v>
      </c>
      <c r="BG346" s="23">
        <v>1</v>
      </c>
      <c r="BH346" s="23">
        <v>1</v>
      </c>
      <c r="BI346" s="23">
        <v>1</v>
      </c>
      <c r="BJ346" s="23">
        <v>1</v>
      </c>
      <c r="BK346" s="23">
        <v>1</v>
      </c>
      <c r="BL346" s="23">
        <v>1</v>
      </c>
      <c r="BM346" s="23">
        <v>1</v>
      </c>
      <c r="BN346" s="23">
        <v>1</v>
      </c>
      <c r="BO346" s="23">
        <v>1</v>
      </c>
      <c r="BP346" s="23">
        <f t="shared" si="172"/>
        <v>0</v>
      </c>
      <c r="BQ346" s="23">
        <f t="shared" si="173"/>
        <v>0</v>
      </c>
      <c r="BR346" s="23">
        <f t="shared" si="174"/>
        <v>0</v>
      </c>
      <c r="BS346" s="23">
        <f t="shared" si="175"/>
        <v>0</v>
      </c>
      <c r="BT346" s="23">
        <f t="shared" si="176"/>
        <v>0</v>
      </c>
      <c r="BU346" s="23">
        <f t="shared" si="177"/>
        <v>0</v>
      </c>
      <c r="BV346" s="23">
        <f t="shared" si="178"/>
        <v>0</v>
      </c>
      <c r="BW346" s="23">
        <f t="shared" si="179"/>
        <v>0</v>
      </c>
      <c r="BX346" s="23">
        <f t="shared" si="180"/>
        <v>0</v>
      </c>
      <c r="BY346" s="23">
        <f t="shared" si="181"/>
        <v>0</v>
      </c>
      <c r="BZ346" s="23">
        <f t="shared" si="182"/>
        <v>0</v>
      </c>
      <c r="CA346" s="23">
        <f t="shared" si="183"/>
        <v>0</v>
      </c>
      <c r="CB346" s="23">
        <f t="shared" si="184"/>
        <v>0</v>
      </c>
      <c r="CC346" s="23">
        <f t="shared" si="185"/>
        <v>0</v>
      </c>
      <c r="CD346" s="23">
        <f t="shared" si="186"/>
        <v>0</v>
      </c>
      <c r="CE346" s="23">
        <f t="shared" si="187"/>
        <v>0</v>
      </c>
      <c r="CF346" s="23">
        <f t="shared" si="188"/>
        <v>0</v>
      </c>
      <c r="CG346" s="23">
        <f t="shared" si="189"/>
        <v>0</v>
      </c>
      <c r="CH346" s="23">
        <f t="shared" si="190"/>
        <v>0</v>
      </c>
      <c r="CI346" s="23">
        <f t="shared" si="191"/>
        <v>0</v>
      </c>
      <c r="CJ346" s="23">
        <f t="shared" si="192"/>
        <v>0</v>
      </c>
      <c r="CK346" s="23">
        <f t="shared" si="193"/>
        <v>0</v>
      </c>
      <c r="CL346" s="23">
        <f t="shared" si="194"/>
        <v>0</v>
      </c>
      <c r="CM346" s="23">
        <f t="shared" si="195"/>
        <v>0</v>
      </c>
      <c r="CN346" s="23">
        <f t="shared" si="196"/>
        <v>85</v>
      </c>
      <c r="CO346" s="23">
        <f t="shared" si="197"/>
        <v>85</v>
      </c>
      <c r="CP346" s="23">
        <f t="shared" si="198"/>
        <v>85</v>
      </c>
      <c r="CQ346" s="23">
        <f t="shared" si="199"/>
        <v>85</v>
      </c>
      <c r="CR346" s="23">
        <f t="shared" si="200"/>
        <v>85</v>
      </c>
      <c r="CS346" s="23">
        <f t="shared" si="201"/>
        <v>85</v>
      </c>
      <c r="CT346" s="23">
        <f t="shared" si="202"/>
        <v>85</v>
      </c>
      <c r="CU346" s="23">
        <f t="shared" si="203"/>
        <v>85</v>
      </c>
      <c r="CV346" s="23">
        <f t="shared" si="204"/>
        <v>85</v>
      </c>
    </row>
    <row r="347" spans="1:100" ht="13.5">
      <c r="A347" s="15">
        <v>574</v>
      </c>
      <c r="B347" s="27" t="s">
        <v>631</v>
      </c>
      <c r="C347" t="s">
        <v>580</v>
      </c>
      <c r="E347" t="s">
        <v>465</v>
      </c>
      <c r="F347" t="s">
        <v>581</v>
      </c>
      <c r="G347" t="s">
        <v>465</v>
      </c>
      <c r="H347" t="s">
        <v>582</v>
      </c>
      <c r="I347" s="6" t="s">
        <v>136</v>
      </c>
      <c r="J347" s="6">
        <v>0</v>
      </c>
      <c r="L347" s="15">
        <v>75</v>
      </c>
      <c r="N347" s="7">
        <v>46373</v>
      </c>
      <c r="O347" s="7">
        <v>46372</v>
      </c>
      <c r="P347" s="7">
        <v>46373</v>
      </c>
      <c r="S347" s="6" t="s">
        <v>465</v>
      </c>
      <c r="U347" s="6" t="s">
        <v>464</v>
      </c>
      <c r="V347" s="6" t="str">
        <f t="shared" si="171"/>
        <v>26/12</v>
      </c>
      <c r="W347">
        <v>1651</v>
      </c>
      <c r="AA347">
        <v>1003</v>
      </c>
      <c r="AC347">
        <v>1056</v>
      </c>
      <c r="AI347" s="23">
        <v>0</v>
      </c>
      <c r="AJ347" s="23">
        <v>0</v>
      </c>
      <c r="AK347" s="23">
        <v>0</v>
      </c>
      <c r="AL347" s="23">
        <v>0</v>
      </c>
      <c r="AM347" s="23">
        <v>0</v>
      </c>
      <c r="AN347" s="23">
        <v>0</v>
      </c>
      <c r="AO347" s="23">
        <v>0</v>
      </c>
      <c r="AP347" s="23">
        <v>0</v>
      </c>
      <c r="AQ347" s="23">
        <v>0</v>
      </c>
      <c r="AR347" s="23">
        <v>0</v>
      </c>
      <c r="AS347" s="23">
        <v>0</v>
      </c>
      <c r="AT347" s="23">
        <v>0</v>
      </c>
      <c r="AU347" s="23">
        <v>0</v>
      </c>
      <c r="AV347" s="23">
        <v>0</v>
      </c>
      <c r="AW347" s="23">
        <v>0</v>
      </c>
      <c r="AX347" s="23">
        <v>0</v>
      </c>
      <c r="AY347" s="23">
        <v>0</v>
      </c>
      <c r="AZ347" s="23">
        <v>0</v>
      </c>
      <c r="BA347" s="23">
        <v>0</v>
      </c>
      <c r="BB347" s="23">
        <v>0</v>
      </c>
      <c r="BC347" s="23">
        <v>0</v>
      </c>
      <c r="BD347" s="23">
        <v>0</v>
      </c>
      <c r="BE347" s="23">
        <v>0</v>
      </c>
      <c r="BF347" s="23">
        <v>0</v>
      </c>
      <c r="BG347" s="23">
        <v>1</v>
      </c>
      <c r="BH347" s="23">
        <v>1</v>
      </c>
      <c r="BI347" s="23">
        <v>1</v>
      </c>
      <c r="BJ347" s="23">
        <v>1</v>
      </c>
      <c r="BK347" s="23">
        <v>1</v>
      </c>
      <c r="BL347" s="23">
        <v>1</v>
      </c>
      <c r="BM347" s="23">
        <v>1</v>
      </c>
      <c r="BN347" s="23">
        <v>1</v>
      </c>
      <c r="BO347" s="23">
        <v>1</v>
      </c>
      <c r="BP347" s="23">
        <f t="shared" si="172"/>
        <v>0</v>
      </c>
      <c r="BQ347" s="23">
        <f t="shared" si="173"/>
        <v>0</v>
      </c>
      <c r="BR347" s="23">
        <f t="shared" si="174"/>
        <v>0</v>
      </c>
      <c r="BS347" s="23">
        <f t="shared" si="175"/>
        <v>0</v>
      </c>
      <c r="BT347" s="23">
        <f t="shared" si="176"/>
        <v>0</v>
      </c>
      <c r="BU347" s="23">
        <f t="shared" si="177"/>
        <v>0</v>
      </c>
      <c r="BV347" s="23">
        <f t="shared" si="178"/>
        <v>0</v>
      </c>
      <c r="BW347" s="23">
        <f t="shared" si="179"/>
        <v>0</v>
      </c>
      <c r="BX347" s="23">
        <f t="shared" si="180"/>
        <v>0</v>
      </c>
      <c r="BY347" s="23">
        <f t="shared" si="181"/>
        <v>0</v>
      </c>
      <c r="BZ347" s="23">
        <f t="shared" si="182"/>
        <v>0</v>
      </c>
      <c r="CA347" s="23">
        <f t="shared" si="183"/>
        <v>0</v>
      </c>
      <c r="CB347" s="23">
        <f t="shared" si="184"/>
        <v>0</v>
      </c>
      <c r="CC347" s="23">
        <f t="shared" si="185"/>
        <v>0</v>
      </c>
      <c r="CD347" s="23">
        <f t="shared" si="186"/>
        <v>0</v>
      </c>
      <c r="CE347" s="23">
        <f t="shared" si="187"/>
        <v>0</v>
      </c>
      <c r="CF347" s="23">
        <f t="shared" si="188"/>
        <v>0</v>
      </c>
      <c r="CG347" s="23">
        <f t="shared" si="189"/>
        <v>0</v>
      </c>
      <c r="CH347" s="23">
        <f t="shared" si="190"/>
        <v>0</v>
      </c>
      <c r="CI347" s="23">
        <f t="shared" si="191"/>
        <v>0</v>
      </c>
      <c r="CJ347" s="23">
        <f t="shared" si="192"/>
        <v>0</v>
      </c>
      <c r="CK347" s="23">
        <f t="shared" si="193"/>
        <v>0</v>
      </c>
      <c r="CL347" s="23">
        <f t="shared" si="194"/>
        <v>0</v>
      </c>
      <c r="CM347" s="23">
        <f t="shared" si="195"/>
        <v>0</v>
      </c>
      <c r="CN347" s="23">
        <f t="shared" si="196"/>
        <v>75</v>
      </c>
      <c r="CO347" s="23">
        <f t="shared" si="197"/>
        <v>75</v>
      </c>
      <c r="CP347" s="23">
        <f t="shared" si="198"/>
        <v>75</v>
      </c>
      <c r="CQ347" s="23">
        <f t="shared" si="199"/>
        <v>75</v>
      </c>
      <c r="CR347" s="23">
        <f t="shared" si="200"/>
        <v>75</v>
      </c>
      <c r="CS347" s="23">
        <f t="shared" si="201"/>
        <v>75</v>
      </c>
      <c r="CT347" s="23">
        <f t="shared" si="202"/>
        <v>75</v>
      </c>
      <c r="CU347" s="23">
        <f t="shared" si="203"/>
        <v>75</v>
      </c>
      <c r="CV347" s="23">
        <f t="shared" si="204"/>
        <v>75</v>
      </c>
    </row>
    <row r="348" spans="1:100" ht="13.5">
      <c r="A348" s="15">
        <v>604</v>
      </c>
      <c r="B348" s="27" t="s">
        <v>632</v>
      </c>
      <c r="C348" t="s">
        <v>580</v>
      </c>
      <c r="E348" t="s">
        <v>465</v>
      </c>
      <c r="F348" t="s">
        <v>581</v>
      </c>
      <c r="G348" t="s">
        <v>465</v>
      </c>
      <c r="H348" t="s">
        <v>582</v>
      </c>
      <c r="I348" s="6" t="s">
        <v>136</v>
      </c>
      <c r="J348" s="6">
        <v>0</v>
      </c>
      <c r="L348" s="15">
        <v>40</v>
      </c>
      <c r="N348" s="7">
        <v>46413</v>
      </c>
      <c r="O348" s="7">
        <v>46412</v>
      </c>
      <c r="P348" s="7">
        <v>46413</v>
      </c>
      <c r="S348" s="6" t="s">
        <v>465</v>
      </c>
      <c r="U348" s="6" t="s">
        <v>464</v>
      </c>
      <c r="V348" s="6" t="str">
        <f t="shared" si="171"/>
        <v>27/01</v>
      </c>
      <c r="W348">
        <v>1652</v>
      </c>
      <c r="AA348">
        <v>1004</v>
      </c>
      <c r="AC348">
        <v>1057</v>
      </c>
      <c r="AI348" s="23">
        <v>0</v>
      </c>
      <c r="AJ348" s="23">
        <v>0</v>
      </c>
      <c r="AK348" s="23">
        <v>0</v>
      </c>
      <c r="AL348" s="23">
        <v>0</v>
      </c>
      <c r="AM348" s="23">
        <v>0</v>
      </c>
      <c r="AN348" s="23">
        <v>0</v>
      </c>
      <c r="AO348" s="23">
        <v>0</v>
      </c>
      <c r="AP348" s="23">
        <v>0</v>
      </c>
      <c r="AQ348" s="23">
        <v>0</v>
      </c>
      <c r="AR348" s="23">
        <v>0</v>
      </c>
      <c r="AS348" s="23">
        <v>0</v>
      </c>
      <c r="AT348" s="23">
        <v>0</v>
      </c>
      <c r="AU348" s="23">
        <v>0</v>
      </c>
      <c r="AV348" s="23">
        <v>0</v>
      </c>
      <c r="AW348" s="23">
        <v>0</v>
      </c>
      <c r="AX348" s="23">
        <v>0</v>
      </c>
      <c r="AY348" s="23">
        <v>0</v>
      </c>
      <c r="AZ348" s="23">
        <v>0</v>
      </c>
      <c r="BA348" s="23">
        <v>0</v>
      </c>
      <c r="BB348" s="23">
        <v>0</v>
      </c>
      <c r="BC348" s="23">
        <v>0</v>
      </c>
      <c r="BD348" s="23">
        <v>0</v>
      </c>
      <c r="BE348" s="23">
        <v>0</v>
      </c>
      <c r="BF348" s="23">
        <v>0</v>
      </c>
      <c r="BG348" s="23">
        <v>1</v>
      </c>
      <c r="BH348" s="23">
        <v>1</v>
      </c>
      <c r="BI348" s="23">
        <v>1</v>
      </c>
      <c r="BJ348" s="23">
        <v>1</v>
      </c>
      <c r="BK348" s="23">
        <v>1</v>
      </c>
      <c r="BL348" s="23">
        <v>1</v>
      </c>
      <c r="BM348" s="23">
        <v>1</v>
      </c>
      <c r="BN348" s="23">
        <v>1</v>
      </c>
      <c r="BO348" s="23">
        <v>1</v>
      </c>
      <c r="BP348" s="23">
        <f t="shared" si="172"/>
        <v>0</v>
      </c>
      <c r="BQ348" s="23">
        <f t="shared" si="173"/>
        <v>0</v>
      </c>
      <c r="BR348" s="23">
        <f t="shared" si="174"/>
        <v>0</v>
      </c>
      <c r="BS348" s="23">
        <f t="shared" si="175"/>
        <v>0</v>
      </c>
      <c r="BT348" s="23">
        <f t="shared" si="176"/>
        <v>0</v>
      </c>
      <c r="BU348" s="23">
        <f t="shared" si="177"/>
        <v>0</v>
      </c>
      <c r="BV348" s="23">
        <f t="shared" si="178"/>
        <v>0</v>
      </c>
      <c r="BW348" s="23">
        <f t="shared" si="179"/>
        <v>0</v>
      </c>
      <c r="BX348" s="23">
        <f t="shared" si="180"/>
        <v>0</v>
      </c>
      <c r="BY348" s="23">
        <f t="shared" si="181"/>
        <v>0</v>
      </c>
      <c r="BZ348" s="23">
        <f t="shared" si="182"/>
        <v>0</v>
      </c>
      <c r="CA348" s="23">
        <f t="shared" si="183"/>
        <v>0</v>
      </c>
      <c r="CB348" s="23">
        <f t="shared" si="184"/>
        <v>0</v>
      </c>
      <c r="CC348" s="23">
        <f t="shared" si="185"/>
        <v>0</v>
      </c>
      <c r="CD348" s="23">
        <f t="shared" si="186"/>
        <v>0</v>
      </c>
      <c r="CE348" s="23">
        <f t="shared" si="187"/>
        <v>0</v>
      </c>
      <c r="CF348" s="23">
        <f t="shared" si="188"/>
        <v>0</v>
      </c>
      <c r="CG348" s="23">
        <f t="shared" si="189"/>
        <v>0</v>
      </c>
      <c r="CH348" s="23">
        <f t="shared" si="190"/>
        <v>0</v>
      </c>
      <c r="CI348" s="23">
        <f t="shared" si="191"/>
        <v>0</v>
      </c>
      <c r="CJ348" s="23">
        <f t="shared" si="192"/>
        <v>0</v>
      </c>
      <c r="CK348" s="23">
        <f t="shared" si="193"/>
        <v>0</v>
      </c>
      <c r="CL348" s="23">
        <f t="shared" si="194"/>
        <v>0</v>
      </c>
      <c r="CM348" s="23">
        <f t="shared" si="195"/>
        <v>0</v>
      </c>
      <c r="CN348" s="23">
        <f t="shared" si="196"/>
        <v>40</v>
      </c>
      <c r="CO348" s="23">
        <f t="shared" si="197"/>
        <v>40</v>
      </c>
      <c r="CP348" s="23">
        <f t="shared" si="198"/>
        <v>40</v>
      </c>
      <c r="CQ348" s="23">
        <f t="shared" si="199"/>
        <v>40</v>
      </c>
      <c r="CR348" s="23">
        <f t="shared" si="200"/>
        <v>40</v>
      </c>
      <c r="CS348" s="23">
        <f t="shared" si="201"/>
        <v>40</v>
      </c>
      <c r="CT348" s="23">
        <f t="shared" si="202"/>
        <v>40</v>
      </c>
      <c r="CU348" s="23">
        <f t="shared" si="203"/>
        <v>40</v>
      </c>
      <c r="CV348" s="23">
        <f t="shared" si="204"/>
        <v>40</v>
      </c>
    </row>
    <row r="349" spans="1:100" ht="13.5">
      <c r="A349" s="39">
        <v>605</v>
      </c>
      <c r="B349" s="40" t="s">
        <v>185</v>
      </c>
      <c r="C349" s="41" t="s">
        <v>180</v>
      </c>
      <c r="D349" s="41"/>
      <c r="E349" s="41"/>
      <c r="F349" s="41" t="s">
        <v>181</v>
      </c>
      <c r="G349" s="41" t="s">
        <v>182</v>
      </c>
      <c r="H349" s="41" t="s">
        <v>183</v>
      </c>
      <c r="I349" s="42" t="s">
        <v>136</v>
      </c>
      <c r="J349" s="42">
        <v>1</v>
      </c>
      <c r="K349" s="41"/>
      <c r="L349" s="39">
        <v>50</v>
      </c>
      <c r="M349" s="43"/>
      <c r="N349" s="43">
        <v>46419</v>
      </c>
      <c r="O349" s="43">
        <v>46416</v>
      </c>
      <c r="P349" s="43">
        <v>46419</v>
      </c>
      <c r="Q349" s="43"/>
      <c r="R349" s="42"/>
      <c r="S349" s="42" t="s">
        <v>182</v>
      </c>
      <c r="T349" s="42"/>
      <c r="U349" s="42" t="s">
        <v>464</v>
      </c>
      <c r="V349" s="42" t="str">
        <f t="shared" si="171"/>
        <v>27/02</v>
      </c>
      <c r="W349">
        <v>1653</v>
      </c>
      <c r="AB349">
        <v>652</v>
      </c>
      <c r="AD349">
        <v>599</v>
      </c>
      <c r="AI349" s="23">
        <v>0</v>
      </c>
      <c r="AJ349" s="23">
        <v>0</v>
      </c>
      <c r="AK349" s="23">
        <v>0</v>
      </c>
      <c r="AL349" s="23">
        <v>0</v>
      </c>
      <c r="AM349" s="23">
        <v>0</v>
      </c>
      <c r="AN349" s="23">
        <v>0</v>
      </c>
      <c r="AO349" s="23">
        <v>0</v>
      </c>
      <c r="AP349" s="23">
        <v>0</v>
      </c>
      <c r="AQ349" s="23">
        <v>0</v>
      </c>
      <c r="AR349" s="23">
        <v>0</v>
      </c>
      <c r="AS349" s="23">
        <v>0</v>
      </c>
      <c r="AT349" s="23">
        <v>0</v>
      </c>
      <c r="AU349" s="23">
        <v>0</v>
      </c>
      <c r="AV349" s="23">
        <v>0</v>
      </c>
      <c r="AW349" s="23">
        <v>0</v>
      </c>
      <c r="AX349" s="23">
        <v>0</v>
      </c>
      <c r="AY349" s="23">
        <v>0</v>
      </c>
      <c r="AZ349" s="23">
        <v>0</v>
      </c>
      <c r="BA349" s="23">
        <v>0</v>
      </c>
      <c r="BB349" s="23">
        <v>0</v>
      </c>
      <c r="BC349" s="23">
        <v>0</v>
      </c>
      <c r="BD349" s="23">
        <v>0</v>
      </c>
      <c r="BE349" s="23">
        <v>0</v>
      </c>
      <c r="BF349" s="23">
        <v>0</v>
      </c>
      <c r="BG349" s="23">
        <v>1</v>
      </c>
      <c r="BH349" s="23">
        <v>1</v>
      </c>
      <c r="BI349" s="23">
        <v>1</v>
      </c>
      <c r="BJ349" s="23">
        <v>1</v>
      </c>
      <c r="BK349" s="23">
        <v>1</v>
      </c>
      <c r="BL349" s="23">
        <v>1</v>
      </c>
      <c r="BM349" s="23">
        <v>1</v>
      </c>
      <c r="BN349" s="23">
        <v>1</v>
      </c>
      <c r="BO349" s="23">
        <v>0</v>
      </c>
      <c r="BP349" s="23">
        <f t="shared" si="172"/>
        <v>0</v>
      </c>
      <c r="BQ349" s="23">
        <f t="shared" si="173"/>
        <v>0</v>
      </c>
      <c r="BR349" s="23">
        <f t="shared" si="174"/>
        <v>0</v>
      </c>
      <c r="BS349" s="23">
        <f t="shared" si="175"/>
        <v>0</v>
      </c>
      <c r="BT349" s="23">
        <f t="shared" si="176"/>
        <v>0</v>
      </c>
      <c r="BU349" s="23">
        <f t="shared" si="177"/>
        <v>0</v>
      </c>
      <c r="BV349" s="23">
        <f t="shared" si="178"/>
        <v>0</v>
      </c>
      <c r="BW349" s="23">
        <f t="shared" si="179"/>
        <v>0</v>
      </c>
      <c r="BX349" s="23">
        <f t="shared" si="180"/>
        <v>0</v>
      </c>
      <c r="BY349" s="23">
        <f t="shared" si="181"/>
        <v>0</v>
      </c>
      <c r="BZ349" s="23">
        <f t="shared" si="182"/>
        <v>0</v>
      </c>
      <c r="CA349" s="23">
        <f t="shared" si="183"/>
        <v>0</v>
      </c>
      <c r="CB349" s="23">
        <f t="shared" si="184"/>
        <v>0</v>
      </c>
      <c r="CC349" s="23">
        <f t="shared" si="185"/>
        <v>0</v>
      </c>
      <c r="CD349" s="23">
        <f t="shared" si="186"/>
        <v>0</v>
      </c>
      <c r="CE349" s="23">
        <f t="shared" si="187"/>
        <v>0</v>
      </c>
      <c r="CF349" s="23">
        <f t="shared" si="188"/>
        <v>0</v>
      </c>
      <c r="CG349" s="23">
        <f t="shared" si="189"/>
        <v>0</v>
      </c>
      <c r="CH349" s="23">
        <f t="shared" si="190"/>
        <v>0</v>
      </c>
      <c r="CI349" s="23">
        <f t="shared" si="191"/>
        <v>0</v>
      </c>
      <c r="CJ349" s="23">
        <f t="shared" si="192"/>
        <v>0</v>
      </c>
      <c r="CK349" s="23">
        <f t="shared" si="193"/>
        <v>0</v>
      </c>
      <c r="CL349" s="23">
        <f t="shared" si="194"/>
        <v>0</v>
      </c>
      <c r="CM349" s="23">
        <f t="shared" si="195"/>
        <v>0</v>
      </c>
      <c r="CN349" s="23">
        <f t="shared" si="196"/>
        <v>50</v>
      </c>
      <c r="CO349" s="23">
        <f t="shared" si="197"/>
        <v>50</v>
      </c>
      <c r="CP349" s="23">
        <f t="shared" si="198"/>
        <v>50</v>
      </c>
      <c r="CQ349" s="23">
        <f t="shared" si="199"/>
        <v>50</v>
      </c>
      <c r="CR349" s="23">
        <f t="shared" si="200"/>
        <v>50</v>
      </c>
      <c r="CS349" s="23">
        <f t="shared" si="201"/>
        <v>50</v>
      </c>
      <c r="CT349" s="23">
        <f t="shared" si="202"/>
        <v>50</v>
      </c>
      <c r="CU349" s="23">
        <f t="shared" si="203"/>
        <v>50</v>
      </c>
      <c r="CV349" s="23">
        <f t="shared" si="204"/>
        <v>0</v>
      </c>
    </row>
    <row r="350" spans="1:100" ht="14.25" thickBot="1">
      <c r="A350" s="31">
        <v>610</v>
      </c>
      <c r="B350" s="32" t="s">
        <v>633</v>
      </c>
      <c r="C350" s="33" t="s">
        <v>580</v>
      </c>
      <c r="D350" s="33"/>
      <c r="E350" s="33" t="s">
        <v>465</v>
      </c>
      <c r="F350" s="33" t="s">
        <v>581</v>
      </c>
      <c r="G350" s="33" t="s">
        <v>465</v>
      </c>
      <c r="H350" s="33" t="s">
        <v>582</v>
      </c>
      <c r="I350" s="34" t="s">
        <v>136</v>
      </c>
      <c r="J350" s="34">
        <v>0</v>
      </c>
      <c r="K350" s="33"/>
      <c r="L350" s="31">
        <v>10</v>
      </c>
      <c r="M350" s="35"/>
      <c r="N350" s="35">
        <v>46442</v>
      </c>
      <c r="O350" s="35">
        <v>46441</v>
      </c>
      <c r="P350" s="35">
        <v>46442</v>
      </c>
      <c r="Q350" s="35"/>
      <c r="R350" s="34"/>
      <c r="S350" s="34" t="s">
        <v>465</v>
      </c>
      <c r="T350" s="34"/>
      <c r="U350" s="34" t="s">
        <v>464</v>
      </c>
      <c r="V350" s="34" t="str">
        <f t="shared" si="171"/>
        <v>27/02</v>
      </c>
      <c r="W350">
        <v>1654</v>
      </c>
      <c r="AA350">
        <v>1005</v>
      </c>
      <c r="AC350">
        <v>1058</v>
      </c>
      <c r="AI350" s="23">
        <v>0</v>
      </c>
      <c r="AJ350" s="23">
        <v>0</v>
      </c>
      <c r="AK350" s="23">
        <v>0</v>
      </c>
      <c r="AL350" s="23">
        <v>0</v>
      </c>
      <c r="AM350" s="23">
        <v>0</v>
      </c>
      <c r="AN350" s="23">
        <v>0</v>
      </c>
      <c r="AO350" s="23">
        <v>0</v>
      </c>
      <c r="AP350" s="23">
        <v>0</v>
      </c>
      <c r="AQ350" s="23">
        <v>0</v>
      </c>
      <c r="AR350" s="23">
        <v>0</v>
      </c>
      <c r="AS350" s="23">
        <v>0</v>
      </c>
      <c r="AT350" s="23">
        <v>0</v>
      </c>
      <c r="AU350" s="23">
        <v>0</v>
      </c>
      <c r="AV350" s="23">
        <v>0</v>
      </c>
      <c r="AW350" s="23">
        <v>0</v>
      </c>
      <c r="AX350" s="23">
        <v>0</v>
      </c>
      <c r="AY350" s="23">
        <v>0</v>
      </c>
      <c r="AZ350" s="23">
        <v>0</v>
      </c>
      <c r="BA350" s="23">
        <v>0</v>
      </c>
      <c r="BB350" s="23">
        <v>0</v>
      </c>
      <c r="BC350" s="23">
        <v>0</v>
      </c>
      <c r="BD350" s="23">
        <v>0</v>
      </c>
      <c r="BE350" s="23">
        <v>0</v>
      </c>
      <c r="BF350" s="23">
        <v>0</v>
      </c>
      <c r="BG350" s="23">
        <v>1</v>
      </c>
      <c r="BH350" s="23">
        <v>1</v>
      </c>
      <c r="BI350" s="23">
        <v>1</v>
      </c>
      <c r="BJ350" s="23">
        <v>1</v>
      </c>
      <c r="BK350" s="23">
        <v>1</v>
      </c>
      <c r="BL350" s="23">
        <v>1</v>
      </c>
      <c r="BM350" s="23">
        <v>1</v>
      </c>
      <c r="BN350" s="23">
        <v>1</v>
      </c>
      <c r="BO350" s="23">
        <v>1</v>
      </c>
      <c r="BP350" s="23">
        <f t="shared" si="172"/>
        <v>0</v>
      </c>
      <c r="BQ350" s="23">
        <f t="shared" si="173"/>
        <v>0</v>
      </c>
      <c r="BR350" s="23">
        <f t="shared" si="174"/>
        <v>0</v>
      </c>
      <c r="BS350" s="23">
        <f t="shared" si="175"/>
        <v>0</v>
      </c>
      <c r="BT350" s="23">
        <f t="shared" si="176"/>
        <v>0</v>
      </c>
      <c r="BU350" s="23">
        <f t="shared" si="177"/>
        <v>0</v>
      </c>
      <c r="BV350" s="23">
        <f t="shared" si="178"/>
        <v>0</v>
      </c>
      <c r="BW350" s="23">
        <f t="shared" si="179"/>
        <v>0</v>
      </c>
      <c r="BX350" s="23">
        <f t="shared" si="180"/>
        <v>0</v>
      </c>
      <c r="BY350" s="23">
        <f t="shared" si="181"/>
        <v>0</v>
      </c>
      <c r="BZ350" s="23">
        <f t="shared" si="182"/>
        <v>0</v>
      </c>
      <c r="CA350" s="23">
        <f t="shared" si="183"/>
        <v>0</v>
      </c>
      <c r="CB350" s="23">
        <f t="shared" si="184"/>
        <v>0</v>
      </c>
      <c r="CC350" s="23">
        <f t="shared" si="185"/>
        <v>0</v>
      </c>
      <c r="CD350" s="23">
        <f t="shared" si="186"/>
        <v>0</v>
      </c>
      <c r="CE350" s="23">
        <f t="shared" si="187"/>
        <v>0</v>
      </c>
      <c r="CF350" s="23">
        <f t="shared" si="188"/>
        <v>0</v>
      </c>
      <c r="CG350" s="23">
        <f t="shared" si="189"/>
        <v>0</v>
      </c>
      <c r="CH350" s="23">
        <f t="shared" si="190"/>
        <v>0</v>
      </c>
      <c r="CI350" s="23">
        <f t="shared" si="191"/>
        <v>0</v>
      </c>
      <c r="CJ350" s="23">
        <f t="shared" si="192"/>
        <v>0</v>
      </c>
      <c r="CK350" s="23">
        <f t="shared" si="193"/>
        <v>0</v>
      </c>
      <c r="CL350" s="23">
        <f t="shared" si="194"/>
        <v>0</v>
      </c>
      <c r="CM350" s="23">
        <f t="shared" si="195"/>
        <v>0</v>
      </c>
      <c r="CN350" s="23">
        <f t="shared" si="196"/>
        <v>10</v>
      </c>
      <c r="CO350" s="23">
        <f t="shared" si="197"/>
        <v>10</v>
      </c>
      <c r="CP350" s="23">
        <f t="shared" si="198"/>
        <v>10</v>
      </c>
      <c r="CQ350" s="23">
        <f t="shared" si="199"/>
        <v>10</v>
      </c>
      <c r="CR350" s="23">
        <f t="shared" si="200"/>
        <v>10</v>
      </c>
      <c r="CS350" s="23">
        <f t="shared" si="201"/>
        <v>10</v>
      </c>
      <c r="CT350" s="23">
        <f t="shared" si="202"/>
        <v>10</v>
      </c>
      <c r="CU350" s="23">
        <f t="shared" si="203"/>
        <v>10</v>
      </c>
      <c r="CV350" s="23">
        <f t="shared" si="204"/>
        <v>10</v>
      </c>
    </row>
    <row r="351" spans="1:100" ht="14.25" thickTop="1">
      <c r="A351" s="15">
        <v>9</v>
      </c>
      <c r="B351" s="27" t="s">
        <v>634</v>
      </c>
      <c r="C351" t="s">
        <v>635</v>
      </c>
      <c r="D351" t="s">
        <v>636</v>
      </c>
      <c r="E351" t="s">
        <v>637</v>
      </c>
      <c r="F351" t="s">
        <v>638</v>
      </c>
      <c r="G351" t="s">
        <v>637</v>
      </c>
      <c r="H351" t="s">
        <v>639</v>
      </c>
      <c r="I351" s="6" t="s">
        <v>640</v>
      </c>
      <c r="J351" s="6">
        <v>1</v>
      </c>
      <c r="L351" s="15">
        <v>5</v>
      </c>
      <c r="M351" s="7">
        <v>46001</v>
      </c>
      <c r="N351" s="7">
        <v>46044</v>
      </c>
      <c r="O351" s="7">
        <v>46044</v>
      </c>
      <c r="P351" s="7">
        <v>46044</v>
      </c>
      <c r="Q351" s="28" t="str">
        <f t="shared" ref="Q351:Q382" si="205">IF(L351=T351,"OK","NG")</f>
        <v>OK</v>
      </c>
      <c r="R351" s="6" t="s">
        <v>641</v>
      </c>
      <c r="S351" s="6" t="str">
        <f t="shared" ref="S351:S382" si="206">RIGHT(G351,6)</f>
        <v>LAA101</v>
      </c>
      <c r="T351" s="6">
        <v>5</v>
      </c>
      <c r="U351" s="6" t="s">
        <v>642</v>
      </c>
      <c r="V351" s="6" t="str">
        <f t="shared" si="171"/>
        <v>26/01</v>
      </c>
      <c r="AI351" s="23">
        <v>1</v>
      </c>
      <c r="AJ351" s="23">
        <v>0</v>
      </c>
      <c r="AK351" s="23">
        <v>0</v>
      </c>
      <c r="AL351" s="23">
        <v>0</v>
      </c>
      <c r="AM351" s="23">
        <v>0</v>
      </c>
      <c r="AN351" s="23">
        <v>0</v>
      </c>
      <c r="AO351" s="23">
        <v>0</v>
      </c>
      <c r="AP351" s="23">
        <v>0</v>
      </c>
      <c r="AQ351" s="23">
        <v>0</v>
      </c>
      <c r="AR351" s="23">
        <v>0</v>
      </c>
      <c r="AS351" s="23">
        <v>0</v>
      </c>
      <c r="AT351" s="23">
        <v>0</v>
      </c>
      <c r="AU351" s="23">
        <v>0</v>
      </c>
      <c r="AV351" s="23">
        <v>0</v>
      </c>
      <c r="AW351" s="23">
        <v>0</v>
      </c>
      <c r="AX351" s="23">
        <v>0</v>
      </c>
      <c r="AY351" s="23">
        <v>0</v>
      </c>
      <c r="AZ351" s="23">
        <v>0</v>
      </c>
      <c r="BA351" s="23">
        <v>0</v>
      </c>
      <c r="BB351" s="23">
        <v>0</v>
      </c>
      <c r="BC351" s="23">
        <v>0</v>
      </c>
      <c r="BD351" s="23">
        <v>0</v>
      </c>
      <c r="BE351" s="23">
        <v>0</v>
      </c>
      <c r="BF351" s="23">
        <v>0</v>
      </c>
      <c r="BG351" s="23">
        <v>0</v>
      </c>
      <c r="BH351" s="23">
        <v>0</v>
      </c>
      <c r="BI351" s="23">
        <v>0</v>
      </c>
      <c r="BJ351" s="23">
        <v>0</v>
      </c>
      <c r="BK351" s="23">
        <v>0</v>
      </c>
      <c r="BL351" s="23">
        <v>0</v>
      </c>
      <c r="BM351" s="23">
        <v>0</v>
      </c>
      <c r="BN351" s="23">
        <v>0</v>
      </c>
      <c r="BO351" s="23">
        <v>0</v>
      </c>
      <c r="BP351" s="23">
        <f t="shared" si="172"/>
        <v>5</v>
      </c>
      <c r="BQ351" s="23">
        <f t="shared" si="173"/>
        <v>0</v>
      </c>
      <c r="BR351" s="23">
        <f t="shared" si="174"/>
        <v>0</v>
      </c>
      <c r="BS351" s="23">
        <f t="shared" si="175"/>
        <v>0</v>
      </c>
      <c r="BT351" s="23">
        <f t="shared" si="176"/>
        <v>0</v>
      </c>
      <c r="BU351" s="23">
        <f t="shared" si="177"/>
        <v>0</v>
      </c>
      <c r="BV351" s="23">
        <f t="shared" si="178"/>
        <v>0</v>
      </c>
      <c r="BW351" s="23">
        <f t="shared" si="179"/>
        <v>0</v>
      </c>
      <c r="BX351" s="23">
        <f t="shared" si="180"/>
        <v>0</v>
      </c>
      <c r="BY351" s="23">
        <f t="shared" si="181"/>
        <v>0</v>
      </c>
      <c r="BZ351" s="23">
        <f t="shared" si="182"/>
        <v>0</v>
      </c>
      <c r="CA351" s="23">
        <f t="shared" si="183"/>
        <v>0</v>
      </c>
      <c r="CB351" s="23">
        <f t="shared" si="184"/>
        <v>0</v>
      </c>
      <c r="CC351" s="23">
        <f t="shared" si="185"/>
        <v>0</v>
      </c>
      <c r="CD351" s="23">
        <f t="shared" si="186"/>
        <v>0</v>
      </c>
      <c r="CE351" s="23">
        <f t="shared" si="187"/>
        <v>0</v>
      </c>
      <c r="CF351" s="23">
        <f t="shared" si="188"/>
        <v>0</v>
      </c>
      <c r="CG351" s="23">
        <f t="shared" si="189"/>
        <v>0</v>
      </c>
      <c r="CH351" s="23">
        <f t="shared" si="190"/>
        <v>0</v>
      </c>
      <c r="CI351" s="23">
        <f t="shared" si="191"/>
        <v>0</v>
      </c>
      <c r="CJ351" s="23">
        <f t="shared" si="192"/>
        <v>0</v>
      </c>
      <c r="CK351" s="23">
        <f t="shared" si="193"/>
        <v>0</v>
      </c>
      <c r="CL351" s="23">
        <f t="shared" si="194"/>
        <v>0</v>
      </c>
      <c r="CM351" s="23">
        <f t="shared" si="195"/>
        <v>0</v>
      </c>
      <c r="CN351" s="23">
        <f t="shared" si="196"/>
        <v>0</v>
      </c>
      <c r="CO351" s="23">
        <f t="shared" si="197"/>
        <v>0</v>
      </c>
      <c r="CP351" s="23">
        <f t="shared" si="198"/>
        <v>0</v>
      </c>
      <c r="CQ351" s="23">
        <f t="shared" si="199"/>
        <v>0</v>
      </c>
      <c r="CR351" s="23">
        <f t="shared" si="200"/>
        <v>0</v>
      </c>
      <c r="CS351" s="23">
        <f t="shared" si="201"/>
        <v>0</v>
      </c>
      <c r="CT351" s="23">
        <f t="shared" si="202"/>
        <v>0</v>
      </c>
      <c r="CU351" s="23">
        <f t="shared" si="203"/>
        <v>0</v>
      </c>
      <c r="CV351" s="23">
        <f t="shared" si="204"/>
        <v>0</v>
      </c>
    </row>
    <row r="352" spans="1:100" ht="13.5">
      <c r="A352" s="15">
        <v>2</v>
      </c>
      <c r="B352" s="27" t="s">
        <v>643</v>
      </c>
      <c r="C352" t="s">
        <v>644</v>
      </c>
      <c r="D352" t="s">
        <v>645</v>
      </c>
      <c r="E352" t="s">
        <v>637</v>
      </c>
      <c r="F352" t="s">
        <v>638</v>
      </c>
      <c r="G352" t="s">
        <v>637</v>
      </c>
      <c r="H352" t="s">
        <v>639</v>
      </c>
      <c r="I352" s="6" t="s">
        <v>640</v>
      </c>
      <c r="J352" s="6">
        <v>0</v>
      </c>
      <c r="L352" s="15">
        <v>1</v>
      </c>
      <c r="M352" s="7">
        <v>46010</v>
      </c>
      <c r="N352" s="7">
        <v>46044</v>
      </c>
      <c r="O352" s="7">
        <v>46044</v>
      </c>
      <c r="P352" s="7">
        <v>46044</v>
      </c>
      <c r="Q352" s="28" t="str">
        <f t="shared" si="205"/>
        <v>OK</v>
      </c>
      <c r="R352" s="6" t="s">
        <v>646</v>
      </c>
      <c r="S352" s="6" t="str">
        <f t="shared" si="206"/>
        <v>LAA101</v>
      </c>
      <c r="T352" s="6">
        <v>1</v>
      </c>
      <c r="U352" s="6" t="s">
        <v>642</v>
      </c>
      <c r="V352" s="6" t="str">
        <f t="shared" si="171"/>
        <v>26/01</v>
      </c>
      <c r="AI352" s="23">
        <v>1</v>
      </c>
      <c r="AJ352" s="23">
        <v>0</v>
      </c>
      <c r="AK352" s="23">
        <v>0</v>
      </c>
      <c r="AL352" s="23">
        <v>0</v>
      </c>
      <c r="AM352" s="23">
        <v>0</v>
      </c>
      <c r="AN352" s="23">
        <v>0</v>
      </c>
      <c r="AO352" s="23">
        <v>0</v>
      </c>
      <c r="AP352" s="23">
        <v>0</v>
      </c>
      <c r="AQ352" s="23">
        <v>0</v>
      </c>
      <c r="AR352" s="23">
        <v>0</v>
      </c>
      <c r="AS352" s="23">
        <v>0</v>
      </c>
      <c r="AT352" s="23">
        <v>0</v>
      </c>
      <c r="AU352" s="23">
        <v>0</v>
      </c>
      <c r="AV352" s="23">
        <v>0</v>
      </c>
      <c r="AW352" s="23">
        <v>0</v>
      </c>
      <c r="AX352" s="23">
        <v>0</v>
      </c>
      <c r="AY352" s="23">
        <v>0</v>
      </c>
      <c r="AZ352" s="23">
        <v>0</v>
      </c>
      <c r="BA352" s="23">
        <v>0</v>
      </c>
      <c r="BB352" s="23">
        <v>0</v>
      </c>
      <c r="BC352" s="23">
        <v>0</v>
      </c>
      <c r="BD352" s="23">
        <v>0</v>
      </c>
      <c r="BE352" s="23">
        <v>0</v>
      </c>
      <c r="BF352" s="23">
        <v>0</v>
      </c>
      <c r="BG352" s="23">
        <v>0</v>
      </c>
      <c r="BH352" s="23">
        <v>0</v>
      </c>
      <c r="BI352" s="23">
        <v>0</v>
      </c>
      <c r="BJ352" s="23">
        <v>0</v>
      </c>
      <c r="BK352" s="23">
        <v>0</v>
      </c>
      <c r="BL352" s="23">
        <v>0</v>
      </c>
      <c r="BM352" s="23">
        <v>0</v>
      </c>
      <c r="BN352" s="23">
        <v>0</v>
      </c>
      <c r="BO352" s="23">
        <v>0</v>
      </c>
      <c r="BP352" s="23">
        <f t="shared" si="172"/>
        <v>1</v>
      </c>
      <c r="BQ352" s="23">
        <f t="shared" si="173"/>
        <v>0</v>
      </c>
      <c r="BR352" s="23">
        <f t="shared" si="174"/>
        <v>0</v>
      </c>
      <c r="BS352" s="23">
        <f t="shared" si="175"/>
        <v>0</v>
      </c>
      <c r="BT352" s="23">
        <f t="shared" si="176"/>
        <v>0</v>
      </c>
      <c r="BU352" s="23">
        <f t="shared" si="177"/>
        <v>0</v>
      </c>
      <c r="BV352" s="23">
        <f t="shared" si="178"/>
        <v>0</v>
      </c>
      <c r="BW352" s="23">
        <f t="shared" si="179"/>
        <v>0</v>
      </c>
      <c r="BX352" s="23">
        <f t="shared" si="180"/>
        <v>0</v>
      </c>
      <c r="BY352" s="23">
        <f t="shared" si="181"/>
        <v>0</v>
      </c>
      <c r="BZ352" s="23">
        <f t="shared" si="182"/>
        <v>0</v>
      </c>
      <c r="CA352" s="23">
        <f t="shared" si="183"/>
        <v>0</v>
      </c>
      <c r="CB352" s="23">
        <f t="shared" si="184"/>
        <v>0</v>
      </c>
      <c r="CC352" s="23">
        <f t="shared" si="185"/>
        <v>0</v>
      </c>
      <c r="CD352" s="23">
        <f t="shared" si="186"/>
        <v>0</v>
      </c>
      <c r="CE352" s="23">
        <f t="shared" si="187"/>
        <v>0</v>
      </c>
      <c r="CF352" s="23">
        <f t="shared" si="188"/>
        <v>0</v>
      </c>
      <c r="CG352" s="23">
        <f t="shared" si="189"/>
        <v>0</v>
      </c>
      <c r="CH352" s="23">
        <f t="shared" si="190"/>
        <v>0</v>
      </c>
      <c r="CI352" s="23">
        <f t="shared" si="191"/>
        <v>0</v>
      </c>
      <c r="CJ352" s="23">
        <f t="shared" si="192"/>
        <v>0</v>
      </c>
      <c r="CK352" s="23">
        <f t="shared" si="193"/>
        <v>0</v>
      </c>
      <c r="CL352" s="23">
        <f t="shared" si="194"/>
        <v>0</v>
      </c>
      <c r="CM352" s="23">
        <f t="shared" si="195"/>
        <v>0</v>
      </c>
      <c r="CN352" s="23">
        <f t="shared" si="196"/>
        <v>0</v>
      </c>
      <c r="CO352" s="23">
        <f t="shared" si="197"/>
        <v>0</v>
      </c>
      <c r="CP352" s="23">
        <f t="shared" si="198"/>
        <v>0</v>
      </c>
      <c r="CQ352" s="23">
        <f t="shared" si="199"/>
        <v>0</v>
      </c>
      <c r="CR352" s="23">
        <f t="shared" si="200"/>
        <v>0</v>
      </c>
      <c r="CS352" s="23">
        <f t="shared" si="201"/>
        <v>0</v>
      </c>
      <c r="CT352" s="23">
        <f t="shared" si="202"/>
        <v>0</v>
      </c>
      <c r="CU352" s="23">
        <f t="shared" si="203"/>
        <v>0</v>
      </c>
      <c r="CV352" s="23">
        <f t="shared" si="204"/>
        <v>0</v>
      </c>
    </row>
    <row r="353" spans="1:100" ht="13.5">
      <c r="A353" s="15">
        <v>14</v>
      </c>
      <c r="B353" s="27" t="s">
        <v>647</v>
      </c>
      <c r="C353" t="s">
        <v>635</v>
      </c>
      <c r="D353" t="s">
        <v>636</v>
      </c>
      <c r="E353" t="s">
        <v>637</v>
      </c>
      <c r="F353" t="s">
        <v>638</v>
      </c>
      <c r="G353" t="s">
        <v>637</v>
      </c>
      <c r="H353" t="s">
        <v>639</v>
      </c>
      <c r="I353" s="6" t="s">
        <v>640</v>
      </c>
      <c r="J353" s="6">
        <v>1</v>
      </c>
      <c r="L353" s="15">
        <v>5</v>
      </c>
      <c r="M353" s="7">
        <v>46001</v>
      </c>
      <c r="N353" s="7">
        <v>46045</v>
      </c>
      <c r="O353" s="7">
        <v>46045</v>
      </c>
      <c r="P353" s="7">
        <v>46045</v>
      </c>
      <c r="Q353" s="28" t="str">
        <f t="shared" si="205"/>
        <v>OK</v>
      </c>
      <c r="R353" s="6" t="s">
        <v>648</v>
      </c>
      <c r="S353" s="6" t="str">
        <f t="shared" si="206"/>
        <v>LAA101</v>
      </c>
      <c r="T353" s="6">
        <v>5</v>
      </c>
      <c r="U353" s="6" t="s">
        <v>642</v>
      </c>
      <c r="V353" s="6" t="str">
        <f t="shared" si="171"/>
        <v>26/01</v>
      </c>
      <c r="AI353" s="23">
        <v>1</v>
      </c>
      <c r="AJ353" s="23">
        <v>0</v>
      </c>
      <c r="AK353" s="23">
        <v>0</v>
      </c>
      <c r="AL353" s="23">
        <v>0</v>
      </c>
      <c r="AM353" s="23">
        <v>0</v>
      </c>
      <c r="AN353" s="23">
        <v>0</v>
      </c>
      <c r="AO353" s="23">
        <v>0</v>
      </c>
      <c r="AP353" s="23">
        <v>0</v>
      </c>
      <c r="AQ353" s="23">
        <v>0</v>
      </c>
      <c r="AR353" s="23">
        <v>0</v>
      </c>
      <c r="AS353" s="23">
        <v>0</v>
      </c>
      <c r="AT353" s="23">
        <v>0</v>
      </c>
      <c r="AU353" s="23">
        <v>0</v>
      </c>
      <c r="AV353" s="23">
        <v>0</v>
      </c>
      <c r="AW353" s="23">
        <v>0</v>
      </c>
      <c r="AX353" s="23">
        <v>0</v>
      </c>
      <c r="AY353" s="23">
        <v>0</v>
      </c>
      <c r="AZ353" s="23">
        <v>0</v>
      </c>
      <c r="BA353" s="23">
        <v>0</v>
      </c>
      <c r="BB353" s="23">
        <v>0</v>
      </c>
      <c r="BC353" s="23">
        <v>0</v>
      </c>
      <c r="BD353" s="23">
        <v>0</v>
      </c>
      <c r="BE353" s="23">
        <v>0</v>
      </c>
      <c r="BF353" s="23">
        <v>0</v>
      </c>
      <c r="BG353" s="23">
        <v>0</v>
      </c>
      <c r="BH353" s="23">
        <v>0</v>
      </c>
      <c r="BI353" s="23">
        <v>0</v>
      </c>
      <c r="BJ353" s="23">
        <v>0</v>
      </c>
      <c r="BK353" s="23">
        <v>0</v>
      </c>
      <c r="BL353" s="23">
        <v>0</v>
      </c>
      <c r="BM353" s="23">
        <v>0</v>
      </c>
      <c r="BN353" s="23">
        <v>0</v>
      </c>
      <c r="BO353" s="23">
        <v>0</v>
      </c>
      <c r="BP353" s="23">
        <f t="shared" si="172"/>
        <v>5</v>
      </c>
      <c r="BQ353" s="23">
        <f t="shared" si="173"/>
        <v>0</v>
      </c>
      <c r="BR353" s="23">
        <f t="shared" si="174"/>
        <v>0</v>
      </c>
      <c r="BS353" s="23">
        <f t="shared" si="175"/>
        <v>0</v>
      </c>
      <c r="BT353" s="23">
        <f t="shared" si="176"/>
        <v>0</v>
      </c>
      <c r="BU353" s="23">
        <f t="shared" si="177"/>
        <v>0</v>
      </c>
      <c r="BV353" s="23">
        <f t="shared" si="178"/>
        <v>0</v>
      </c>
      <c r="BW353" s="23">
        <f t="shared" si="179"/>
        <v>0</v>
      </c>
      <c r="BX353" s="23">
        <f t="shared" si="180"/>
        <v>0</v>
      </c>
      <c r="BY353" s="23">
        <f t="shared" si="181"/>
        <v>0</v>
      </c>
      <c r="BZ353" s="23">
        <f t="shared" si="182"/>
        <v>0</v>
      </c>
      <c r="CA353" s="23">
        <f t="shared" si="183"/>
        <v>0</v>
      </c>
      <c r="CB353" s="23">
        <f t="shared" si="184"/>
        <v>0</v>
      </c>
      <c r="CC353" s="23">
        <f t="shared" si="185"/>
        <v>0</v>
      </c>
      <c r="CD353" s="23">
        <f t="shared" si="186"/>
        <v>0</v>
      </c>
      <c r="CE353" s="23">
        <f t="shared" si="187"/>
        <v>0</v>
      </c>
      <c r="CF353" s="23">
        <f t="shared" si="188"/>
        <v>0</v>
      </c>
      <c r="CG353" s="23">
        <f t="shared" si="189"/>
        <v>0</v>
      </c>
      <c r="CH353" s="23">
        <f t="shared" si="190"/>
        <v>0</v>
      </c>
      <c r="CI353" s="23">
        <f t="shared" si="191"/>
        <v>0</v>
      </c>
      <c r="CJ353" s="23">
        <f t="shared" si="192"/>
        <v>0</v>
      </c>
      <c r="CK353" s="23">
        <f t="shared" si="193"/>
        <v>0</v>
      </c>
      <c r="CL353" s="23">
        <f t="shared" si="194"/>
        <v>0</v>
      </c>
      <c r="CM353" s="23">
        <f t="shared" si="195"/>
        <v>0</v>
      </c>
      <c r="CN353" s="23">
        <f t="shared" si="196"/>
        <v>0</v>
      </c>
      <c r="CO353" s="23">
        <f t="shared" si="197"/>
        <v>0</v>
      </c>
      <c r="CP353" s="23">
        <f t="shared" si="198"/>
        <v>0</v>
      </c>
      <c r="CQ353" s="23">
        <f t="shared" si="199"/>
        <v>0</v>
      </c>
      <c r="CR353" s="23">
        <f t="shared" si="200"/>
        <v>0</v>
      </c>
      <c r="CS353" s="23">
        <f t="shared" si="201"/>
        <v>0</v>
      </c>
      <c r="CT353" s="23">
        <f t="shared" si="202"/>
        <v>0</v>
      </c>
      <c r="CU353" s="23">
        <f t="shared" si="203"/>
        <v>0</v>
      </c>
      <c r="CV353" s="23">
        <f t="shared" si="204"/>
        <v>0</v>
      </c>
    </row>
    <row r="354" spans="1:100" ht="13.5">
      <c r="A354" s="15">
        <v>18</v>
      </c>
      <c r="B354" s="27" t="s">
        <v>649</v>
      </c>
      <c r="C354" t="s">
        <v>635</v>
      </c>
      <c r="D354" t="s">
        <v>636</v>
      </c>
      <c r="E354" t="s">
        <v>637</v>
      </c>
      <c r="F354" t="s">
        <v>638</v>
      </c>
      <c r="G354" t="s">
        <v>637</v>
      </c>
      <c r="H354" t="s">
        <v>639</v>
      </c>
      <c r="I354" s="6" t="s">
        <v>640</v>
      </c>
      <c r="J354" s="6">
        <v>1</v>
      </c>
      <c r="L354" s="15">
        <v>4</v>
      </c>
      <c r="M354" s="7">
        <v>46001</v>
      </c>
      <c r="N354" s="7">
        <v>46048</v>
      </c>
      <c r="O354" s="7">
        <v>46048</v>
      </c>
      <c r="P354" s="7">
        <v>46048</v>
      </c>
      <c r="Q354" s="28" t="str">
        <f t="shared" si="205"/>
        <v>OK</v>
      </c>
      <c r="R354" s="6" t="s">
        <v>650</v>
      </c>
      <c r="S354" s="6" t="str">
        <f t="shared" si="206"/>
        <v>LAA101</v>
      </c>
      <c r="T354" s="6">
        <v>4</v>
      </c>
      <c r="U354" s="6" t="s">
        <v>642</v>
      </c>
      <c r="V354" s="6" t="str">
        <f t="shared" si="171"/>
        <v>26/01</v>
      </c>
      <c r="AI354" s="23">
        <v>1</v>
      </c>
      <c r="AJ354" s="23">
        <v>0</v>
      </c>
      <c r="AK354" s="23">
        <v>0</v>
      </c>
      <c r="AL354" s="23">
        <v>0</v>
      </c>
      <c r="AM354" s="23">
        <v>0</v>
      </c>
      <c r="AN354" s="23">
        <v>0</v>
      </c>
      <c r="AO354" s="23">
        <v>0</v>
      </c>
      <c r="AP354" s="23">
        <v>0</v>
      </c>
      <c r="AQ354" s="23">
        <v>0</v>
      </c>
      <c r="AR354" s="23">
        <v>0</v>
      </c>
      <c r="AS354" s="23">
        <v>0</v>
      </c>
      <c r="AT354" s="23">
        <v>0</v>
      </c>
      <c r="AU354" s="23">
        <v>0</v>
      </c>
      <c r="AV354" s="23">
        <v>0</v>
      </c>
      <c r="AW354" s="23">
        <v>0</v>
      </c>
      <c r="AX354" s="23">
        <v>0</v>
      </c>
      <c r="AY354" s="23">
        <v>0</v>
      </c>
      <c r="AZ354" s="23">
        <v>0</v>
      </c>
      <c r="BA354" s="23">
        <v>0</v>
      </c>
      <c r="BB354" s="23">
        <v>0</v>
      </c>
      <c r="BC354" s="23">
        <v>0</v>
      </c>
      <c r="BD354" s="23">
        <v>0</v>
      </c>
      <c r="BE354" s="23">
        <v>0</v>
      </c>
      <c r="BF354" s="23">
        <v>0</v>
      </c>
      <c r="BG354" s="23">
        <v>0</v>
      </c>
      <c r="BH354" s="23">
        <v>0</v>
      </c>
      <c r="BI354" s="23">
        <v>0</v>
      </c>
      <c r="BJ354" s="23">
        <v>0</v>
      </c>
      <c r="BK354" s="23">
        <v>0</v>
      </c>
      <c r="BL354" s="23">
        <v>0</v>
      </c>
      <c r="BM354" s="23">
        <v>0</v>
      </c>
      <c r="BN354" s="23">
        <v>0</v>
      </c>
      <c r="BO354" s="23">
        <v>0</v>
      </c>
      <c r="BP354" s="23">
        <f t="shared" si="172"/>
        <v>4</v>
      </c>
      <c r="BQ354" s="23">
        <f t="shared" si="173"/>
        <v>0</v>
      </c>
      <c r="BR354" s="23">
        <f t="shared" si="174"/>
        <v>0</v>
      </c>
      <c r="BS354" s="23">
        <f t="shared" si="175"/>
        <v>0</v>
      </c>
      <c r="BT354" s="23">
        <f t="shared" si="176"/>
        <v>0</v>
      </c>
      <c r="BU354" s="23">
        <f t="shared" si="177"/>
        <v>0</v>
      </c>
      <c r="BV354" s="23">
        <f t="shared" si="178"/>
        <v>0</v>
      </c>
      <c r="BW354" s="23">
        <f t="shared" si="179"/>
        <v>0</v>
      </c>
      <c r="BX354" s="23">
        <f t="shared" si="180"/>
        <v>0</v>
      </c>
      <c r="BY354" s="23">
        <f t="shared" si="181"/>
        <v>0</v>
      </c>
      <c r="BZ354" s="23">
        <f t="shared" si="182"/>
        <v>0</v>
      </c>
      <c r="CA354" s="23">
        <f t="shared" si="183"/>
        <v>0</v>
      </c>
      <c r="CB354" s="23">
        <f t="shared" si="184"/>
        <v>0</v>
      </c>
      <c r="CC354" s="23">
        <f t="shared" si="185"/>
        <v>0</v>
      </c>
      <c r="CD354" s="23">
        <f t="shared" si="186"/>
        <v>0</v>
      </c>
      <c r="CE354" s="23">
        <f t="shared" si="187"/>
        <v>0</v>
      </c>
      <c r="CF354" s="23">
        <f t="shared" si="188"/>
        <v>0</v>
      </c>
      <c r="CG354" s="23">
        <f t="shared" si="189"/>
        <v>0</v>
      </c>
      <c r="CH354" s="23">
        <f t="shared" si="190"/>
        <v>0</v>
      </c>
      <c r="CI354" s="23">
        <f t="shared" si="191"/>
        <v>0</v>
      </c>
      <c r="CJ354" s="23">
        <f t="shared" si="192"/>
        <v>0</v>
      </c>
      <c r="CK354" s="23">
        <f t="shared" si="193"/>
        <v>0</v>
      </c>
      <c r="CL354" s="23">
        <f t="shared" si="194"/>
        <v>0</v>
      </c>
      <c r="CM354" s="23">
        <f t="shared" si="195"/>
        <v>0</v>
      </c>
      <c r="CN354" s="23">
        <f t="shared" si="196"/>
        <v>0</v>
      </c>
      <c r="CO354" s="23">
        <f t="shared" si="197"/>
        <v>0</v>
      </c>
      <c r="CP354" s="23">
        <f t="shared" si="198"/>
        <v>0</v>
      </c>
      <c r="CQ354" s="23">
        <f t="shared" si="199"/>
        <v>0</v>
      </c>
      <c r="CR354" s="23">
        <f t="shared" si="200"/>
        <v>0</v>
      </c>
      <c r="CS354" s="23">
        <f t="shared" si="201"/>
        <v>0</v>
      </c>
      <c r="CT354" s="23">
        <f t="shared" si="202"/>
        <v>0</v>
      </c>
      <c r="CU354" s="23">
        <f t="shared" si="203"/>
        <v>0</v>
      </c>
      <c r="CV354" s="23">
        <f t="shared" si="204"/>
        <v>0</v>
      </c>
    </row>
    <row r="355" spans="1:100" ht="13.5">
      <c r="A355" s="15">
        <v>22</v>
      </c>
      <c r="B355" s="27" t="s">
        <v>651</v>
      </c>
      <c r="C355" t="s">
        <v>635</v>
      </c>
      <c r="D355" t="s">
        <v>636</v>
      </c>
      <c r="E355" t="s">
        <v>637</v>
      </c>
      <c r="F355" t="s">
        <v>638</v>
      </c>
      <c r="G355" t="s">
        <v>637</v>
      </c>
      <c r="H355" t="s">
        <v>639</v>
      </c>
      <c r="I355" s="6" t="s">
        <v>640</v>
      </c>
      <c r="J355" s="6">
        <v>1</v>
      </c>
      <c r="L355" s="15">
        <v>4</v>
      </c>
      <c r="M355" s="7">
        <v>46001</v>
      </c>
      <c r="N355" s="7">
        <v>46049</v>
      </c>
      <c r="O355" s="7">
        <v>46049</v>
      </c>
      <c r="P355" s="7">
        <v>46049</v>
      </c>
      <c r="Q355" s="28" t="str">
        <f t="shared" si="205"/>
        <v>OK</v>
      </c>
      <c r="R355" s="6" t="s">
        <v>652</v>
      </c>
      <c r="S355" s="6" t="str">
        <f t="shared" si="206"/>
        <v>LAA101</v>
      </c>
      <c r="T355" s="6">
        <v>4</v>
      </c>
      <c r="U355" s="6" t="s">
        <v>642</v>
      </c>
      <c r="V355" s="6" t="str">
        <f t="shared" si="171"/>
        <v>26/01</v>
      </c>
      <c r="AI355" s="23">
        <v>1</v>
      </c>
      <c r="AJ355" s="23">
        <v>0</v>
      </c>
      <c r="AK355" s="23">
        <v>0</v>
      </c>
      <c r="AL355" s="23">
        <v>0</v>
      </c>
      <c r="AM355" s="23">
        <v>0</v>
      </c>
      <c r="AN355" s="23">
        <v>0</v>
      </c>
      <c r="AO355" s="23">
        <v>0</v>
      </c>
      <c r="AP355" s="23">
        <v>0</v>
      </c>
      <c r="AQ355" s="23">
        <v>0</v>
      </c>
      <c r="AR355" s="23">
        <v>0</v>
      </c>
      <c r="AS355" s="23">
        <v>0</v>
      </c>
      <c r="AT355" s="23">
        <v>0</v>
      </c>
      <c r="AU355" s="23">
        <v>0</v>
      </c>
      <c r="AV355" s="23">
        <v>0</v>
      </c>
      <c r="AW355" s="23">
        <v>0</v>
      </c>
      <c r="AX355" s="23">
        <v>0</v>
      </c>
      <c r="AY355" s="23">
        <v>0</v>
      </c>
      <c r="AZ355" s="23">
        <v>0</v>
      </c>
      <c r="BA355" s="23">
        <v>0</v>
      </c>
      <c r="BB355" s="23">
        <v>0</v>
      </c>
      <c r="BC355" s="23">
        <v>0</v>
      </c>
      <c r="BD355" s="23">
        <v>0</v>
      </c>
      <c r="BE355" s="23">
        <v>0</v>
      </c>
      <c r="BF355" s="23">
        <v>0</v>
      </c>
      <c r="BG355" s="23">
        <v>0</v>
      </c>
      <c r="BH355" s="23">
        <v>0</v>
      </c>
      <c r="BI355" s="23">
        <v>0</v>
      </c>
      <c r="BJ355" s="23">
        <v>0</v>
      </c>
      <c r="BK355" s="23">
        <v>0</v>
      </c>
      <c r="BL355" s="23">
        <v>0</v>
      </c>
      <c r="BM355" s="23">
        <v>0</v>
      </c>
      <c r="BN355" s="23">
        <v>0</v>
      </c>
      <c r="BO355" s="23">
        <v>0</v>
      </c>
      <c r="BP355" s="23">
        <f t="shared" si="172"/>
        <v>4</v>
      </c>
      <c r="BQ355" s="23">
        <f t="shared" si="173"/>
        <v>0</v>
      </c>
      <c r="BR355" s="23">
        <f t="shared" si="174"/>
        <v>0</v>
      </c>
      <c r="BS355" s="23">
        <f t="shared" si="175"/>
        <v>0</v>
      </c>
      <c r="BT355" s="23">
        <f t="shared" si="176"/>
        <v>0</v>
      </c>
      <c r="BU355" s="23">
        <f t="shared" si="177"/>
        <v>0</v>
      </c>
      <c r="BV355" s="23">
        <f t="shared" si="178"/>
        <v>0</v>
      </c>
      <c r="BW355" s="23">
        <f t="shared" si="179"/>
        <v>0</v>
      </c>
      <c r="BX355" s="23">
        <f t="shared" si="180"/>
        <v>0</v>
      </c>
      <c r="BY355" s="23">
        <f t="shared" si="181"/>
        <v>0</v>
      </c>
      <c r="BZ355" s="23">
        <f t="shared" si="182"/>
        <v>0</v>
      </c>
      <c r="CA355" s="23">
        <f t="shared" si="183"/>
        <v>0</v>
      </c>
      <c r="CB355" s="23">
        <f t="shared" si="184"/>
        <v>0</v>
      </c>
      <c r="CC355" s="23">
        <f t="shared" si="185"/>
        <v>0</v>
      </c>
      <c r="CD355" s="23">
        <f t="shared" si="186"/>
        <v>0</v>
      </c>
      <c r="CE355" s="23">
        <f t="shared" si="187"/>
        <v>0</v>
      </c>
      <c r="CF355" s="23">
        <f t="shared" si="188"/>
        <v>0</v>
      </c>
      <c r="CG355" s="23">
        <f t="shared" si="189"/>
        <v>0</v>
      </c>
      <c r="CH355" s="23">
        <f t="shared" si="190"/>
        <v>0</v>
      </c>
      <c r="CI355" s="23">
        <f t="shared" si="191"/>
        <v>0</v>
      </c>
      <c r="CJ355" s="23">
        <f t="shared" si="192"/>
        <v>0</v>
      </c>
      <c r="CK355" s="23">
        <f t="shared" si="193"/>
        <v>0</v>
      </c>
      <c r="CL355" s="23">
        <f t="shared" si="194"/>
        <v>0</v>
      </c>
      <c r="CM355" s="23">
        <f t="shared" si="195"/>
        <v>0</v>
      </c>
      <c r="CN355" s="23">
        <f t="shared" si="196"/>
        <v>0</v>
      </c>
      <c r="CO355" s="23">
        <f t="shared" si="197"/>
        <v>0</v>
      </c>
      <c r="CP355" s="23">
        <f t="shared" si="198"/>
        <v>0</v>
      </c>
      <c r="CQ355" s="23">
        <f t="shared" si="199"/>
        <v>0</v>
      </c>
      <c r="CR355" s="23">
        <f t="shared" si="200"/>
        <v>0</v>
      </c>
      <c r="CS355" s="23">
        <f t="shared" si="201"/>
        <v>0</v>
      </c>
      <c r="CT355" s="23">
        <f t="shared" si="202"/>
        <v>0</v>
      </c>
      <c r="CU355" s="23">
        <f t="shared" si="203"/>
        <v>0</v>
      </c>
      <c r="CV355" s="23">
        <f t="shared" si="204"/>
        <v>0</v>
      </c>
    </row>
    <row r="356" spans="1:100" ht="13.5">
      <c r="A356" s="15">
        <v>27</v>
      </c>
      <c r="B356" s="27" t="s">
        <v>653</v>
      </c>
      <c r="C356" t="s">
        <v>635</v>
      </c>
      <c r="D356" t="s">
        <v>636</v>
      </c>
      <c r="E356" t="s">
        <v>637</v>
      </c>
      <c r="F356" t="s">
        <v>638</v>
      </c>
      <c r="G356" t="s">
        <v>637</v>
      </c>
      <c r="H356" t="s">
        <v>639</v>
      </c>
      <c r="I356" s="6" t="s">
        <v>640</v>
      </c>
      <c r="J356" s="6">
        <v>1</v>
      </c>
      <c r="L356" s="15">
        <v>1</v>
      </c>
      <c r="M356" s="7">
        <v>46001</v>
      </c>
      <c r="N356" s="7">
        <v>46051</v>
      </c>
      <c r="O356" s="7">
        <v>46051</v>
      </c>
      <c r="P356" s="7">
        <v>46051</v>
      </c>
      <c r="Q356" s="28" t="str">
        <f t="shared" si="205"/>
        <v>OK</v>
      </c>
      <c r="R356" s="6" t="s">
        <v>654</v>
      </c>
      <c r="S356" s="6" t="str">
        <f t="shared" si="206"/>
        <v>LAA101</v>
      </c>
      <c r="T356" s="6">
        <v>1</v>
      </c>
      <c r="U356" s="6" t="s">
        <v>642</v>
      </c>
      <c r="V356" s="6" t="str">
        <f t="shared" si="171"/>
        <v>26/01</v>
      </c>
      <c r="AI356" s="23">
        <v>1</v>
      </c>
      <c r="AJ356" s="23">
        <v>0</v>
      </c>
      <c r="AK356" s="23">
        <v>0</v>
      </c>
      <c r="AL356" s="23">
        <v>0</v>
      </c>
      <c r="AM356" s="23">
        <v>0</v>
      </c>
      <c r="AN356" s="23">
        <v>0</v>
      </c>
      <c r="AO356" s="23">
        <v>0</v>
      </c>
      <c r="AP356" s="23">
        <v>0</v>
      </c>
      <c r="AQ356" s="23">
        <v>0</v>
      </c>
      <c r="AR356" s="23">
        <v>0</v>
      </c>
      <c r="AS356" s="23">
        <v>0</v>
      </c>
      <c r="AT356" s="23">
        <v>0</v>
      </c>
      <c r="AU356" s="23">
        <v>0</v>
      </c>
      <c r="AV356" s="23">
        <v>0</v>
      </c>
      <c r="AW356" s="23">
        <v>0</v>
      </c>
      <c r="AX356" s="23">
        <v>0</v>
      </c>
      <c r="AY356" s="23">
        <v>0</v>
      </c>
      <c r="AZ356" s="23">
        <v>0</v>
      </c>
      <c r="BA356" s="23">
        <v>0</v>
      </c>
      <c r="BB356" s="23">
        <v>0</v>
      </c>
      <c r="BC356" s="23">
        <v>0</v>
      </c>
      <c r="BD356" s="23">
        <v>0</v>
      </c>
      <c r="BE356" s="23">
        <v>0</v>
      </c>
      <c r="BF356" s="23">
        <v>0</v>
      </c>
      <c r="BG356" s="23">
        <v>0</v>
      </c>
      <c r="BH356" s="23">
        <v>0</v>
      </c>
      <c r="BI356" s="23">
        <v>0</v>
      </c>
      <c r="BJ356" s="23">
        <v>0</v>
      </c>
      <c r="BK356" s="23">
        <v>0</v>
      </c>
      <c r="BL356" s="23">
        <v>0</v>
      </c>
      <c r="BM356" s="23">
        <v>0</v>
      </c>
      <c r="BN356" s="23">
        <v>0</v>
      </c>
      <c r="BO356" s="23">
        <v>0</v>
      </c>
      <c r="BP356" s="23">
        <f t="shared" si="172"/>
        <v>1</v>
      </c>
      <c r="BQ356" s="23">
        <f t="shared" si="173"/>
        <v>0</v>
      </c>
      <c r="BR356" s="23">
        <f t="shared" si="174"/>
        <v>0</v>
      </c>
      <c r="BS356" s="23">
        <f t="shared" si="175"/>
        <v>0</v>
      </c>
      <c r="BT356" s="23">
        <f t="shared" si="176"/>
        <v>0</v>
      </c>
      <c r="BU356" s="23">
        <f t="shared" si="177"/>
        <v>0</v>
      </c>
      <c r="BV356" s="23">
        <f t="shared" si="178"/>
        <v>0</v>
      </c>
      <c r="BW356" s="23">
        <f t="shared" si="179"/>
        <v>0</v>
      </c>
      <c r="BX356" s="23">
        <f t="shared" si="180"/>
        <v>0</v>
      </c>
      <c r="BY356" s="23">
        <f t="shared" si="181"/>
        <v>0</v>
      </c>
      <c r="BZ356" s="23">
        <f t="shared" si="182"/>
        <v>0</v>
      </c>
      <c r="CA356" s="23">
        <f t="shared" si="183"/>
        <v>0</v>
      </c>
      <c r="CB356" s="23">
        <f t="shared" si="184"/>
        <v>0</v>
      </c>
      <c r="CC356" s="23">
        <f t="shared" si="185"/>
        <v>0</v>
      </c>
      <c r="CD356" s="23">
        <f t="shared" si="186"/>
        <v>0</v>
      </c>
      <c r="CE356" s="23">
        <f t="shared" si="187"/>
        <v>0</v>
      </c>
      <c r="CF356" s="23">
        <f t="shared" si="188"/>
        <v>0</v>
      </c>
      <c r="CG356" s="23">
        <f t="shared" si="189"/>
        <v>0</v>
      </c>
      <c r="CH356" s="23">
        <f t="shared" si="190"/>
        <v>0</v>
      </c>
      <c r="CI356" s="23">
        <f t="shared" si="191"/>
        <v>0</v>
      </c>
      <c r="CJ356" s="23">
        <f t="shared" si="192"/>
        <v>0</v>
      </c>
      <c r="CK356" s="23">
        <f t="shared" si="193"/>
        <v>0</v>
      </c>
      <c r="CL356" s="23">
        <f t="shared" si="194"/>
        <v>0</v>
      </c>
      <c r="CM356" s="23">
        <f t="shared" si="195"/>
        <v>0</v>
      </c>
      <c r="CN356" s="23">
        <f t="shared" si="196"/>
        <v>0</v>
      </c>
      <c r="CO356" s="23">
        <f t="shared" si="197"/>
        <v>0</v>
      </c>
      <c r="CP356" s="23">
        <f t="shared" si="198"/>
        <v>0</v>
      </c>
      <c r="CQ356" s="23">
        <f t="shared" si="199"/>
        <v>0</v>
      </c>
      <c r="CR356" s="23">
        <f t="shared" si="200"/>
        <v>0</v>
      </c>
      <c r="CS356" s="23">
        <f t="shared" si="201"/>
        <v>0</v>
      </c>
      <c r="CT356" s="23">
        <f t="shared" si="202"/>
        <v>0</v>
      </c>
      <c r="CU356" s="23">
        <f t="shared" si="203"/>
        <v>0</v>
      </c>
      <c r="CV356" s="23">
        <f t="shared" si="204"/>
        <v>0</v>
      </c>
    </row>
    <row r="357" spans="1:100" ht="13.5">
      <c r="A357" s="15">
        <v>25</v>
      </c>
      <c r="B357" s="27" t="s">
        <v>655</v>
      </c>
      <c r="C357" t="s">
        <v>635</v>
      </c>
      <c r="D357" t="s">
        <v>636</v>
      </c>
      <c r="E357" t="s">
        <v>637</v>
      </c>
      <c r="F357" t="s">
        <v>638</v>
      </c>
      <c r="G357" t="s">
        <v>637</v>
      </c>
      <c r="H357" t="s">
        <v>639</v>
      </c>
      <c r="I357" s="6" t="s">
        <v>640</v>
      </c>
      <c r="J357" s="6">
        <v>1</v>
      </c>
      <c r="L357" s="15">
        <v>3</v>
      </c>
      <c r="M357" s="7">
        <v>46001</v>
      </c>
      <c r="N357" s="7">
        <v>46051</v>
      </c>
      <c r="O357" s="7">
        <v>46051</v>
      </c>
      <c r="P357" s="7">
        <v>46051</v>
      </c>
      <c r="Q357" s="28" t="str">
        <f t="shared" si="205"/>
        <v>OK</v>
      </c>
      <c r="R357" s="6" t="s">
        <v>656</v>
      </c>
      <c r="S357" s="6" t="str">
        <f t="shared" si="206"/>
        <v>LAA101</v>
      </c>
      <c r="T357" s="6">
        <v>3</v>
      </c>
      <c r="U357" s="6" t="s">
        <v>642</v>
      </c>
      <c r="V357" s="6" t="str">
        <f t="shared" si="171"/>
        <v>26/01</v>
      </c>
      <c r="AI357" s="23">
        <v>1</v>
      </c>
      <c r="AJ357" s="23">
        <v>0</v>
      </c>
      <c r="AK357" s="23">
        <v>0</v>
      </c>
      <c r="AL357" s="23">
        <v>0</v>
      </c>
      <c r="AM357" s="23">
        <v>0</v>
      </c>
      <c r="AN357" s="23">
        <v>0</v>
      </c>
      <c r="AO357" s="23">
        <v>0</v>
      </c>
      <c r="AP357" s="23">
        <v>0</v>
      </c>
      <c r="AQ357" s="23">
        <v>0</v>
      </c>
      <c r="AR357" s="23">
        <v>0</v>
      </c>
      <c r="AS357" s="23">
        <v>0</v>
      </c>
      <c r="AT357" s="23">
        <v>0</v>
      </c>
      <c r="AU357" s="23">
        <v>0</v>
      </c>
      <c r="AV357" s="23">
        <v>0</v>
      </c>
      <c r="AW357" s="23">
        <v>0</v>
      </c>
      <c r="AX357" s="23">
        <v>0</v>
      </c>
      <c r="AY357" s="23">
        <v>0</v>
      </c>
      <c r="AZ357" s="23">
        <v>0</v>
      </c>
      <c r="BA357" s="23">
        <v>0</v>
      </c>
      <c r="BB357" s="23">
        <v>0</v>
      </c>
      <c r="BC357" s="23">
        <v>0</v>
      </c>
      <c r="BD357" s="23">
        <v>0</v>
      </c>
      <c r="BE357" s="23">
        <v>0</v>
      </c>
      <c r="BF357" s="23">
        <v>0</v>
      </c>
      <c r="BG357" s="23">
        <v>0</v>
      </c>
      <c r="BH357" s="23">
        <v>0</v>
      </c>
      <c r="BI357" s="23">
        <v>0</v>
      </c>
      <c r="BJ357" s="23">
        <v>0</v>
      </c>
      <c r="BK357" s="23">
        <v>0</v>
      </c>
      <c r="BL357" s="23">
        <v>0</v>
      </c>
      <c r="BM357" s="23">
        <v>0</v>
      </c>
      <c r="BN357" s="23">
        <v>0</v>
      </c>
      <c r="BO357" s="23">
        <v>0</v>
      </c>
      <c r="BP357" s="23">
        <f t="shared" si="172"/>
        <v>3</v>
      </c>
      <c r="BQ357" s="23">
        <f t="shared" si="173"/>
        <v>0</v>
      </c>
      <c r="BR357" s="23">
        <f t="shared" si="174"/>
        <v>0</v>
      </c>
      <c r="BS357" s="23">
        <f t="shared" si="175"/>
        <v>0</v>
      </c>
      <c r="BT357" s="23">
        <f t="shared" si="176"/>
        <v>0</v>
      </c>
      <c r="BU357" s="23">
        <f t="shared" si="177"/>
        <v>0</v>
      </c>
      <c r="BV357" s="23">
        <f t="shared" si="178"/>
        <v>0</v>
      </c>
      <c r="BW357" s="23">
        <f t="shared" si="179"/>
        <v>0</v>
      </c>
      <c r="BX357" s="23">
        <f t="shared" si="180"/>
        <v>0</v>
      </c>
      <c r="BY357" s="23">
        <f t="shared" si="181"/>
        <v>0</v>
      </c>
      <c r="BZ357" s="23">
        <f t="shared" si="182"/>
        <v>0</v>
      </c>
      <c r="CA357" s="23">
        <f t="shared" si="183"/>
        <v>0</v>
      </c>
      <c r="CB357" s="23">
        <f t="shared" si="184"/>
        <v>0</v>
      </c>
      <c r="CC357" s="23">
        <f t="shared" si="185"/>
        <v>0</v>
      </c>
      <c r="CD357" s="23">
        <f t="shared" si="186"/>
        <v>0</v>
      </c>
      <c r="CE357" s="23">
        <f t="shared" si="187"/>
        <v>0</v>
      </c>
      <c r="CF357" s="23">
        <f t="shared" si="188"/>
        <v>0</v>
      </c>
      <c r="CG357" s="23">
        <f t="shared" si="189"/>
        <v>0</v>
      </c>
      <c r="CH357" s="23">
        <f t="shared" si="190"/>
        <v>0</v>
      </c>
      <c r="CI357" s="23">
        <f t="shared" si="191"/>
        <v>0</v>
      </c>
      <c r="CJ357" s="23">
        <f t="shared" si="192"/>
        <v>0</v>
      </c>
      <c r="CK357" s="23">
        <f t="shared" si="193"/>
        <v>0</v>
      </c>
      <c r="CL357" s="23">
        <f t="shared" si="194"/>
        <v>0</v>
      </c>
      <c r="CM357" s="23">
        <f t="shared" si="195"/>
        <v>0</v>
      </c>
      <c r="CN357" s="23">
        <f t="shared" si="196"/>
        <v>0</v>
      </c>
      <c r="CO357" s="23">
        <f t="shared" si="197"/>
        <v>0</v>
      </c>
      <c r="CP357" s="23">
        <f t="shared" si="198"/>
        <v>0</v>
      </c>
      <c r="CQ357" s="23">
        <f t="shared" si="199"/>
        <v>0</v>
      </c>
      <c r="CR357" s="23">
        <f t="shared" si="200"/>
        <v>0</v>
      </c>
      <c r="CS357" s="23">
        <f t="shared" si="201"/>
        <v>0</v>
      </c>
      <c r="CT357" s="23">
        <f t="shared" si="202"/>
        <v>0</v>
      </c>
      <c r="CU357" s="23">
        <f t="shared" si="203"/>
        <v>0</v>
      </c>
      <c r="CV357" s="23">
        <f t="shared" si="204"/>
        <v>0</v>
      </c>
    </row>
    <row r="358" spans="1:100" ht="13.5">
      <c r="A358" s="15">
        <v>26</v>
      </c>
      <c r="B358" s="27" t="s">
        <v>657</v>
      </c>
      <c r="C358" t="s">
        <v>635</v>
      </c>
      <c r="D358" t="s">
        <v>636</v>
      </c>
      <c r="E358" t="s">
        <v>637</v>
      </c>
      <c r="F358" t="s">
        <v>638</v>
      </c>
      <c r="G358" t="s">
        <v>637</v>
      </c>
      <c r="H358" t="s">
        <v>639</v>
      </c>
      <c r="I358" s="6" t="s">
        <v>640</v>
      </c>
      <c r="J358" s="6">
        <v>1</v>
      </c>
      <c r="L358" s="15">
        <v>1</v>
      </c>
      <c r="M358" s="7">
        <v>46001</v>
      </c>
      <c r="N358" s="7">
        <v>46051</v>
      </c>
      <c r="O358" s="7">
        <v>46051</v>
      </c>
      <c r="P358" s="7">
        <v>46051</v>
      </c>
      <c r="Q358" s="28" t="str">
        <f t="shared" si="205"/>
        <v>OK</v>
      </c>
      <c r="R358" s="6" t="s">
        <v>658</v>
      </c>
      <c r="S358" s="6" t="str">
        <f t="shared" si="206"/>
        <v>LAA101</v>
      </c>
      <c r="T358" s="6">
        <v>1</v>
      </c>
      <c r="U358" s="6" t="s">
        <v>642</v>
      </c>
      <c r="V358" s="6" t="str">
        <f t="shared" si="171"/>
        <v>26/01</v>
      </c>
      <c r="AI358" s="23">
        <v>1</v>
      </c>
      <c r="AJ358" s="23">
        <v>0</v>
      </c>
      <c r="AK358" s="23">
        <v>0</v>
      </c>
      <c r="AL358" s="23">
        <v>0</v>
      </c>
      <c r="AM358" s="23">
        <v>0</v>
      </c>
      <c r="AN358" s="23">
        <v>0</v>
      </c>
      <c r="AO358" s="23">
        <v>0</v>
      </c>
      <c r="AP358" s="23">
        <v>0</v>
      </c>
      <c r="AQ358" s="23">
        <v>0</v>
      </c>
      <c r="AR358" s="23">
        <v>0</v>
      </c>
      <c r="AS358" s="23">
        <v>0</v>
      </c>
      <c r="AT358" s="23">
        <v>0</v>
      </c>
      <c r="AU358" s="23">
        <v>0</v>
      </c>
      <c r="AV358" s="23">
        <v>0</v>
      </c>
      <c r="AW358" s="23">
        <v>0</v>
      </c>
      <c r="AX358" s="23">
        <v>0</v>
      </c>
      <c r="AY358" s="23">
        <v>0</v>
      </c>
      <c r="AZ358" s="23">
        <v>0</v>
      </c>
      <c r="BA358" s="23">
        <v>0</v>
      </c>
      <c r="BB358" s="23">
        <v>0</v>
      </c>
      <c r="BC358" s="23">
        <v>0</v>
      </c>
      <c r="BD358" s="23">
        <v>0</v>
      </c>
      <c r="BE358" s="23">
        <v>0</v>
      </c>
      <c r="BF358" s="23">
        <v>0</v>
      </c>
      <c r="BG358" s="23">
        <v>0</v>
      </c>
      <c r="BH358" s="23">
        <v>0</v>
      </c>
      <c r="BI358" s="23">
        <v>0</v>
      </c>
      <c r="BJ358" s="23">
        <v>0</v>
      </c>
      <c r="BK358" s="23">
        <v>0</v>
      </c>
      <c r="BL358" s="23">
        <v>0</v>
      </c>
      <c r="BM358" s="23">
        <v>0</v>
      </c>
      <c r="BN358" s="23">
        <v>0</v>
      </c>
      <c r="BO358" s="23">
        <v>0</v>
      </c>
      <c r="BP358" s="23">
        <f t="shared" si="172"/>
        <v>1</v>
      </c>
      <c r="BQ358" s="23">
        <f t="shared" si="173"/>
        <v>0</v>
      </c>
      <c r="BR358" s="23">
        <f t="shared" si="174"/>
        <v>0</v>
      </c>
      <c r="BS358" s="23">
        <f t="shared" si="175"/>
        <v>0</v>
      </c>
      <c r="BT358" s="23">
        <f t="shared" si="176"/>
        <v>0</v>
      </c>
      <c r="BU358" s="23">
        <f t="shared" si="177"/>
        <v>0</v>
      </c>
      <c r="BV358" s="23">
        <f t="shared" si="178"/>
        <v>0</v>
      </c>
      <c r="BW358" s="23">
        <f t="shared" si="179"/>
        <v>0</v>
      </c>
      <c r="BX358" s="23">
        <f t="shared" si="180"/>
        <v>0</v>
      </c>
      <c r="BY358" s="23">
        <f t="shared" si="181"/>
        <v>0</v>
      </c>
      <c r="BZ358" s="23">
        <f t="shared" si="182"/>
        <v>0</v>
      </c>
      <c r="CA358" s="23">
        <f t="shared" si="183"/>
        <v>0</v>
      </c>
      <c r="CB358" s="23">
        <f t="shared" si="184"/>
        <v>0</v>
      </c>
      <c r="CC358" s="23">
        <f t="shared" si="185"/>
        <v>0</v>
      </c>
      <c r="CD358" s="23">
        <f t="shared" si="186"/>
        <v>0</v>
      </c>
      <c r="CE358" s="23">
        <f t="shared" si="187"/>
        <v>0</v>
      </c>
      <c r="CF358" s="23">
        <f t="shared" si="188"/>
        <v>0</v>
      </c>
      <c r="CG358" s="23">
        <f t="shared" si="189"/>
        <v>0</v>
      </c>
      <c r="CH358" s="23">
        <f t="shared" si="190"/>
        <v>0</v>
      </c>
      <c r="CI358" s="23">
        <f t="shared" si="191"/>
        <v>0</v>
      </c>
      <c r="CJ358" s="23">
        <f t="shared" si="192"/>
        <v>0</v>
      </c>
      <c r="CK358" s="23">
        <f t="shared" si="193"/>
        <v>0</v>
      </c>
      <c r="CL358" s="23">
        <f t="shared" si="194"/>
        <v>0</v>
      </c>
      <c r="CM358" s="23">
        <f t="shared" si="195"/>
        <v>0</v>
      </c>
      <c r="CN358" s="23">
        <f t="shared" si="196"/>
        <v>0</v>
      </c>
      <c r="CO358" s="23">
        <f t="shared" si="197"/>
        <v>0</v>
      </c>
      <c r="CP358" s="23">
        <f t="shared" si="198"/>
        <v>0</v>
      </c>
      <c r="CQ358" s="23">
        <f t="shared" si="199"/>
        <v>0</v>
      </c>
      <c r="CR358" s="23">
        <f t="shared" si="200"/>
        <v>0</v>
      </c>
      <c r="CS358" s="23">
        <f t="shared" si="201"/>
        <v>0</v>
      </c>
      <c r="CT358" s="23">
        <f t="shared" si="202"/>
        <v>0</v>
      </c>
      <c r="CU358" s="23">
        <f t="shared" si="203"/>
        <v>0</v>
      </c>
      <c r="CV358" s="23">
        <f t="shared" si="204"/>
        <v>0</v>
      </c>
    </row>
    <row r="359" spans="1:100" ht="13.5">
      <c r="A359" s="15">
        <v>46</v>
      </c>
      <c r="B359" s="27" t="s">
        <v>660</v>
      </c>
      <c r="C359" t="s">
        <v>635</v>
      </c>
      <c r="D359" t="s">
        <v>636</v>
      </c>
      <c r="E359" t="s">
        <v>637</v>
      </c>
      <c r="F359" t="s">
        <v>638</v>
      </c>
      <c r="G359" t="s">
        <v>637</v>
      </c>
      <c r="H359" t="s">
        <v>639</v>
      </c>
      <c r="I359" s="6" t="s">
        <v>640</v>
      </c>
      <c r="J359" s="6">
        <v>1</v>
      </c>
      <c r="L359" s="15">
        <v>2</v>
      </c>
      <c r="M359" s="7">
        <v>46037</v>
      </c>
      <c r="N359" s="7">
        <v>46063</v>
      </c>
      <c r="O359" s="7">
        <v>46063</v>
      </c>
      <c r="P359" s="7">
        <v>46063</v>
      </c>
      <c r="Q359" s="28" t="str">
        <f t="shared" si="205"/>
        <v>OK</v>
      </c>
      <c r="S359" s="6" t="str">
        <f t="shared" si="206"/>
        <v>LAA101</v>
      </c>
      <c r="T359" s="6">
        <v>2</v>
      </c>
      <c r="U359" s="6" t="s">
        <v>642</v>
      </c>
      <c r="V359" s="6" t="str">
        <f t="shared" si="171"/>
        <v>26/02</v>
      </c>
      <c r="AI359" s="23">
        <v>1</v>
      </c>
      <c r="AJ359" s="23">
        <v>0</v>
      </c>
      <c r="AK359" s="23">
        <v>0</v>
      </c>
      <c r="AL359" s="23">
        <v>0</v>
      </c>
      <c r="AM359" s="23">
        <v>0</v>
      </c>
      <c r="AN359" s="23">
        <v>0</v>
      </c>
      <c r="AO359" s="23">
        <v>0</v>
      </c>
      <c r="AP359" s="23">
        <v>0</v>
      </c>
      <c r="AQ359" s="23">
        <v>0</v>
      </c>
      <c r="AR359" s="23">
        <v>0</v>
      </c>
      <c r="AS359" s="23">
        <v>0</v>
      </c>
      <c r="AT359" s="23">
        <v>0</v>
      </c>
      <c r="AU359" s="23">
        <v>0</v>
      </c>
      <c r="AV359" s="23">
        <v>0</v>
      </c>
      <c r="AW359" s="23">
        <v>0</v>
      </c>
      <c r="AX359" s="23">
        <v>0</v>
      </c>
      <c r="AY359" s="23">
        <v>0</v>
      </c>
      <c r="AZ359" s="23">
        <v>0</v>
      </c>
      <c r="BA359" s="23">
        <v>0</v>
      </c>
      <c r="BB359" s="23">
        <v>0</v>
      </c>
      <c r="BC359" s="23">
        <v>0</v>
      </c>
      <c r="BD359" s="23">
        <v>0</v>
      </c>
      <c r="BE359" s="23">
        <v>0</v>
      </c>
      <c r="BF359" s="23">
        <v>0</v>
      </c>
      <c r="BG359" s="23">
        <v>0</v>
      </c>
      <c r="BH359" s="23">
        <v>0</v>
      </c>
      <c r="BI359" s="23">
        <v>0</v>
      </c>
      <c r="BJ359" s="23">
        <v>0</v>
      </c>
      <c r="BK359" s="23">
        <v>0</v>
      </c>
      <c r="BL359" s="23">
        <v>0</v>
      </c>
      <c r="BM359" s="23">
        <v>0</v>
      </c>
      <c r="BN359" s="23">
        <v>0</v>
      </c>
      <c r="BO359" s="23">
        <v>0</v>
      </c>
      <c r="BP359" s="23">
        <f t="shared" si="172"/>
        <v>2</v>
      </c>
      <c r="BQ359" s="23">
        <f t="shared" si="173"/>
        <v>0</v>
      </c>
      <c r="BR359" s="23">
        <f t="shared" si="174"/>
        <v>0</v>
      </c>
      <c r="BS359" s="23">
        <f t="shared" si="175"/>
        <v>0</v>
      </c>
      <c r="BT359" s="23">
        <f t="shared" si="176"/>
        <v>0</v>
      </c>
      <c r="BU359" s="23">
        <f t="shared" si="177"/>
        <v>0</v>
      </c>
      <c r="BV359" s="23">
        <f t="shared" si="178"/>
        <v>0</v>
      </c>
      <c r="BW359" s="23">
        <f t="shared" si="179"/>
        <v>0</v>
      </c>
      <c r="BX359" s="23">
        <f t="shared" si="180"/>
        <v>0</v>
      </c>
      <c r="BY359" s="23">
        <f t="shared" si="181"/>
        <v>0</v>
      </c>
      <c r="BZ359" s="23">
        <f t="shared" si="182"/>
        <v>0</v>
      </c>
      <c r="CA359" s="23">
        <f t="shared" si="183"/>
        <v>0</v>
      </c>
      <c r="CB359" s="23">
        <f t="shared" si="184"/>
        <v>0</v>
      </c>
      <c r="CC359" s="23">
        <f t="shared" si="185"/>
        <v>0</v>
      </c>
      <c r="CD359" s="23">
        <f t="shared" si="186"/>
        <v>0</v>
      </c>
      <c r="CE359" s="23">
        <f t="shared" si="187"/>
        <v>0</v>
      </c>
      <c r="CF359" s="23">
        <f t="shared" si="188"/>
        <v>0</v>
      </c>
      <c r="CG359" s="23">
        <f t="shared" si="189"/>
        <v>0</v>
      </c>
      <c r="CH359" s="23">
        <f t="shared" si="190"/>
        <v>0</v>
      </c>
      <c r="CI359" s="23">
        <f t="shared" si="191"/>
        <v>0</v>
      </c>
      <c r="CJ359" s="23">
        <f t="shared" si="192"/>
        <v>0</v>
      </c>
      <c r="CK359" s="23">
        <f t="shared" si="193"/>
        <v>0</v>
      </c>
      <c r="CL359" s="23">
        <f t="shared" si="194"/>
        <v>0</v>
      </c>
      <c r="CM359" s="23">
        <f t="shared" si="195"/>
        <v>0</v>
      </c>
      <c r="CN359" s="23">
        <f t="shared" si="196"/>
        <v>0</v>
      </c>
      <c r="CO359" s="23">
        <f t="shared" si="197"/>
        <v>0</v>
      </c>
      <c r="CP359" s="23">
        <f t="shared" si="198"/>
        <v>0</v>
      </c>
      <c r="CQ359" s="23">
        <f t="shared" si="199"/>
        <v>0</v>
      </c>
      <c r="CR359" s="23">
        <f t="shared" si="200"/>
        <v>0</v>
      </c>
      <c r="CS359" s="23">
        <f t="shared" si="201"/>
        <v>0</v>
      </c>
      <c r="CT359" s="23">
        <f t="shared" si="202"/>
        <v>0</v>
      </c>
      <c r="CU359" s="23">
        <f t="shared" si="203"/>
        <v>0</v>
      </c>
      <c r="CV359" s="23">
        <f t="shared" si="204"/>
        <v>0</v>
      </c>
    </row>
    <row r="360" spans="1:100" ht="13.5">
      <c r="A360" s="15">
        <v>45</v>
      </c>
      <c r="B360" s="27" t="s">
        <v>659</v>
      </c>
      <c r="C360" t="s">
        <v>635</v>
      </c>
      <c r="D360" t="s">
        <v>636</v>
      </c>
      <c r="E360" t="s">
        <v>637</v>
      </c>
      <c r="F360" t="s">
        <v>638</v>
      </c>
      <c r="G360" t="s">
        <v>637</v>
      </c>
      <c r="H360" t="s">
        <v>639</v>
      </c>
      <c r="I360" s="6" t="s">
        <v>640</v>
      </c>
      <c r="J360" s="6">
        <v>1</v>
      </c>
      <c r="L360" s="15">
        <v>1</v>
      </c>
      <c r="M360" s="7">
        <v>46037</v>
      </c>
      <c r="N360" s="7">
        <v>46063</v>
      </c>
      <c r="O360" s="7">
        <v>46063</v>
      </c>
      <c r="P360" s="7">
        <v>46063</v>
      </c>
      <c r="Q360" s="28" t="str">
        <f t="shared" si="205"/>
        <v>OK</v>
      </c>
      <c r="S360" s="6" t="str">
        <f t="shared" si="206"/>
        <v>LAA101</v>
      </c>
      <c r="T360" s="6">
        <v>1</v>
      </c>
      <c r="U360" s="6" t="s">
        <v>642</v>
      </c>
      <c r="V360" s="6" t="str">
        <f t="shared" si="171"/>
        <v>26/02</v>
      </c>
      <c r="AI360" s="23">
        <v>1</v>
      </c>
      <c r="AJ360" s="23">
        <v>0</v>
      </c>
      <c r="AK360" s="23">
        <v>0</v>
      </c>
      <c r="AL360" s="23">
        <v>0</v>
      </c>
      <c r="AM360" s="23">
        <v>0</v>
      </c>
      <c r="AN360" s="23">
        <v>0</v>
      </c>
      <c r="AO360" s="23">
        <v>0</v>
      </c>
      <c r="AP360" s="23">
        <v>0</v>
      </c>
      <c r="AQ360" s="23">
        <v>0</v>
      </c>
      <c r="AR360" s="23">
        <v>0</v>
      </c>
      <c r="AS360" s="23">
        <v>0</v>
      </c>
      <c r="AT360" s="23">
        <v>0</v>
      </c>
      <c r="AU360" s="23">
        <v>0</v>
      </c>
      <c r="AV360" s="23">
        <v>0</v>
      </c>
      <c r="AW360" s="23">
        <v>0</v>
      </c>
      <c r="AX360" s="23">
        <v>0</v>
      </c>
      <c r="AY360" s="23">
        <v>0</v>
      </c>
      <c r="AZ360" s="23">
        <v>0</v>
      </c>
      <c r="BA360" s="23">
        <v>0</v>
      </c>
      <c r="BB360" s="23">
        <v>0</v>
      </c>
      <c r="BC360" s="23">
        <v>0</v>
      </c>
      <c r="BD360" s="23">
        <v>0</v>
      </c>
      <c r="BE360" s="23">
        <v>0</v>
      </c>
      <c r="BF360" s="23">
        <v>0</v>
      </c>
      <c r="BG360" s="23">
        <v>0</v>
      </c>
      <c r="BH360" s="23">
        <v>0</v>
      </c>
      <c r="BI360" s="23">
        <v>0</v>
      </c>
      <c r="BJ360" s="23">
        <v>0</v>
      </c>
      <c r="BK360" s="23">
        <v>0</v>
      </c>
      <c r="BL360" s="23">
        <v>0</v>
      </c>
      <c r="BM360" s="23">
        <v>0</v>
      </c>
      <c r="BN360" s="23">
        <v>0</v>
      </c>
      <c r="BO360" s="23">
        <v>0</v>
      </c>
      <c r="BP360" s="23">
        <f t="shared" si="172"/>
        <v>1</v>
      </c>
      <c r="BQ360" s="23">
        <f t="shared" si="173"/>
        <v>0</v>
      </c>
      <c r="BR360" s="23">
        <f t="shared" si="174"/>
        <v>0</v>
      </c>
      <c r="BS360" s="23">
        <f t="shared" si="175"/>
        <v>0</v>
      </c>
      <c r="BT360" s="23">
        <f t="shared" si="176"/>
        <v>0</v>
      </c>
      <c r="BU360" s="23">
        <f t="shared" si="177"/>
        <v>0</v>
      </c>
      <c r="BV360" s="23">
        <f t="shared" si="178"/>
        <v>0</v>
      </c>
      <c r="BW360" s="23">
        <f t="shared" si="179"/>
        <v>0</v>
      </c>
      <c r="BX360" s="23">
        <f t="shared" si="180"/>
        <v>0</v>
      </c>
      <c r="BY360" s="23">
        <f t="shared" si="181"/>
        <v>0</v>
      </c>
      <c r="BZ360" s="23">
        <f t="shared" si="182"/>
        <v>0</v>
      </c>
      <c r="CA360" s="23">
        <f t="shared" si="183"/>
        <v>0</v>
      </c>
      <c r="CB360" s="23">
        <f t="shared" si="184"/>
        <v>0</v>
      </c>
      <c r="CC360" s="23">
        <f t="shared" si="185"/>
        <v>0</v>
      </c>
      <c r="CD360" s="23">
        <f t="shared" si="186"/>
        <v>0</v>
      </c>
      <c r="CE360" s="23">
        <f t="shared" si="187"/>
        <v>0</v>
      </c>
      <c r="CF360" s="23">
        <f t="shared" si="188"/>
        <v>0</v>
      </c>
      <c r="CG360" s="23">
        <f t="shared" si="189"/>
        <v>0</v>
      </c>
      <c r="CH360" s="23">
        <f t="shared" si="190"/>
        <v>0</v>
      </c>
      <c r="CI360" s="23">
        <f t="shared" si="191"/>
        <v>0</v>
      </c>
      <c r="CJ360" s="23">
        <f t="shared" si="192"/>
        <v>0</v>
      </c>
      <c r="CK360" s="23">
        <f t="shared" si="193"/>
        <v>0</v>
      </c>
      <c r="CL360" s="23">
        <f t="shared" si="194"/>
        <v>0</v>
      </c>
      <c r="CM360" s="23">
        <f t="shared" si="195"/>
        <v>0</v>
      </c>
      <c r="CN360" s="23">
        <f t="shared" si="196"/>
        <v>0</v>
      </c>
      <c r="CO360" s="23">
        <f t="shared" si="197"/>
        <v>0</v>
      </c>
      <c r="CP360" s="23">
        <f t="shared" si="198"/>
        <v>0</v>
      </c>
      <c r="CQ360" s="23">
        <f t="shared" si="199"/>
        <v>0</v>
      </c>
      <c r="CR360" s="23">
        <f t="shared" si="200"/>
        <v>0</v>
      </c>
      <c r="CS360" s="23">
        <f t="shared" si="201"/>
        <v>0</v>
      </c>
      <c r="CT360" s="23">
        <f t="shared" si="202"/>
        <v>0</v>
      </c>
      <c r="CU360" s="23">
        <f t="shared" si="203"/>
        <v>0</v>
      </c>
      <c r="CV360" s="23">
        <f t="shared" si="204"/>
        <v>0</v>
      </c>
    </row>
    <row r="361" spans="1:100" ht="14.25" thickBot="1">
      <c r="A361" s="31">
        <v>58</v>
      </c>
      <c r="B361" s="32" t="s">
        <v>661</v>
      </c>
      <c r="C361" s="33" t="s">
        <v>644</v>
      </c>
      <c r="D361" s="33" t="s">
        <v>645</v>
      </c>
      <c r="E361" s="33" t="s">
        <v>637</v>
      </c>
      <c r="F361" s="33" t="s">
        <v>638</v>
      </c>
      <c r="G361" s="33" t="s">
        <v>637</v>
      </c>
      <c r="H361" s="33" t="s">
        <v>639</v>
      </c>
      <c r="I361" s="34" t="s">
        <v>640</v>
      </c>
      <c r="J361" s="34">
        <v>0</v>
      </c>
      <c r="K361" s="33"/>
      <c r="L361" s="31">
        <v>2</v>
      </c>
      <c r="M361" s="35">
        <v>46063</v>
      </c>
      <c r="N361" s="35">
        <v>46091</v>
      </c>
      <c r="O361" s="35">
        <v>46091</v>
      </c>
      <c r="P361" s="35">
        <v>46091</v>
      </c>
      <c r="Q361" s="36" t="str">
        <f t="shared" si="205"/>
        <v>OK</v>
      </c>
      <c r="R361" s="34"/>
      <c r="S361" s="34" t="str">
        <f t="shared" si="206"/>
        <v>LAA101</v>
      </c>
      <c r="T361" s="34">
        <v>2</v>
      </c>
      <c r="U361" s="34" t="s">
        <v>642</v>
      </c>
      <c r="V361" s="34" t="str">
        <f t="shared" si="171"/>
        <v>26/03</v>
      </c>
      <c r="AI361" s="23">
        <v>1</v>
      </c>
      <c r="AJ361" s="23">
        <v>0</v>
      </c>
      <c r="AK361" s="23">
        <v>0</v>
      </c>
      <c r="AL361" s="23">
        <v>0</v>
      </c>
      <c r="AM361" s="23">
        <v>0</v>
      </c>
      <c r="AN361" s="23">
        <v>0</v>
      </c>
      <c r="AO361" s="23">
        <v>0</v>
      </c>
      <c r="AP361" s="23">
        <v>0</v>
      </c>
      <c r="AQ361" s="23">
        <v>0</v>
      </c>
      <c r="AR361" s="23">
        <v>0</v>
      </c>
      <c r="AS361" s="23">
        <v>0</v>
      </c>
      <c r="AT361" s="23">
        <v>0</v>
      </c>
      <c r="AU361" s="23">
        <v>0</v>
      </c>
      <c r="AV361" s="23">
        <v>0</v>
      </c>
      <c r="AW361" s="23">
        <v>0</v>
      </c>
      <c r="AX361" s="23">
        <v>0</v>
      </c>
      <c r="AY361" s="23">
        <v>0</v>
      </c>
      <c r="AZ361" s="23">
        <v>0</v>
      </c>
      <c r="BA361" s="23">
        <v>0</v>
      </c>
      <c r="BB361" s="23">
        <v>0</v>
      </c>
      <c r="BC361" s="23">
        <v>0</v>
      </c>
      <c r="BD361" s="23">
        <v>0</v>
      </c>
      <c r="BE361" s="23">
        <v>0</v>
      </c>
      <c r="BF361" s="23">
        <v>0</v>
      </c>
      <c r="BG361" s="23">
        <v>0</v>
      </c>
      <c r="BH361" s="23">
        <v>0</v>
      </c>
      <c r="BI361" s="23">
        <v>0</v>
      </c>
      <c r="BJ361" s="23">
        <v>0</v>
      </c>
      <c r="BK361" s="23">
        <v>0</v>
      </c>
      <c r="BL361" s="23">
        <v>0</v>
      </c>
      <c r="BM361" s="23">
        <v>0</v>
      </c>
      <c r="BN361" s="23">
        <v>0</v>
      </c>
      <c r="BO361" s="23">
        <v>0</v>
      </c>
      <c r="BP361" s="23">
        <f t="shared" si="172"/>
        <v>2</v>
      </c>
      <c r="BQ361" s="23">
        <f t="shared" si="173"/>
        <v>0</v>
      </c>
      <c r="BR361" s="23">
        <f t="shared" si="174"/>
        <v>0</v>
      </c>
      <c r="BS361" s="23">
        <f t="shared" si="175"/>
        <v>0</v>
      </c>
      <c r="BT361" s="23">
        <f t="shared" si="176"/>
        <v>0</v>
      </c>
      <c r="BU361" s="23">
        <f t="shared" si="177"/>
        <v>0</v>
      </c>
      <c r="BV361" s="23">
        <f t="shared" si="178"/>
        <v>0</v>
      </c>
      <c r="BW361" s="23">
        <f t="shared" si="179"/>
        <v>0</v>
      </c>
      <c r="BX361" s="23">
        <f t="shared" si="180"/>
        <v>0</v>
      </c>
      <c r="BY361" s="23">
        <f t="shared" si="181"/>
        <v>0</v>
      </c>
      <c r="BZ361" s="23">
        <f t="shared" si="182"/>
        <v>0</v>
      </c>
      <c r="CA361" s="23">
        <f t="shared" si="183"/>
        <v>0</v>
      </c>
      <c r="CB361" s="23">
        <f t="shared" si="184"/>
        <v>0</v>
      </c>
      <c r="CC361" s="23">
        <f t="shared" si="185"/>
        <v>0</v>
      </c>
      <c r="CD361" s="23">
        <f t="shared" si="186"/>
        <v>0</v>
      </c>
      <c r="CE361" s="23">
        <f t="shared" si="187"/>
        <v>0</v>
      </c>
      <c r="CF361" s="23">
        <f t="shared" si="188"/>
        <v>0</v>
      </c>
      <c r="CG361" s="23">
        <f t="shared" si="189"/>
        <v>0</v>
      </c>
      <c r="CH361" s="23">
        <f t="shared" si="190"/>
        <v>0</v>
      </c>
      <c r="CI361" s="23">
        <f t="shared" si="191"/>
        <v>0</v>
      </c>
      <c r="CJ361" s="23">
        <f t="shared" si="192"/>
        <v>0</v>
      </c>
      <c r="CK361" s="23">
        <f t="shared" si="193"/>
        <v>0</v>
      </c>
      <c r="CL361" s="23">
        <f t="shared" si="194"/>
        <v>0</v>
      </c>
      <c r="CM361" s="23">
        <f t="shared" si="195"/>
        <v>0</v>
      </c>
      <c r="CN361" s="23">
        <f t="shared" si="196"/>
        <v>0</v>
      </c>
      <c r="CO361" s="23">
        <f t="shared" si="197"/>
        <v>0</v>
      </c>
      <c r="CP361" s="23">
        <f t="shared" si="198"/>
        <v>0</v>
      </c>
      <c r="CQ361" s="23">
        <f t="shared" si="199"/>
        <v>0</v>
      </c>
      <c r="CR361" s="23">
        <f t="shared" si="200"/>
        <v>0</v>
      </c>
      <c r="CS361" s="23">
        <f t="shared" si="201"/>
        <v>0</v>
      </c>
      <c r="CT361" s="23">
        <f t="shared" si="202"/>
        <v>0</v>
      </c>
      <c r="CU361" s="23">
        <f t="shared" si="203"/>
        <v>0</v>
      </c>
      <c r="CV361" s="23">
        <f t="shared" si="204"/>
        <v>0</v>
      </c>
    </row>
    <row r="362" spans="1:100" ht="14.25" thickTop="1">
      <c r="A362" s="15">
        <v>7</v>
      </c>
      <c r="B362" s="27" t="s">
        <v>665</v>
      </c>
      <c r="C362" t="s">
        <v>635</v>
      </c>
      <c r="D362" t="s">
        <v>662</v>
      </c>
      <c r="E362" t="s">
        <v>663</v>
      </c>
      <c r="F362" t="s">
        <v>638</v>
      </c>
      <c r="G362" t="s">
        <v>663</v>
      </c>
      <c r="H362" t="s">
        <v>664</v>
      </c>
      <c r="I362" s="6" t="s">
        <v>640</v>
      </c>
      <c r="J362" s="6">
        <v>1</v>
      </c>
      <c r="L362" s="15">
        <v>2</v>
      </c>
      <c r="M362" s="7">
        <v>46001</v>
      </c>
      <c r="N362" s="7">
        <v>46044</v>
      </c>
      <c r="O362" s="7">
        <v>46044</v>
      </c>
      <c r="P362" s="7">
        <v>46044</v>
      </c>
      <c r="Q362" s="28" t="str">
        <f t="shared" si="205"/>
        <v>OK</v>
      </c>
      <c r="R362" s="6" t="s">
        <v>666</v>
      </c>
      <c r="S362" s="6" t="str">
        <f t="shared" si="206"/>
        <v>LAE101</v>
      </c>
      <c r="T362" s="6">
        <v>2</v>
      </c>
      <c r="U362" s="6" t="s">
        <v>642</v>
      </c>
      <c r="V362" s="6" t="str">
        <f t="shared" si="171"/>
        <v>26/01</v>
      </c>
      <c r="AI362" s="23">
        <v>0</v>
      </c>
      <c r="AJ362" s="23">
        <v>0</v>
      </c>
      <c r="AK362" s="23">
        <v>0</v>
      </c>
      <c r="AL362" s="23">
        <v>0</v>
      </c>
      <c r="AM362" s="23">
        <v>0</v>
      </c>
      <c r="AN362" s="23">
        <v>0</v>
      </c>
      <c r="AO362" s="23">
        <v>1</v>
      </c>
      <c r="AP362" s="23">
        <v>0</v>
      </c>
      <c r="AQ362" s="23">
        <v>0</v>
      </c>
      <c r="AR362" s="23">
        <v>0</v>
      </c>
      <c r="AS362" s="23">
        <v>0</v>
      </c>
      <c r="AT362" s="23">
        <v>0</v>
      </c>
      <c r="AU362" s="23">
        <v>0</v>
      </c>
      <c r="AV362" s="23">
        <v>0</v>
      </c>
      <c r="AW362" s="23">
        <v>0</v>
      </c>
      <c r="AX362" s="23">
        <v>0</v>
      </c>
      <c r="AY362" s="23">
        <v>0</v>
      </c>
      <c r="AZ362" s="23">
        <v>0</v>
      </c>
      <c r="BA362" s="23">
        <v>0</v>
      </c>
      <c r="BB362" s="23">
        <v>0</v>
      </c>
      <c r="BC362" s="23">
        <v>0</v>
      </c>
      <c r="BD362" s="23">
        <v>0</v>
      </c>
      <c r="BE362" s="23">
        <v>0</v>
      </c>
      <c r="BF362" s="23">
        <v>0</v>
      </c>
      <c r="BG362" s="23">
        <v>0</v>
      </c>
      <c r="BH362" s="23">
        <v>0</v>
      </c>
      <c r="BI362" s="23">
        <v>0</v>
      </c>
      <c r="BJ362" s="23">
        <v>0</v>
      </c>
      <c r="BK362" s="23">
        <v>0</v>
      </c>
      <c r="BL362" s="23">
        <v>0</v>
      </c>
      <c r="BM362" s="23">
        <v>0</v>
      </c>
      <c r="BN362" s="23">
        <v>0</v>
      </c>
      <c r="BO362" s="23">
        <v>0</v>
      </c>
      <c r="BP362" s="23">
        <f t="shared" si="172"/>
        <v>0</v>
      </c>
      <c r="BQ362" s="23">
        <f t="shared" si="173"/>
        <v>0</v>
      </c>
      <c r="BR362" s="23">
        <f t="shared" si="174"/>
        <v>0</v>
      </c>
      <c r="BS362" s="23">
        <f t="shared" si="175"/>
        <v>0</v>
      </c>
      <c r="BT362" s="23">
        <f t="shared" si="176"/>
        <v>0</v>
      </c>
      <c r="BU362" s="23">
        <f t="shared" si="177"/>
        <v>0</v>
      </c>
      <c r="BV362" s="23">
        <f t="shared" si="178"/>
        <v>2</v>
      </c>
      <c r="BW362" s="23">
        <f t="shared" si="179"/>
        <v>0</v>
      </c>
      <c r="BX362" s="23">
        <f t="shared" si="180"/>
        <v>0</v>
      </c>
      <c r="BY362" s="23">
        <f t="shared" si="181"/>
        <v>0</v>
      </c>
      <c r="BZ362" s="23">
        <f t="shared" si="182"/>
        <v>0</v>
      </c>
      <c r="CA362" s="23">
        <f t="shared" si="183"/>
        <v>0</v>
      </c>
      <c r="CB362" s="23">
        <f t="shared" si="184"/>
        <v>0</v>
      </c>
      <c r="CC362" s="23">
        <f t="shared" si="185"/>
        <v>0</v>
      </c>
      <c r="CD362" s="23">
        <f t="shared" si="186"/>
        <v>0</v>
      </c>
      <c r="CE362" s="23">
        <f t="shared" si="187"/>
        <v>0</v>
      </c>
      <c r="CF362" s="23">
        <f t="shared" si="188"/>
        <v>0</v>
      </c>
      <c r="CG362" s="23">
        <f t="shared" si="189"/>
        <v>0</v>
      </c>
      <c r="CH362" s="23">
        <f t="shared" si="190"/>
        <v>0</v>
      </c>
      <c r="CI362" s="23">
        <f t="shared" si="191"/>
        <v>0</v>
      </c>
      <c r="CJ362" s="23">
        <f t="shared" si="192"/>
        <v>0</v>
      </c>
      <c r="CK362" s="23">
        <f t="shared" si="193"/>
        <v>0</v>
      </c>
      <c r="CL362" s="23">
        <f t="shared" si="194"/>
        <v>0</v>
      </c>
      <c r="CM362" s="23">
        <f t="shared" si="195"/>
        <v>0</v>
      </c>
      <c r="CN362" s="23">
        <f t="shared" si="196"/>
        <v>0</v>
      </c>
      <c r="CO362" s="23">
        <f t="shared" si="197"/>
        <v>0</v>
      </c>
      <c r="CP362" s="23">
        <f t="shared" si="198"/>
        <v>0</v>
      </c>
      <c r="CQ362" s="23">
        <f t="shared" si="199"/>
        <v>0</v>
      </c>
      <c r="CR362" s="23">
        <f t="shared" si="200"/>
        <v>0</v>
      </c>
      <c r="CS362" s="23">
        <f t="shared" si="201"/>
        <v>0</v>
      </c>
      <c r="CT362" s="23">
        <f t="shared" si="202"/>
        <v>0</v>
      </c>
      <c r="CU362" s="23">
        <f t="shared" si="203"/>
        <v>0</v>
      </c>
      <c r="CV362" s="23">
        <f t="shared" si="204"/>
        <v>0</v>
      </c>
    </row>
    <row r="363" spans="1:100" ht="13.5">
      <c r="A363" s="15">
        <v>12</v>
      </c>
      <c r="B363" s="27" t="s">
        <v>667</v>
      </c>
      <c r="C363" t="s">
        <v>635</v>
      </c>
      <c r="D363" t="s">
        <v>662</v>
      </c>
      <c r="E363" t="s">
        <v>663</v>
      </c>
      <c r="F363" t="s">
        <v>638</v>
      </c>
      <c r="G363" t="s">
        <v>663</v>
      </c>
      <c r="H363" t="s">
        <v>664</v>
      </c>
      <c r="I363" s="6" t="s">
        <v>640</v>
      </c>
      <c r="J363" s="6">
        <v>1</v>
      </c>
      <c r="L363" s="15">
        <v>3</v>
      </c>
      <c r="M363" s="7">
        <v>46001</v>
      </c>
      <c r="N363" s="7">
        <v>46045</v>
      </c>
      <c r="O363" s="7">
        <v>46045</v>
      </c>
      <c r="P363" s="7">
        <v>46045</v>
      </c>
      <c r="Q363" s="28" t="str">
        <f t="shared" si="205"/>
        <v>OK</v>
      </c>
      <c r="R363" s="6" t="s">
        <v>668</v>
      </c>
      <c r="S363" s="6" t="str">
        <f t="shared" si="206"/>
        <v>LAE101</v>
      </c>
      <c r="T363" s="6">
        <v>3</v>
      </c>
      <c r="U363" s="6" t="s">
        <v>642</v>
      </c>
      <c r="V363" s="6" t="str">
        <f t="shared" si="171"/>
        <v>26/01</v>
      </c>
      <c r="AI363" s="23">
        <v>0</v>
      </c>
      <c r="AJ363" s="23">
        <v>0</v>
      </c>
      <c r="AK363" s="23">
        <v>0</v>
      </c>
      <c r="AL363" s="23">
        <v>0</v>
      </c>
      <c r="AM363" s="23">
        <v>0</v>
      </c>
      <c r="AN363" s="23">
        <v>0</v>
      </c>
      <c r="AO363" s="23">
        <v>1</v>
      </c>
      <c r="AP363" s="23">
        <v>0</v>
      </c>
      <c r="AQ363" s="23">
        <v>0</v>
      </c>
      <c r="AR363" s="23">
        <v>0</v>
      </c>
      <c r="AS363" s="23">
        <v>0</v>
      </c>
      <c r="AT363" s="23">
        <v>0</v>
      </c>
      <c r="AU363" s="23">
        <v>0</v>
      </c>
      <c r="AV363" s="23">
        <v>0</v>
      </c>
      <c r="AW363" s="23">
        <v>0</v>
      </c>
      <c r="AX363" s="23">
        <v>0</v>
      </c>
      <c r="AY363" s="23">
        <v>0</v>
      </c>
      <c r="AZ363" s="23">
        <v>0</v>
      </c>
      <c r="BA363" s="23">
        <v>0</v>
      </c>
      <c r="BB363" s="23">
        <v>0</v>
      </c>
      <c r="BC363" s="23">
        <v>0</v>
      </c>
      <c r="BD363" s="23">
        <v>0</v>
      </c>
      <c r="BE363" s="23">
        <v>0</v>
      </c>
      <c r="BF363" s="23">
        <v>0</v>
      </c>
      <c r="BG363" s="23">
        <v>0</v>
      </c>
      <c r="BH363" s="23">
        <v>0</v>
      </c>
      <c r="BI363" s="23">
        <v>0</v>
      </c>
      <c r="BJ363" s="23">
        <v>0</v>
      </c>
      <c r="BK363" s="23">
        <v>0</v>
      </c>
      <c r="BL363" s="23">
        <v>0</v>
      </c>
      <c r="BM363" s="23">
        <v>0</v>
      </c>
      <c r="BN363" s="23">
        <v>0</v>
      </c>
      <c r="BO363" s="23">
        <v>0</v>
      </c>
      <c r="BP363" s="23">
        <f t="shared" si="172"/>
        <v>0</v>
      </c>
      <c r="BQ363" s="23">
        <f t="shared" si="173"/>
        <v>0</v>
      </c>
      <c r="BR363" s="23">
        <f t="shared" si="174"/>
        <v>0</v>
      </c>
      <c r="BS363" s="23">
        <f t="shared" si="175"/>
        <v>0</v>
      </c>
      <c r="BT363" s="23">
        <f t="shared" si="176"/>
        <v>0</v>
      </c>
      <c r="BU363" s="23">
        <f t="shared" si="177"/>
        <v>0</v>
      </c>
      <c r="BV363" s="23">
        <f t="shared" si="178"/>
        <v>3</v>
      </c>
      <c r="BW363" s="23">
        <f t="shared" si="179"/>
        <v>0</v>
      </c>
      <c r="BX363" s="23">
        <f t="shared" si="180"/>
        <v>0</v>
      </c>
      <c r="BY363" s="23">
        <f t="shared" si="181"/>
        <v>0</v>
      </c>
      <c r="BZ363" s="23">
        <f t="shared" si="182"/>
        <v>0</v>
      </c>
      <c r="CA363" s="23">
        <f t="shared" si="183"/>
        <v>0</v>
      </c>
      <c r="CB363" s="23">
        <f t="shared" si="184"/>
        <v>0</v>
      </c>
      <c r="CC363" s="23">
        <f t="shared" si="185"/>
        <v>0</v>
      </c>
      <c r="CD363" s="23">
        <f t="shared" si="186"/>
        <v>0</v>
      </c>
      <c r="CE363" s="23">
        <f t="shared" si="187"/>
        <v>0</v>
      </c>
      <c r="CF363" s="23">
        <f t="shared" si="188"/>
        <v>0</v>
      </c>
      <c r="CG363" s="23">
        <f t="shared" si="189"/>
        <v>0</v>
      </c>
      <c r="CH363" s="23">
        <f t="shared" si="190"/>
        <v>0</v>
      </c>
      <c r="CI363" s="23">
        <f t="shared" si="191"/>
        <v>0</v>
      </c>
      <c r="CJ363" s="23">
        <f t="shared" si="192"/>
        <v>0</v>
      </c>
      <c r="CK363" s="23">
        <f t="shared" si="193"/>
        <v>0</v>
      </c>
      <c r="CL363" s="23">
        <f t="shared" si="194"/>
        <v>0</v>
      </c>
      <c r="CM363" s="23">
        <f t="shared" si="195"/>
        <v>0</v>
      </c>
      <c r="CN363" s="23">
        <f t="shared" si="196"/>
        <v>0</v>
      </c>
      <c r="CO363" s="23">
        <f t="shared" si="197"/>
        <v>0</v>
      </c>
      <c r="CP363" s="23">
        <f t="shared" si="198"/>
        <v>0</v>
      </c>
      <c r="CQ363" s="23">
        <f t="shared" si="199"/>
        <v>0</v>
      </c>
      <c r="CR363" s="23">
        <f t="shared" si="200"/>
        <v>0</v>
      </c>
      <c r="CS363" s="23">
        <f t="shared" si="201"/>
        <v>0</v>
      </c>
      <c r="CT363" s="23">
        <f t="shared" si="202"/>
        <v>0</v>
      </c>
      <c r="CU363" s="23">
        <f t="shared" si="203"/>
        <v>0</v>
      </c>
      <c r="CV363" s="23">
        <f t="shared" si="204"/>
        <v>0</v>
      </c>
    </row>
    <row r="364" spans="1:100" ht="13.5">
      <c r="A364" s="15">
        <v>41</v>
      </c>
      <c r="B364" s="27" t="s">
        <v>670</v>
      </c>
      <c r="C364" t="s">
        <v>635</v>
      </c>
      <c r="D364" t="s">
        <v>662</v>
      </c>
      <c r="E364" t="s">
        <v>663</v>
      </c>
      <c r="F364" t="s">
        <v>638</v>
      </c>
      <c r="G364" t="s">
        <v>663</v>
      </c>
      <c r="H364" t="s">
        <v>664</v>
      </c>
      <c r="I364" s="6" t="s">
        <v>640</v>
      </c>
      <c r="J364" s="6">
        <v>1</v>
      </c>
      <c r="L364" s="15">
        <v>1</v>
      </c>
      <c r="M364" s="7">
        <v>46037</v>
      </c>
      <c r="N364" s="7">
        <v>46063</v>
      </c>
      <c r="O364" s="7">
        <v>46063</v>
      </c>
      <c r="P364" s="7">
        <v>46063</v>
      </c>
      <c r="Q364" s="28" t="str">
        <f t="shared" si="205"/>
        <v>OK</v>
      </c>
      <c r="S364" s="6" t="str">
        <f t="shared" si="206"/>
        <v>LAE101</v>
      </c>
      <c r="T364" s="6">
        <v>1</v>
      </c>
      <c r="U364" s="6" t="s">
        <v>642</v>
      </c>
      <c r="V364" s="6" t="str">
        <f t="shared" si="171"/>
        <v>26/02</v>
      </c>
      <c r="AI364" s="23">
        <v>0</v>
      </c>
      <c r="AJ364" s="23">
        <v>0</v>
      </c>
      <c r="AK364" s="23">
        <v>0</v>
      </c>
      <c r="AL364" s="23">
        <v>0</v>
      </c>
      <c r="AM364" s="23">
        <v>0</v>
      </c>
      <c r="AN364" s="23">
        <v>0</v>
      </c>
      <c r="AO364" s="23">
        <v>1</v>
      </c>
      <c r="AP364" s="23">
        <v>0</v>
      </c>
      <c r="AQ364" s="23">
        <v>0</v>
      </c>
      <c r="AR364" s="23">
        <v>0</v>
      </c>
      <c r="AS364" s="23">
        <v>0</v>
      </c>
      <c r="AT364" s="23">
        <v>0</v>
      </c>
      <c r="AU364" s="23">
        <v>0</v>
      </c>
      <c r="AV364" s="23">
        <v>0</v>
      </c>
      <c r="AW364" s="23">
        <v>0</v>
      </c>
      <c r="AX364" s="23">
        <v>0</v>
      </c>
      <c r="AY364" s="23">
        <v>0</v>
      </c>
      <c r="AZ364" s="23">
        <v>0</v>
      </c>
      <c r="BA364" s="23">
        <v>0</v>
      </c>
      <c r="BB364" s="23">
        <v>0</v>
      </c>
      <c r="BC364" s="23">
        <v>0</v>
      </c>
      <c r="BD364" s="23">
        <v>0</v>
      </c>
      <c r="BE364" s="23">
        <v>0</v>
      </c>
      <c r="BF364" s="23">
        <v>0</v>
      </c>
      <c r="BG364" s="23">
        <v>0</v>
      </c>
      <c r="BH364" s="23">
        <v>0</v>
      </c>
      <c r="BI364" s="23">
        <v>0</v>
      </c>
      <c r="BJ364" s="23">
        <v>0</v>
      </c>
      <c r="BK364" s="23">
        <v>0</v>
      </c>
      <c r="BL364" s="23">
        <v>0</v>
      </c>
      <c r="BM364" s="23">
        <v>0</v>
      </c>
      <c r="BN364" s="23">
        <v>0</v>
      </c>
      <c r="BO364" s="23">
        <v>0</v>
      </c>
      <c r="BP364" s="23">
        <f t="shared" si="172"/>
        <v>0</v>
      </c>
      <c r="BQ364" s="23">
        <f t="shared" si="173"/>
        <v>0</v>
      </c>
      <c r="BR364" s="23">
        <f t="shared" si="174"/>
        <v>0</v>
      </c>
      <c r="BS364" s="23">
        <f t="shared" si="175"/>
        <v>0</v>
      </c>
      <c r="BT364" s="23">
        <f t="shared" si="176"/>
        <v>0</v>
      </c>
      <c r="BU364" s="23">
        <f t="shared" si="177"/>
        <v>0</v>
      </c>
      <c r="BV364" s="23">
        <f t="shared" si="178"/>
        <v>1</v>
      </c>
      <c r="BW364" s="23">
        <f t="shared" si="179"/>
        <v>0</v>
      </c>
      <c r="BX364" s="23">
        <f t="shared" si="180"/>
        <v>0</v>
      </c>
      <c r="BY364" s="23">
        <f t="shared" si="181"/>
        <v>0</v>
      </c>
      <c r="BZ364" s="23">
        <f t="shared" si="182"/>
        <v>0</v>
      </c>
      <c r="CA364" s="23">
        <f t="shared" si="183"/>
        <v>0</v>
      </c>
      <c r="CB364" s="23">
        <f t="shared" si="184"/>
        <v>0</v>
      </c>
      <c r="CC364" s="23">
        <f t="shared" si="185"/>
        <v>0</v>
      </c>
      <c r="CD364" s="23">
        <f t="shared" si="186"/>
        <v>0</v>
      </c>
      <c r="CE364" s="23">
        <f t="shared" si="187"/>
        <v>0</v>
      </c>
      <c r="CF364" s="23">
        <f t="shared" si="188"/>
        <v>0</v>
      </c>
      <c r="CG364" s="23">
        <f t="shared" si="189"/>
        <v>0</v>
      </c>
      <c r="CH364" s="23">
        <f t="shared" si="190"/>
        <v>0</v>
      </c>
      <c r="CI364" s="23">
        <f t="shared" si="191"/>
        <v>0</v>
      </c>
      <c r="CJ364" s="23">
        <f t="shared" si="192"/>
        <v>0</v>
      </c>
      <c r="CK364" s="23">
        <f t="shared" si="193"/>
        <v>0</v>
      </c>
      <c r="CL364" s="23">
        <f t="shared" si="194"/>
        <v>0</v>
      </c>
      <c r="CM364" s="23">
        <f t="shared" si="195"/>
        <v>0</v>
      </c>
      <c r="CN364" s="23">
        <f t="shared" si="196"/>
        <v>0</v>
      </c>
      <c r="CO364" s="23">
        <f t="shared" si="197"/>
        <v>0</v>
      </c>
      <c r="CP364" s="23">
        <f t="shared" si="198"/>
        <v>0</v>
      </c>
      <c r="CQ364" s="23">
        <f t="shared" si="199"/>
        <v>0</v>
      </c>
      <c r="CR364" s="23">
        <f t="shared" si="200"/>
        <v>0</v>
      </c>
      <c r="CS364" s="23">
        <f t="shared" si="201"/>
        <v>0</v>
      </c>
      <c r="CT364" s="23">
        <f t="shared" si="202"/>
        <v>0</v>
      </c>
      <c r="CU364" s="23">
        <f t="shared" si="203"/>
        <v>0</v>
      </c>
      <c r="CV364" s="23">
        <f t="shared" si="204"/>
        <v>0</v>
      </c>
    </row>
    <row r="365" spans="1:100" ht="14.25" thickBot="1">
      <c r="A365" s="31">
        <v>40</v>
      </c>
      <c r="B365" s="32" t="s">
        <v>669</v>
      </c>
      <c r="C365" s="33" t="s">
        <v>635</v>
      </c>
      <c r="D365" s="33" t="s">
        <v>662</v>
      </c>
      <c r="E365" s="33" t="s">
        <v>663</v>
      </c>
      <c r="F365" s="33" t="s">
        <v>638</v>
      </c>
      <c r="G365" s="33" t="s">
        <v>663</v>
      </c>
      <c r="H365" s="33" t="s">
        <v>664</v>
      </c>
      <c r="I365" s="34" t="s">
        <v>640</v>
      </c>
      <c r="J365" s="34">
        <v>1</v>
      </c>
      <c r="K365" s="33"/>
      <c r="L365" s="31">
        <v>2</v>
      </c>
      <c r="M365" s="35">
        <v>46037</v>
      </c>
      <c r="N365" s="35">
        <v>46063</v>
      </c>
      <c r="O365" s="35">
        <v>46063</v>
      </c>
      <c r="P365" s="35">
        <v>46063</v>
      </c>
      <c r="Q365" s="36" t="str">
        <f t="shared" si="205"/>
        <v>OK</v>
      </c>
      <c r="R365" s="34"/>
      <c r="S365" s="34" t="str">
        <f t="shared" si="206"/>
        <v>LAE101</v>
      </c>
      <c r="T365" s="34">
        <v>2</v>
      </c>
      <c r="U365" s="34" t="s">
        <v>642</v>
      </c>
      <c r="V365" s="34" t="str">
        <f t="shared" si="171"/>
        <v>26/02</v>
      </c>
      <c r="AI365" s="23">
        <v>0</v>
      </c>
      <c r="AJ365" s="23">
        <v>0</v>
      </c>
      <c r="AK365" s="23">
        <v>0</v>
      </c>
      <c r="AL365" s="23">
        <v>0</v>
      </c>
      <c r="AM365" s="23">
        <v>0</v>
      </c>
      <c r="AN365" s="23">
        <v>0</v>
      </c>
      <c r="AO365" s="23">
        <v>1</v>
      </c>
      <c r="AP365" s="23">
        <v>0</v>
      </c>
      <c r="AQ365" s="23">
        <v>0</v>
      </c>
      <c r="AR365" s="23">
        <v>0</v>
      </c>
      <c r="AS365" s="23">
        <v>0</v>
      </c>
      <c r="AT365" s="23">
        <v>0</v>
      </c>
      <c r="AU365" s="23">
        <v>0</v>
      </c>
      <c r="AV365" s="23">
        <v>0</v>
      </c>
      <c r="AW365" s="23">
        <v>0</v>
      </c>
      <c r="AX365" s="23">
        <v>0</v>
      </c>
      <c r="AY365" s="23">
        <v>0</v>
      </c>
      <c r="AZ365" s="23">
        <v>0</v>
      </c>
      <c r="BA365" s="23">
        <v>0</v>
      </c>
      <c r="BB365" s="23">
        <v>0</v>
      </c>
      <c r="BC365" s="23">
        <v>0</v>
      </c>
      <c r="BD365" s="23">
        <v>0</v>
      </c>
      <c r="BE365" s="23">
        <v>0</v>
      </c>
      <c r="BF365" s="23">
        <v>0</v>
      </c>
      <c r="BG365" s="23">
        <v>0</v>
      </c>
      <c r="BH365" s="23">
        <v>0</v>
      </c>
      <c r="BI365" s="23">
        <v>0</v>
      </c>
      <c r="BJ365" s="23">
        <v>0</v>
      </c>
      <c r="BK365" s="23">
        <v>0</v>
      </c>
      <c r="BL365" s="23">
        <v>0</v>
      </c>
      <c r="BM365" s="23">
        <v>0</v>
      </c>
      <c r="BN365" s="23">
        <v>0</v>
      </c>
      <c r="BO365" s="23">
        <v>0</v>
      </c>
      <c r="BP365" s="23">
        <f t="shared" si="172"/>
        <v>0</v>
      </c>
      <c r="BQ365" s="23">
        <f t="shared" si="173"/>
        <v>0</v>
      </c>
      <c r="BR365" s="23">
        <f t="shared" si="174"/>
        <v>0</v>
      </c>
      <c r="BS365" s="23">
        <f t="shared" si="175"/>
        <v>0</v>
      </c>
      <c r="BT365" s="23">
        <f t="shared" si="176"/>
        <v>0</v>
      </c>
      <c r="BU365" s="23">
        <f t="shared" si="177"/>
        <v>0</v>
      </c>
      <c r="BV365" s="23">
        <f t="shared" si="178"/>
        <v>2</v>
      </c>
      <c r="BW365" s="23">
        <f t="shared" si="179"/>
        <v>0</v>
      </c>
      <c r="BX365" s="23">
        <f t="shared" si="180"/>
        <v>0</v>
      </c>
      <c r="BY365" s="23">
        <f t="shared" si="181"/>
        <v>0</v>
      </c>
      <c r="BZ365" s="23">
        <f t="shared" si="182"/>
        <v>0</v>
      </c>
      <c r="CA365" s="23">
        <f t="shared" si="183"/>
        <v>0</v>
      </c>
      <c r="CB365" s="23">
        <f t="shared" si="184"/>
        <v>0</v>
      </c>
      <c r="CC365" s="23">
        <f t="shared" si="185"/>
        <v>0</v>
      </c>
      <c r="CD365" s="23">
        <f t="shared" si="186"/>
        <v>0</v>
      </c>
      <c r="CE365" s="23">
        <f t="shared" si="187"/>
        <v>0</v>
      </c>
      <c r="CF365" s="23">
        <f t="shared" si="188"/>
        <v>0</v>
      </c>
      <c r="CG365" s="23">
        <f t="shared" si="189"/>
        <v>0</v>
      </c>
      <c r="CH365" s="23">
        <f t="shared" si="190"/>
        <v>0</v>
      </c>
      <c r="CI365" s="23">
        <f t="shared" si="191"/>
        <v>0</v>
      </c>
      <c r="CJ365" s="23">
        <f t="shared" si="192"/>
        <v>0</v>
      </c>
      <c r="CK365" s="23">
        <f t="shared" si="193"/>
        <v>0</v>
      </c>
      <c r="CL365" s="23">
        <f t="shared" si="194"/>
        <v>0</v>
      </c>
      <c r="CM365" s="23">
        <f t="shared" si="195"/>
        <v>0</v>
      </c>
      <c r="CN365" s="23">
        <f t="shared" si="196"/>
        <v>0</v>
      </c>
      <c r="CO365" s="23">
        <f t="shared" si="197"/>
        <v>0</v>
      </c>
      <c r="CP365" s="23">
        <f t="shared" si="198"/>
        <v>0</v>
      </c>
      <c r="CQ365" s="23">
        <f t="shared" si="199"/>
        <v>0</v>
      </c>
      <c r="CR365" s="23">
        <f t="shared" si="200"/>
        <v>0</v>
      </c>
      <c r="CS365" s="23">
        <f t="shared" si="201"/>
        <v>0</v>
      </c>
      <c r="CT365" s="23">
        <f t="shared" si="202"/>
        <v>0</v>
      </c>
      <c r="CU365" s="23">
        <f t="shared" si="203"/>
        <v>0</v>
      </c>
      <c r="CV365" s="23">
        <f t="shared" si="204"/>
        <v>0</v>
      </c>
    </row>
    <row r="366" spans="1:100" ht="14.25" thickTop="1">
      <c r="A366" s="15">
        <v>3</v>
      </c>
      <c r="B366" s="27" t="s">
        <v>671</v>
      </c>
      <c r="C366" t="s">
        <v>635</v>
      </c>
      <c r="D366" t="s">
        <v>672</v>
      </c>
      <c r="E366" t="s">
        <v>673</v>
      </c>
      <c r="F366" t="s">
        <v>638</v>
      </c>
      <c r="G366" t="s">
        <v>673</v>
      </c>
      <c r="H366" t="s">
        <v>674</v>
      </c>
      <c r="I366" s="6" t="s">
        <v>640</v>
      </c>
      <c r="J366" s="6">
        <v>1</v>
      </c>
      <c r="L366" s="15">
        <v>1</v>
      </c>
      <c r="M366" s="7">
        <v>46001</v>
      </c>
      <c r="N366" s="7">
        <v>46044</v>
      </c>
      <c r="O366" s="7">
        <v>46044</v>
      </c>
      <c r="P366" s="7">
        <v>46044</v>
      </c>
      <c r="Q366" s="28" t="str">
        <f t="shared" si="205"/>
        <v>OK</v>
      </c>
      <c r="R366" s="6" t="s">
        <v>675</v>
      </c>
      <c r="S366" s="6" t="str">
        <f t="shared" si="206"/>
        <v>LAC001</v>
      </c>
      <c r="T366" s="6">
        <v>1</v>
      </c>
      <c r="U366" s="6" t="s">
        <v>642</v>
      </c>
      <c r="V366" s="6" t="str">
        <f t="shared" si="171"/>
        <v>26/01</v>
      </c>
      <c r="AI366" s="23">
        <v>0</v>
      </c>
      <c r="AJ366" s="23">
        <v>0</v>
      </c>
      <c r="AK366" s="23">
        <v>0</v>
      </c>
      <c r="AL366" s="23">
        <v>0</v>
      </c>
      <c r="AM366" s="23">
        <v>0</v>
      </c>
      <c r="AN366" s="23">
        <v>0</v>
      </c>
      <c r="AO366" s="23">
        <v>0</v>
      </c>
      <c r="AP366" s="23">
        <v>0</v>
      </c>
      <c r="AQ366" s="23">
        <v>0</v>
      </c>
      <c r="AR366" s="23">
        <v>0</v>
      </c>
      <c r="AS366" s="23">
        <v>0</v>
      </c>
      <c r="AT366" s="23">
        <v>0</v>
      </c>
      <c r="AU366" s="23">
        <v>0</v>
      </c>
      <c r="AV366" s="23">
        <v>0</v>
      </c>
      <c r="AW366" s="23">
        <v>0</v>
      </c>
      <c r="AX366" s="23">
        <v>1</v>
      </c>
      <c r="AY366" s="23">
        <v>0</v>
      </c>
      <c r="AZ366" s="23">
        <v>0</v>
      </c>
      <c r="BA366" s="23">
        <v>0</v>
      </c>
      <c r="BB366" s="23">
        <v>0</v>
      </c>
      <c r="BC366" s="23">
        <v>0</v>
      </c>
      <c r="BD366" s="23">
        <v>0</v>
      </c>
      <c r="BE366" s="23">
        <v>0</v>
      </c>
      <c r="BF366" s="23">
        <v>0</v>
      </c>
      <c r="BG366" s="23">
        <v>0</v>
      </c>
      <c r="BH366" s="23">
        <v>0</v>
      </c>
      <c r="BI366" s="23">
        <v>0</v>
      </c>
      <c r="BJ366" s="23">
        <v>0</v>
      </c>
      <c r="BK366" s="23">
        <v>0</v>
      </c>
      <c r="BL366" s="23">
        <v>0</v>
      </c>
      <c r="BM366" s="23">
        <v>0</v>
      </c>
      <c r="BN366" s="23">
        <v>0</v>
      </c>
      <c r="BO366" s="23">
        <v>0</v>
      </c>
      <c r="BP366" s="23">
        <f t="shared" si="172"/>
        <v>0</v>
      </c>
      <c r="BQ366" s="23">
        <f t="shared" si="173"/>
        <v>0</v>
      </c>
      <c r="BR366" s="23">
        <f t="shared" si="174"/>
        <v>0</v>
      </c>
      <c r="BS366" s="23">
        <f t="shared" si="175"/>
        <v>0</v>
      </c>
      <c r="BT366" s="23">
        <f t="shared" si="176"/>
        <v>0</v>
      </c>
      <c r="BU366" s="23">
        <f t="shared" si="177"/>
        <v>0</v>
      </c>
      <c r="BV366" s="23">
        <f t="shared" si="178"/>
        <v>0</v>
      </c>
      <c r="BW366" s="23">
        <f t="shared" si="179"/>
        <v>0</v>
      </c>
      <c r="BX366" s="23">
        <f t="shared" si="180"/>
        <v>0</v>
      </c>
      <c r="BY366" s="23">
        <f t="shared" si="181"/>
        <v>0</v>
      </c>
      <c r="BZ366" s="23">
        <f t="shared" si="182"/>
        <v>0</v>
      </c>
      <c r="CA366" s="23">
        <f t="shared" si="183"/>
        <v>0</v>
      </c>
      <c r="CB366" s="23">
        <f t="shared" si="184"/>
        <v>0</v>
      </c>
      <c r="CC366" s="23">
        <f t="shared" si="185"/>
        <v>0</v>
      </c>
      <c r="CD366" s="23">
        <f t="shared" si="186"/>
        <v>0</v>
      </c>
      <c r="CE366" s="23">
        <f t="shared" si="187"/>
        <v>1</v>
      </c>
      <c r="CF366" s="23">
        <f t="shared" si="188"/>
        <v>0</v>
      </c>
      <c r="CG366" s="23">
        <f t="shared" si="189"/>
        <v>0</v>
      </c>
      <c r="CH366" s="23">
        <f t="shared" si="190"/>
        <v>0</v>
      </c>
      <c r="CI366" s="23">
        <f t="shared" si="191"/>
        <v>0</v>
      </c>
      <c r="CJ366" s="23">
        <f t="shared" si="192"/>
        <v>0</v>
      </c>
      <c r="CK366" s="23">
        <f t="shared" si="193"/>
        <v>0</v>
      </c>
      <c r="CL366" s="23">
        <f t="shared" si="194"/>
        <v>0</v>
      </c>
      <c r="CM366" s="23">
        <f t="shared" si="195"/>
        <v>0</v>
      </c>
      <c r="CN366" s="23">
        <f t="shared" si="196"/>
        <v>0</v>
      </c>
      <c r="CO366" s="23">
        <f t="shared" si="197"/>
        <v>0</v>
      </c>
      <c r="CP366" s="23">
        <f t="shared" si="198"/>
        <v>0</v>
      </c>
      <c r="CQ366" s="23">
        <f t="shared" si="199"/>
        <v>0</v>
      </c>
      <c r="CR366" s="23">
        <f t="shared" si="200"/>
        <v>0</v>
      </c>
      <c r="CS366" s="23">
        <f t="shared" si="201"/>
        <v>0</v>
      </c>
      <c r="CT366" s="23">
        <f t="shared" si="202"/>
        <v>0</v>
      </c>
      <c r="CU366" s="23">
        <f t="shared" si="203"/>
        <v>0</v>
      </c>
      <c r="CV366" s="23">
        <f t="shared" si="204"/>
        <v>0</v>
      </c>
    </row>
    <row r="367" spans="1:100" ht="13.5">
      <c r="A367" s="15">
        <v>35</v>
      </c>
      <c r="B367" s="27" t="s">
        <v>676</v>
      </c>
      <c r="C367" t="s">
        <v>635</v>
      </c>
      <c r="D367" t="s">
        <v>672</v>
      </c>
      <c r="E367" t="s">
        <v>673</v>
      </c>
      <c r="F367" t="s">
        <v>638</v>
      </c>
      <c r="G367" t="s">
        <v>673</v>
      </c>
      <c r="H367" t="s">
        <v>674</v>
      </c>
      <c r="I367" s="6" t="s">
        <v>640</v>
      </c>
      <c r="J367" s="6">
        <v>1</v>
      </c>
      <c r="L367" s="15">
        <v>2</v>
      </c>
      <c r="M367" s="7">
        <v>46037</v>
      </c>
      <c r="N367" s="7">
        <v>46063</v>
      </c>
      <c r="O367" s="7">
        <v>46063</v>
      </c>
      <c r="P367" s="7">
        <v>46063</v>
      </c>
      <c r="Q367" s="28" t="str">
        <f t="shared" si="205"/>
        <v>OK</v>
      </c>
      <c r="S367" s="6" t="str">
        <f t="shared" si="206"/>
        <v>LAC001</v>
      </c>
      <c r="T367" s="6">
        <v>2</v>
      </c>
      <c r="U367" s="6" t="s">
        <v>642</v>
      </c>
      <c r="V367" s="6" t="str">
        <f t="shared" si="171"/>
        <v>26/02</v>
      </c>
      <c r="AI367" s="23">
        <v>0</v>
      </c>
      <c r="AJ367" s="23">
        <v>0</v>
      </c>
      <c r="AK367" s="23">
        <v>0</v>
      </c>
      <c r="AL367" s="23">
        <v>0</v>
      </c>
      <c r="AM367" s="23">
        <v>0</v>
      </c>
      <c r="AN367" s="23">
        <v>0</v>
      </c>
      <c r="AO367" s="23">
        <v>0</v>
      </c>
      <c r="AP367" s="23">
        <v>0</v>
      </c>
      <c r="AQ367" s="23">
        <v>0</v>
      </c>
      <c r="AR367" s="23">
        <v>0</v>
      </c>
      <c r="AS367" s="23">
        <v>0</v>
      </c>
      <c r="AT367" s="23">
        <v>0</v>
      </c>
      <c r="AU367" s="23">
        <v>0</v>
      </c>
      <c r="AV367" s="23">
        <v>0</v>
      </c>
      <c r="AW367" s="23">
        <v>0</v>
      </c>
      <c r="AX367" s="23">
        <v>1</v>
      </c>
      <c r="AY367" s="23">
        <v>0</v>
      </c>
      <c r="AZ367" s="23">
        <v>0</v>
      </c>
      <c r="BA367" s="23">
        <v>0</v>
      </c>
      <c r="BB367" s="23">
        <v>0</v>
      </c>
      <c r="BC367" s="23">
        <v>0</v>
      </c>
      <c r="BD367" s="23">
        <v>0</v>
      </c>
      <c r="BE367" s="23">
        <v>0</v>
      </c>
      <c r="BF367" s="23">
        <v>0</v>
      </c>
      <c r="BG367" s="23">
        <v>0</v>
      </c>
      <c r="BH367" s="23">
        <v>0</v>
      </c>
      <c r="BI367" s="23">
        <v>0</v>
      </c>
      <c r="BJ367" s="23">
        <v>0</v>
      </c>
      <c r="BK367" s="23">
        <v>0</v>
      </c>
      <c r="BL367" s="23">
        <v>0</v>
      </c>
      <c r="BM367" s="23">
        <v>0</v>
      </c>
      <c r="BN367" s="23">
        <v>0</v>
      </c>
      <c r="BO367" s="23">
        <v>0</v>
      </c>
      <c r="BP367" s="23">
        <f t="shared" si="172"/>
        <v>0</v>
      </c>
      <c r="BQ367" s="23">
        <f t="shared" si="173"/>
        <v>0</v>
      </c>
      <c r="BR367" s="23">
        <f t="shared" si="174"/>
        <v>0</v>
      </c>
      <c r="BS367" s="23">
        <f t="shared" si="175"/>
        <v>0</v>
      </c>
      <c r="BT367" s="23">
        <f t="shared" si="176"/>
        <v>0</v>
      </c>
      <c r="BU367" s="23">
        <f t="shared" si="177"/>
        <v>0</v>
      </c>
      <c r="BV367" s="23">
        <f t="shared" si="178"/>
        <v>0</v>
      </c>
      <c r="BW367" s="23">
        <f t="shared" si="179"/>
        <v>0</v>
      </c>
      <c r="BX367" s="23">
        <f t="shared" si="180"/>
        <v>0</v>
      </c>
      <c r="BY367" s="23">
        <f t="shared" si="181"/>
        <v>0</v>
      </c>
      <c r="BZ367" s="23">
        <f t="shared" si="182"/>
        <v>0</v>
      </c>
      <c r="CA367" s="23">
        <f t="shared" si="183"/>
        <v>0</v>
      </c>
      <c r="CB367" s="23">
        <f t="shared" si="184"/>
        <v>0</v>
      </c>
      <c r="CC367" s="23">
        <f t="shared" si="185"/>
        <v>0</v>
      </c>
      <c r="CD367" s="23">
        <f t="shared" si="186"/>
        <v>0</v>
      </c>
      <c r="CE367" s="23">
        <f t="shared" si="187"/>
        <v>2</v>
      </c>
      <c r="CF367" s="23">
        <f t="shared" si="188"/>
        <v>0</v>
      </c>
      <c r="CG367" s="23">
        <f t="shared" si="189"/>
        <v>0</v>
      </c>
      <c r="CH367" s="23">
        <f t="shared" si="190"/>
        <v>0</v>
      </c>
      <c r="CI367" s="23">
        <f t="shared" si="191"/>
        <v>0</v>
      </c>
      <c r="CJ367" s="23">
        <f t="shared" si="192"/>
        <v>0</v>
      </c>
      <c r="CK367" s="23">
        <f t="shared" si="193"/>
        <v>0</v>
      </c>
      <c r="CL367" s="23">
        <f t="shared" si="194"/>
        <v>0</v>
      </c>
      <c r="CM367" s="23">
        <f t="shared" si="195"/>
        <v>0</v>
      </c>
      <c r="CN367" s="23">
        <f t="shared" si="196"/>
        <v>0</v>
      </c>
      <c r="CO367" s="23">
        <f t="shared" si="197"/>
        <v>0</v>
      </c>
      <c r="CP367" s="23">
        <f t="shared" si="198"/>
        <v>0</v>
      </c>
      <c r="CQ367" s="23">
        <f t="shared" si="199"/>
        <v>0</v>
      </c>
      <c r="CR367" s="23">
        <f t="shared" si="200"/>
        <v>0</v>
      </c>
      <c r="CS367" s="23">
        <f t="shared" si="201"/>
        <v>0</v>
      </c>
      <c r="CT367" s="23">
        <f t="shared" si="202"/>
        <v>0</v>
      </c>
      <c r="CU367" s="23">
        <f t="shared" si="203"/>
        <v>0</v>
      </c>
      <c r="CV367" s="23">
        <f t="shared" si="204"/>
        <v>0</v>
      </c>
    </row>
    <row r="368" spans="1:100" ht="13.5">
      <c r="A368" s="15">
        <v>36</v>
      </c>
      <c r="B368" s="27" t="s">
        <v>677</v>
      </c>
      <c r="C368" t="s">
        <v>635</v>
      </c>
      <c r="D368" t="s">
        <v>672</v>
      </c>
      <c r="E368" t="s">
        <v>673</v>
      </c>
      <c r="F368" t="s">
        <v>638</v>
      </c>
      <c r="G368" t="s">
        <v>673</v>
      </c>
      <c r="H368" t="s">
        <v>674</v>
      </c>
      <c r="I368" s="6" t="s">
        <v>640</v>
      </c>
      <c r="J368" s="6">
        <v>1</v>
      </c>
      <c r="L368" s="15">
        <v>2</v>
      </c>
      <c r="M368" s="7">
        <v>46037</v>
      </c>
      <c r="N368" s="7">
        <v>46063</v>
      </c>
      <c r="O368" s="7">
        <v>46063</v>
      </c>
      <c r="P368" s="7">
        <v>46063</v>
      </c>
      <c r="Q368" s="28" t="str">
        <f t="shared" si="205"/>
        <v>OK</v>
      </c>
      <c r="S368" s="6" t="str">
        <f t="shared" si="206"/>
        <v>LAC001</v>
      </c>
      <c r="T368" s="6">
        <v>2</v>
      </c>
      <c r="U368" s="6" t="s">
        <v>642</v>
      </c>
      <c r="V368" s="6" t="str">
        <f t="shared" si="171"/>
        <v>26/02</v>
      </c>
      <c r="AI368" s="23">
        <v>0</v>
      </c>
      <c r="AJ368" s="23">
        <v>0</v>
      </c>
      <c r="AK368" s="23">
        <v>0</v>
      </c>
      <c r="AL368" s="23">
        <v>0</v>
      </c>
      <c r="AM368" s="23">
        <v>0</v>
      </c>
      <c r="AN368" s="23">
        <v>0</v>
      </c>
      <c r="AO368" s="23">
        <v>0</v>
      </c>
      <c r="AP368" s="23">
        <v>0</v>
      </c>
      <c r="AQ368" s="23">
        <v>0</v>
      </c>
      <c r="AR368" s="23">
        <v>0</v>
      </c>
      <c r="AS368" s="23">
        <v>0</v>
      </c>
      <c r="AT368" s="23">
        <v>0</v>
      </c>
      <c r="AU368" s="23">
        <v>0</v>
      </c>
      <c r="AV368" s="23">
        <v>0</v>
      </c>
      <c r="AW368" s="23">
        <v>0</v>
      </c>
      <c r="AX368" s="23">
        <v>1</v>
      </c>
      <c r="AY368" s="23">
        <v>0</v>
      </c>
      <c r="AZ368" s="23">
        <v>0</v>
      </c>
      <c r="BA368" s="23">
        <v>0</v>
      </c>
      <c r="BB368" s="23">
        <v>0</v>
      </c>
      <c r="BC368" s="23">
        <v>0</v>
      </c>
      <c r="BD368" s="23">
        <v>0</v>
      </c>
      <c r="BE368" s="23">
        <v>0</v>
      </c>
      <c r="BF368" s="23">
        <v>0</v>
      </c>
      <c r="BG368" s="23">
        <v>0</v>
      </c>
      <c r="BH368" s="23">
        <v>0</v>
      </c>
      <c r="BI368" s="23">
        <v>0</v>
      </c>
      <c r="BJ368" s="23">
        <v>0</v>
      </c>
      <c r="BK368" s="23">
        <v>0</v>
      </c>
      <c r="BL368" s="23">
        <v>0</v>
      </c>
      <c r="BM368" s="23">
        <v>0</v>
      </c>
      <c r="BN368" s="23">
        <v>0</v>
      </c>
      <c r="BO368" s="23">
        <v>0</v>
      </c>
      <c r="BP368" s="23">
        <f t="shared" si="172"/>
        <v>0</v>
      </c>
      <c r="BQ368" s="23">
        <f t="shared" si="173"/>
        <v>0</v>
      </c>
      <c r="BR368" s="23">
        <f t="shared" si="174"/>
        <v>0</v>
      </c>
      <c r="BS368" s="23">
        <f t="shared" si="175"/>
        <v>0</v>
      </c>
      <c r="BT368" s="23">
        <f t="shared" si="176"/>
        <v>0</v>
      </c>
      <c r="BU368" s="23">
        <f t="shared" si="177"/>
        <v>0</v>
      </c>
      <c r="BV368" s="23">
        <f t="shared" si="178"/>
        <v>0</v>
      </c>
      <c r="BW368" s="23">
        <f t="shared" si="179"/>
        <v>0</v>
      </c>
      <c r="BX368" s="23">
        <f t="shared" si="180"/>
        <v>0</v>
      </c>
      <c r="BY368" s="23">
        <f t="shared" si="181"/>
        <v>0</v>
      </c>
      <c r="BZ368" s="23">
        <f t="shared" si="182"/>
        <v>0</v>
      </c>
      <c r="CA368" s="23">
        <f t="shared" si="183"/>
        <v>0</v>
      </c>
      <c r="CB368" s="23">
        <f t="shared" si="184"/>
        <v>0</v>
      </c>
      <c r="CC368" s="23">
        <f t="shared" si="185"/>
        <v>0</v>
      </c>
      <c r="CD368" s="23">
        <f t="shared" si="186"/>
        <v>0</v>
      </c>
      <c r="CE368" s="23">
        <f t="shared" si="187"/>
        <v>2</v>
      </c>
      <c r="CF368" s="23">
        <f t="shared" si="188"/>
        <v>0</v>
      </c>
      <c r="CG368" s="23">
        <f t="shared" si="189"/>
        <v>0</v>
      </c>
      <c r="CH368" s="23">
        <f t="shared" si="190"/>
        <v>0</v>
      </c>
      <c r="CI368" s="23">
        <f t="shared" si="191"/>
        <v>0</v>
      </c>
      <c r="CJ368" s="23">
        <f t="shared" si="192"/>
        <v>0</v>
      </c>
      <c r="CK368" s="23">
        <f t="shared" si="193"/>
        <v>0</v>
      </c>
      <c r="CL368" s="23">
        <f t="shared" si="194"/>
        <v>0</v>
      </c>
      <c r="CM368" s="23">
        <f t="shared" si="195"/>
        <v>0</v>
      </c>
      <c r="CN368" s="23">
        <f t="shared" si="196"/>
        <v>0</v>
      </c>
      <c r="CO368" s="23">
        <f t="shared" si="197"/>
        <v>0</v>
      </c>
      <c r="CP368" s="23">
        <f t="shared" si="198"/>
        <v>0</v>
      </c>
      <c r="CQ368" s="23">
        <f t="shared" si="199"/>
        <v>0</v>
      </c>
      <c r="CR368" s="23">
        <f t="shared" si="200"/>
        <v>0</v>
      </c>
      <c r="CS368" s="23">
        <f t="shared" si="201"/>
        <v>0</v>
      </c>
      <c r="CT368" s="23">
        <f t="shared" si="202"/>
        <v>0</v>
      </c>
      <c r="CU368" s="23">
        <f t="shared" si="203"/>
        <v>0</v>
      </c>
      <c r="CV368" s="23">
        <f t="shared" si="204"/>
        <v>0</v>
      </c>
    </row>
    <row r="369" spans="1:100" ht="14.25" thickBot="1">
      <c r="A369" s="31">
        <v>51</v>
      </c>
      <c r="B369" s="32" t="s">
        <v>678</v>
      </c>
      <c r="C369" s="33" t="s">
        <v>679</v>
      </c>
      <c r="D369" s="33" t="s">
        <v>680</v>
      </c>
      <c r="E369" s="33" t="s">
        <v>673</v>
      </c>
      <c r="F369" s="33" t="s">
        <v>638</v>
      </c>
      <c r="G369" s="33" t="s">
        <v>673</v>
      </c>
      <c r="H369" s="33" t="s">
        <v>674</v>
      </c>
      <c r="I369" s="34" t="s">
        <v>640</v>
      </c>
      <c r="J369" s="34">
        <v>0</v>
      </c>
      <c r="K369" s="33"/>
      <c r="L369" s="31">
        <v>2</v>
      </c>
      <c r="M369" s="35"/>
      <c r="N369" s="35">
        <v>46069</v>
      </c>
      <c r="O369" s="35">
        <v>46069</v>
      </c>
      <c r="P369" s="35">
        <v>46069</v>
      </c>
      <c r="Q369" s="35" t="str">
        <f t="shared" si="205"/>
        <v>NG</v>
      </c>
      <c r="R369" s="34"/>
      <c r="S369" s="34" t="str">
        <f t="shared" si="206"/>
        <v>LAC001</v>
      </c>
      <c r="T369" s="34">
        <v>0</v>
      </c>
      <c r="U369" s="34" t="s">
        <v>642</v>
      </c>
      <c r="V369" s="34" t="str">
        <f t="shared" si="171"/>
        <v>26/02</v>
      </c>
      <c r="AI369" s="23">
        <v>0</v>
      </c>
      <c r="AJ369" s="23">
        <v>0</v>
      </c>
      <c r="AK369" s="23">
        <v>0</v>
      </c>
      <c r="AL369" s="23">
        <v>0</v>
      </c>
      <c r="AM369" s="23">
        <v>0</v>
      </c>
      <c r="AN369" s="23">
        <v>0</v>
      </c>
      <c r="AO369" s="23">
        <v>0</v>
      </c>
      <c r="AP369" s="23">
        <v>0</v>
      </c>
      <c r="AQ369" s="23">
        <v>0</v>
      </c>
      <c r="AR369" s="23">
        <v>0</v>
      </c>
      <c r="AS369" s="23">
        <v>0</v>
      </c>
      <c r="AT369" s="23">
        <v>0</v>
      </c>
      <c r="AU369" s="23">
        <v>0</v>
      </c>
      <c r="AV369" s="23">
        <v>0</v>
      </c>
      <c r="AW369" s="23">
        <v>0</v>
      </c>
      <c r="AX369" s="23">
        <v>1</v>
      </c>
      <c r="AY369" s="23">
        <v>0</v>
      </c>
      <c r="AZ369" s="23">
        <v>0</v>
      </c>
      <c r="BA369" s="23">
        <v>0</v>
      </c>
      <c r="BB369" s="23">
        <v>0</v>
      </c>
      <c r="BC369" s="23">
        <v>0</v>
      </c>
      <c r="BD369" s="23">
        <v>0</v>
      </c>
      <c r="BE369" s="23">
        <v>0</v>
      </c>
      <c r="BF369" s="23">
        <v>0</v>
      </c>
      <c r="BG369" s="23">
        <v>0</v>
      </c>
      <c r="BH369" s="23">
        <v>0</v>
      </c>
      <c r="BI369" s="23">
        <v>0</v>
      </c>
      <c r="BJ369" s="23">
        <v>0</v>
      </c>
      <c r="BK369" s="23">
        <v>0</v>
      </c>
      <c r="BL369" s="23">
        <v>0</v>
      </c>
      <c r="BM369" s="23">
        <v>0</v>
      </c>
      <c r="BN369" s="23">
        <v>0</v>
      </c>
      <c r="BO369" s="23">
        <v>0</v>
      </c>
      <c r="BP369" s="23">
        <f t="shared" si="172"/>
        <v>0</v>
      </c>
      <c r="BQ369" s="23">
        <f t="shared" si="173"/>
        <v>0</v>
      </c>
      <c r="BR369" s="23">
        <f t="shared" si="174"/>
        <v>0</v>
      </c>
      <c r="BS369" s="23">
        <f t="shared" si="175"/>
        <v>0</v>
      </c>
      <c r="BT369" s="23">
        <f t="shared" si="176"/>
        <v>0</v>
      </c>
      <c r="BU369" s="23">
        <f t="shared" si="177"/>
        <v>0</v>
      </c>
      <c r="BV369" s="23">
        <f t="shared" si="178"/>
        <v>0</v>
      </c>
      <c r="BW369" s="23">
        <f t="shared" si="179"/>
        <v>0</v>
      </c>
      <c r="BX369" s="23">
        <f t="shared" si="180"/>
        <v>0</v>
      </c>
      <c r="BY369" s="23">
        <f t="shared" si="181"/>
        <v>0</v>
      </c>
      <c r="BZ369" s="23">
        <f t="shared" si="182"/>
        <v>0</v>
      </c>
      <c r="CA369" s="23">
        <f t="shared" si="183"/>
        <v>0</v>
      </c>
      <c r="CB369" s="23">
        <f t="shared" si="184"/>
        <v>0</v>
      </c>
      <c r="CC369" s="23">
        <f t="shared" si="185"/>
        <v>0</v>
      </c>
      <c r="CD369" s="23">
        <f t="shared" si="186"/>
        <v>0</v>
      </c>
      <c r="CE369" s="23">
        <f t="shared" si="187"/>
        <v>2</v>
      </c>
      <c r="CF369" s="23">
        <f t="shared" si="188"/>
        <v>0</v>
      </c>
      <c r="CG369" s="23">
        <f t="shared" si="189"/>
        <v>0</v>
      </c>
      <c r="CH369" s="23">
        <f t="shared" si="190"/>
        <v>0</v>
      </c>
      <c r="CI369" s="23">
        <f t="shared" si="191"/>
        <v>0</v>
      </c>
      <c r="CJ369" s="23">
        <f t="shared" si="192"/>
        <v>0</v>
      </c>
      <c r="CK369" s="23">
        <f t="shared" si="193"/>
        <v>0</v>
      </c>
      <c r="CL369" s="23">
        <f t="shared" si="194"/>
        <v>0</v>
      </c>
      <c r="CM369" s="23">
        <f t="shared" si="195"/>
        <v>0</v>
      </c>
      <c r="CN369" s="23">
        <f t="shared" si="196"/>
        <v>0</v>
      </c>
      <c r="CO369" s="23">
        <f t="shared" si="197"/>
        <v>0</v>
      </c>
      <c r="CP369" s="23">
        <f t="shared" si="198"/>
        <v>0</v>
      </c>
      <c r="CQ369" s="23">
        <f t="shared" si="199"/>
        <v>0</v>
      </c>
      <c r="CR369" s="23">
        <f t="shared" si="200"/>
        <v>0</v>
      </c>
      <c r="CS369" s="23">
        <f t="shared" si="201"/>
        <v>0</v>
      </c>
      <c r="CT369" s="23">
        <f t="shared" si="202"/>
        <v>0</v>
      </c>
      <c r="CU369" s="23">
        <f t="shared" si="203"/>
        <v>0</v>
      </c>
      <c r="CV369" s="23">
        <f t="shared" si="204"/>
        <v>0</v>
      </c>
    </row>
    <row r="370" spans="1:100" ht="14.25" thickTop="1">
      <c r="A370" s="15">
        <v>4</v>
      </c>
      <c r="B370" s="27" t="s">
        <v>681</v>
      </c>
      <c r="C370" t="s">
        <v>635</v>
      </c>
      <c r="D370" t="s">
        <v>682</v>
      </c>
      <c r="E370" t="s">
        <v>683</v>
      </c>
      <c r="F370" t="s">
        <v>638</v>
      </c>
      <c r="G370" t="s">
        <v>683</v>
      </c>
      <c r="H370" t="s">
        <v>684</v>
      </c>
      <c r="I370" s="6" t="s">
        <v>640</v>
      </c>
      <c r="J370" s="6">
        <v>1</v>
      </c>
      <c r="L370" s="15">
        <v>5</v>
      </c>
      <c r="M370" s="7">
        <v>46001</v>
      </c>
      <c r="N370" s="7">
        <v>46044</v>
      </c>
      <c r="O370" s="7">
        <v>46044</v>
      </c>
      <c r="P370" s="7">
        <v>46044</v>
      </c>
      <c r="Q370" s="28" t="str">
        <f t="shared" si="205"/>
        <v>OK</v>
      </c>
      <c r="R370" s="6" t="s">
        <v>685</v>
      </c>
      <c r="S370" s="6" t="str">
        <f t="shared" si="206"/>
        <v>LAD001</v>
      </c>
      <c r="T370" s="6">
        <v>5</v>
      </c>
      <c r="U370" s="6" t="s">
        <v>642</v>
      </c>
      <c r="V370" s="6" t="str">
        <f t="shared" si="171"/>
        <v>26/01</v>
      </c>
      <c r="AI370" s="23">
        <v>0</v>
      </c>
      <c r="AJ370" s="23">
        <v>0</v>
      </c>
      <c r="AK370" s="23">
        <v>0</v>
      </c>
      <c r="AL370" s="23">
        <v>0</v>
      </c>
      <c r="AM370" s="23">
        <v>0</v>
      </c>
      <c r="AN370" s="23">
        <v>0</v>
      </c>
      <c r="AO370" s="23">
        <v>0</v>
      </c>
      <c r="AP370" s="23">
        <v>0</v>
      </c>
      <c r="AQ370" s="23">
        <v>0</v>
      </c>
      <c r="AR370" s="23">
        <v>0</v>
      </c>
      <c r="AS370" s="23">
        <v>0</v>
      </c>
      <c r="AT370" s="23">
        <v>0</v>
      </c>
      <c r="AU370" s="23">
        <v>0</v>
      </c>
      <c r="AV370" s="23">
        <v>0</v>
      </c>
      <c r="AW370" s="23">
        <v>0</v>
      </c>
      <c r="AX370" s="23">
        <v>0</v>
      </c>
      <c r="AY370" s="23">
        <v>0</v>
      </c>
      <c r="AZ370" s="23">
        <v>0</v>
      </c>
      <c r="BA370" s="23">
        <v>0</v>
      </c>
      <c r="BB370" s="23">
        <v>1</v>
      </c>
      <c r="BC370" s="23">
        <v>0</v>
      </c>
      <c r="BD370" s="23">
        <v>0</v>
      </c>
      <c r="BE370" s="23">
        <v>0</v>
      </c>
      <c r="BF370" s="23">
        <v>0</v>
      </c>
      <c r="BG370" s="23">
        <v>0</v>
      </c>
      <c r="BH370" s="23">
        <v>0</v>
      </c>
      <c r="BI370" s="23">
        <v>0</v>
      </c>
      <c r="BJ370" s="23">
        <v>0</v>
      </c>
      <c r="BK370" s="23">
        <v>0</v>
      </c>
      <c r="BL370" s="23">
        <v>0</v>
      </c>
      <c r="BM370" s="23">
        <v>0</v>
      </c>
      <c r="BN370" s="23">
        <v>0</v>
      </c>
      <c r="BO370" s="23">
        <v>0</v>
      </c>
      <c r="BP370" s="23">
        <f t="shared" si="172"/>
        <v>0</v>
      </c>
      <c r="BQ370" s="23">
        <f t="shared" si="173"/>
        <v>0</v>
      </c>
      <c r="BR370" s="23">
        <f t="shared" si="174"/>
        <v>0</v>
      </c>
      <c r="BS370" s="23">
        <f t="shared" si="175"/>
        <v>0</v>
      </c>
      <c r="BT370" s="23">
        <f t="shared" si="176"/>
        <v>0</v>
      </c>
      <c r="BU370" s="23">
        <f t="shared" si="177"/>
        <v>0</v>
      </c>
      <c r="BV370" s="23">
        <f t="shared" si="178"/>
        <v>0</v>
      </c>
      <c r="BW370" s="23">
        <f t="shared" si="179"/>
        <v>0</v>
      </c>
      <c r="BX370" s="23">
        <f t="shared" si="180"/>
        <v>0</v>
      </c>
      <c r="BY370" s="23">
        <f t="shared" si="181"/>
        <v>0</v>
      </c>
      <c r="BZ370" s="23">
        <f t="shared" si="182"/>
        <v>0</v>
      </c>
      <c r="CA370" s="23">
        <f t="shared" si="183"/>
        <v>0</v>
      </c>
      <c r="CB370" s="23">
        <f t="shared" si="184"/>
        <v>0</v>
      </c>
      <c r="CC370" s="23">
        <f t="shared" si="185"/>
        <v>0</v>
      </c>
      <c r="CD370" s="23">
        <f t="shared" si="186"/>
        <v>0</v>
      </c>
      <c r="CE370" s="23">
        <f t="shared" si="187"/>
        <v>0</v>
      </c>
      <c r="CF370" s="23">
        <f t="shared" si="188"/>
        <v>0</v>
      </c>
      <c r="CG370" s="23">
        <f t="shared" si="189"/>
        <v>0</v>
      </c>
      <c r="CH370" s="23">
        <f t="shared" si="190"/>
        <v>0</v>
      </c>
      <c r="CI370" s="23">
        <f t="shared" si="191"/>
        <v>5</v>
      </c>
      <c r="CJ370" s="23">
        <f t="shared" si="192"/>
        <v>0</v>
      </c>
      <c r="CK370" s="23">
        <f t="shared" si="193"/>
        <v>0</v>
      </c>
      <c r="CL370" s="23">
        <f t="shared" si="194"/>
        <v>0</v>
      </c>
      <c r="CM370" s="23">
        <f t="shared" si="195"/>
        <v>0</v>
      </c>
      <c r="CN370" s="23">
        <f t="shared" si="196"/>
        <v>0</v>
      </c>
      <c r="CO370" s="23">
        <f t="shared" si="197"/>
        <v>0</v>
      </c>
      <c r="CP370" s="23">
        <f t="shared" si="198"/>
        <v>0</v>
      </c>
      <c r="CQ370" s="23">
        <f t="shared" si="199"/>
        <v>0</v>
      </c>
      <c r="CR370" s="23">
        <f t="shared" si="200"/>
        <v>0</v>
      </c>
      <c r="CS370" s="23">
        <f t="shared" si="201"/>
        <v>0</v>
      </c>
      <c r="CT370" s="23">
        <f t="shared" si="202"/>
        <v>0</v>
      </c>
      <c r="CU370" s="23">
        <f t="shared" si="203"/>
        <v>0</v>
      </c>
      <c r="CV370" s="23">
        <f t="shared" si="204"/>
        <v>0</v>
      </c>
    </row>
    <row r="371" spans="1:100" ht="13.5">
      <c r="A371" s="15">
        <v>11</v>
      </c>
      <c r="B371" s="27" t="s">
        <v>686</v>
      </c>
      <c r="C371" t="s">
        <v>635</v>
      </c>
      <c r="D371" t="s">
        <v>682</v>
      </c>
      <c r="E371" t="s">
        <v>683</v>
      </c>
      <c r="F371" t="s">
        <v>638</v>
      </c>
      <c r="G371" t="s">
        <v>683</v>
      </c>
      <c r="H371" t="s">
        <v>684</v>
      </c>
      <c r="I371" s="6" t="s">
        <v>640</v>
      </c>
      <c r="J371" s="6">
        <v>1</v>
      </c>
      <c r="L371" s="15">
        <v>4</v>
      </c>
      <c r="M371" s="7">
        <v>46001</v>
      </c>
      <c r="N371" s="7">
        <v>46045</v>
      </c>
      <c r="O371" s="7">
        <v>46045</v>
      </c>
      <c r="P371" s="7">
        <v>46045</v>
      </c>
      <c r="Q371" s="28" t="str">
        <f t="shared" si="205"/>
        <v>OK</v>
      </c>
      <c r="R371" s="6" t="s">
        <v>687</v>
      </c>
      <c r="S371" s="6" t="str">
        <f t="shared" si="206"/>
        <v>LAD001</v>
      </c>
      <c r="T371" s="6">
        <v>4</v>
      </c>
      <c r="U371" s="6" t="s">
        <v>642</v>
      </c>
      <c r="V371" s="6" t="str">
        <f t="shared" si="171"/>
        <v>26/01</v>
      </c>
      <c r="AI371" s="23">
        <v>0</v>
      </c>
      <c r="AJ371" s="23">
        <v>0</v>
      </c>
      <c r="AK371" s="23">
        <v>0</v>
      </c>
      <c r="AL371" s="23">
        <v>0</v>
      </c>
      <c r="AM371" s="23">
        <v>0</v>
      </c>
      <c r="AN371" s="23">
        <v>0</v>
      </c>
      <c r="AO371" s="23">
        <v>0</v>
      </c>
      <c r="AP371" s="23">
        <v>0</v>
      </c>
      <c r="AQ371" s="23">
        <v>0</v>
      </c>
      <c r="AR371" s="23">
        <v>0</v>
      </c>
      <c r="AS371" s="23">
        <v>0</v>
      </c>
      <c r="AT371" s="23">
        <v>0</v>
      </c>
      <c r="AU371" s="23">
        <v>0</v>
      </c>
      <c r="AV371" s="23">
        <v>0</v>
      </c>
      <c r="AW371" s="23">
        <v>0</v>
      </c>
      <c r="AX371" s="23">
        <v>0</v>
      </c>
      <c r="AY371" s="23">
        <v>0</v>
      </c>
      <c r="AZ371" s="23">
        <v>0</v>
      </c>
      <c r="BA371" s="23">
        <v>0</v>
      </c>
      <c r="BB371" s="23">
        <v>1</v>
      </c>
      <c r="BC371" s="23">
        <v>0</v>
      </c>
      <c r="BD371" s="23">
        <v>0</v>
      </c>
      <c r="BE371" s="23">
        <v>0</v>
      </c>
      <c r="BF371" s="23">
        <v>0</v>
      </c>
      <c r="BG371" s="23">
        <v>0</v>
      </c>
      <c r="BH371" s="23">
        <v>0</v>
      </c>
      <c r="BI371" s="23">
        <v>0</v>
      </c>
      <c r="BJ371" s="23">
        <v>0</v>
      </c>
      <c r="BK371" s="23">
        <v>0</v>
      </c>
      <c r="BL371" s="23">
        <v>0</v>
      </c>
      <c r="BM371" s="23">
        <v>0</v>
      </c>
      <c r="BN371" s="23">
        <v>0</v>
      </c>
      <c r="BO371" s="23">
        <v>0</v>
      </c>
      <c r="BP371" s="23">
        <f t="shared" si="172"/>
        <v>0</v>
      </c>
      <c r="BQ371" s="23">
        <f t="shared" si="173"/>
        <v>0</v>
      </c>
      <c r="BR371" s="23">
        <f t="shared" si="174"/>
        <v>0</v>
      </c>
      <c r="BS371" s="23">
        <f t="shared" si="175"/>
        <v>0</v>
      </c>
      <c r="BT371" s="23">
        <f t="shared" si="176"/>
        <v>0</v>
      </c>
      <c r="BU371" s="23">
        <f t="shared" si="177"/>
        <v>0</v>
      </c>
      <c r="BV371" s="23">
        <f t="shared" si="178"/>
        <v>0</v>
      </c>
      <c r="BW371" s="23">
        <f t="shared" si="179"/>
        <v>0</v>
      </c>
      <c r="BX371" s="23">
        <f t="shared" si="180"/>
        <v>0</v>
      </c>
      <c r="BY371" s="23">
        <f t="shared" si="181"/>
        <v>0</v>
      </c>
      <c r="BZ371" s="23">
        <f t="shared" si="182"/>
        <v>0</v>
      </c>
      <c r="CA371" s="23">
        <f t="shared" si="183"/>
        <v>0</v>
      </c>
      <c r="CB371" s="23">
        <f t="shared" si="184"/>
        <v>0</v>
      </c>
      <c r="CC371" s="23">
        <f t="shared" si="185"/>
        <v>0</v>
      </c>
      <c r="CD371" s="23">
        <f t="shared" si="186"/>
        <v>0</v>
      </c>
      <c r="CE371" s="23">
        <f t="shared" si="187"/>
        <v>0</v>
      </c>
      <c r="CF371" s="23">
        <f t="shared" si="188"/>
        <v>0</v>
      </c>
      <c r="CG371" s="23">
        <f t="shared" si="189"/>
        <v>0</v>
      </c>
      <c r="CH371" s="23">
        <f t="shared" si="190"/>
        <v>0</v>
      </c>
      <c r="CI371" s="23">
        <f t="shared" si="191"/>
        <v>4</v>
      </c>
      <c r="CJ371" s="23">
        <f t="shared" si="192"/>
        <v>0</v>
      </c>
      <c r="CK371" s="23">
        <f t="shared" si="193"/>
        <v>0</v>
      </c>
      <c r="CL371" s="23">
        <f t="shared" si="194"/>
        <v>0</v>
      </c>
      <c r="CM371" s="23">
        <f t="shared" si="195"/>
        <v>0</v>
      </c>
      <c r="CN371" s="23">
        <f t="shared" si="196"/>
        <v>0</v>
      </c>
      <c r="CO371" s="23">
        <f t="shared" si="197"/>
        <v>0</v>
      </c>
      <c r="CP371" s="23">
        <f t="shared" si="198"/>
        <v>0</v>
      </c>
      <c r="CQ371" s="23">
        <f t="shared" si="199"/>
        <v>0</v>
      </c>
      <c r="CR371" s="23">
        <f t="shared" si="200"/>
        <v>0</v>
      </c>
      <c r="CS371" s="23">
        <f t="shared" si="201"/>
        <v>0</v>
      </c>
      <c r="CT371" s="23">
        <f t="shared" si="202"/>
        <v>0</v>
      </c>
      <c r="CU371" s="23">
        <f t="shared" si="203"/>
        <v>0</v>
      </c>
      <c r="CV371" s="23">
        <f t="shared" si="204"/>
        <v>0</v>
      </c>
    </row>
    <row r="372" spans="1:100" ht="13.5">
      <c r="A372" s="15">
        <v>15</v>
      </c>
      <c r="B372" s="27" t="s">
        <v>688</v>
      </c>
      <c r="C372" t="s">
        <v>635</v>
      </c>
      <c r="D372" t="s">
        <v>689</v>
      </c>
      <c r="E372" t="s">
        <v>683</v>
      </c>
      <c r="F372" t="s">
        <v>638</v>
      </c>
      <c r="G372" t="s">
        <v>683</v>
      </c>
      <c r="H372" t="s">
        <v>684</v>
      </c>
      <c r="I372" s="6" t="s">
        <v>640</v>
      </c>
      <c r="J372" s="6">
        <v>1</v>
      </c>
      <c r="L372" s="15">
        <v>4</v>
      </c>
      <c r="M372" s="7">
        <v>46001</v>
      </c>
      <c r="N372" s="7">
        <v>46048</v>
      </c>
      <c r="O372" s="7">
        <v>46048</v>
      </c>
      <c r="P372" s="7">
        <v>46048</v>
      </c>
      <c r="Q372" s="28" t="str">
        <f t="shared" si="205"/>
        <v>OK</v>
      </c>
      <c r="R372" s="6" t="s">
        <v>690</v>
      </c>
      <c r="S372" s="6" t="str">
        <f t="shared" si="206"/>
        <v>LAD001</v>
      </c>
      <c r="T372" s="6">
        <v>4</v>
      </c>
      <c r="U372" s="6" t="s">
        <v>642</v>
      </c>
      <c r="V372" s="6" t="str">
        <f t="shared" si="171"/>
        <v>26/01</v>
      </c>
      <c r="AI372" s="23">
        <v>0</v>
      </c>
      <c r="AJ372" s="23">
        <v>0</v>
      </c>
      <c r="AK372" s="23">
        <v>0</v>
      </c>
      <c r="AL372" s="23">
        <v>0</v>
      </c>
      <c r="AM372" s="23">
        <v>0</v>
      </c>
      <c r="AN372" s="23">
        <v>0</v>
      </c>
      <c r="AO372" s="23">
        <v>0</v>
      </c>
      <c r="AP372" s="23">
        <v>0</v>
      </c>
      <c r="AQ372" s="23">
        <v>0</v>
      </c>
      <c r="AR372" s="23">
        <v>0</v>
      </c>
      <c r="AS372" s="23">
        <v>0</v>
      </c>
      <c r="AT372" s="23">
        <v>0</v>
      </c>
      <c r="AU372" s="23">
        <v>0</v>
      </c>
      <c r="AV372" s="23">
        <v>0</v>
      </c>
      <c r="AW372" s="23">
        <v>0</v>
      </c>
      <c r="AX372" s="23">
        <v>0</v>
      </c>
      <c r="AY372" s="23">
        <v>0</v>
      </c>
      <c r="AZ372" s="23">
        <v>0</v>
      </c>
      <c r="BA372" s="23">
        <v>0</v>
      </c>
      <c r="BB372" s="23">
        <v>1</v>
      </c>
      <c r="BC372" s="23">
        <v>0</v>
      </c>
      <c r="BD372" s="23">
        <v>0</v>
      </c>
      <c r="BE372" s="23">
        <v>0</v>
      </c>
      <c r="BF372" s="23">
        <v>0</v>
      </c>
      <c r="BG372" s="23">
        <v>0</v>
      </c>
      <c r="BH372" s="23">
        <v>0</v>
      </c>
      <c r="BI372" s="23">
        <v>0</v>
      </c>
      <c r="BJ372" s="23">
        <v>0</v>
      </c>
      <c r="BK372" s="23">
        <v>0</v>
      </c>
      <c r="BL372" s="23">
        <v>0</v>
      </c>
      <c r="BM372" s="23">
        <v>0</v>
      </c>
      <c r="BN372" s="23">
        <v>0</v>
      </c>
      <c r="BO372" s="23">
        <v>0</v>
      </c>
      <c r="BP372" s="23">
        <f t="shared" si="172"/>
        <v>0</v>
      </c>
      <c r="BQ372" s="23">
        <f t="shared" si="173"/>
        <v>0</v>
      </c>
      <c r="BR372" s="23">
        <f t="shared" si="174"/>
        <v>0</v>
      </c>
      <c r="BS372" s="23">
        <f t="shared" si="175"/>
        <v>0</v>
      </c>
      <c r="BT372" s="23">
        <f t="shared" si="176"/>
        <v>0</v>
      </c>
      <c r="BU372" s="23">
        <f t="shared" si="177"/>
        <v>0</v>
      </c>
      <c r="BV372" s="23">
        <f t="shared" si="178"/>
        <v>0</v>
      </c>
      <c r="BW372" s="23">
        <f t="shared" si="179"/>
        <v>0</v>
      </c>
      <c r="BX372" s="23">
        <f t="shared" si="180"/>
        <v>0</v>
      </c>
      <c r="BY372" s="23">
        <f t="shared" si="181"/>
        <v>0</v>
      </c>
      <c r="BZ372" s="23">
        <f t="shared" si="182"/>
        <v>0</v>
      </c>
      <c r="CA372" s="23">
        <f t="shared" si="183"/>
        <v>0</v>
      </c>
      <c r="CB372" s="23">
        <f t="shared" si="184"/>
        <v>0</v>
      </c>
      <c r="CC372" s="23">
        <f t="shared" si="185"/>
        <v>0</v>
      </c>
      <c r="CD372" s="23">
        <f t="shared" si="186"/>
        <v>0</v>
      </c>
      <c r="CE372" s="23">
        <f t="shared" si="187"/>
        <v>0</v>
      </c>
      <c r="CF372" s="23">
        <f t="shared" si="188"/>
        <v>0</v>
      </c>
      <c r="CG372" s="23">
        <f t="shared" si="189"/>
        <v>0</v>
      </c>
      <c r="CH372" s="23">
        <f t="shared" si="190"/>
        <v>0</v>
      </c>
      <c r="CI372" s="23">
        <f t="shared" si="191"/>
        <v>4</v>
      </c>
      <c r="CJ372" s="23">
        <f t="shared" si="192"/>
        <v>0</v>
      </c>
      <c r="CK372" s="23">
        <f t="shared" si="193"/>
        <v>0</v>
      </c>
      <c r="CL372" s="23">
        <f t="shared" si="194"/>
        <v>0</v>
      </c>
      <c r="CM372" s="23">
        <f t="shared" si="195"/>
        <v>0</v>
      </c>
      <c r="CN372" s="23">
        <f t="shared" si="196"/>
        <v>0</v>
      </c>
      <c r="CO372" s="23">
        <f t="shared" si="197"/>
        <v>0</v>
      </c>
      <c r="CP372" s="23">
        <f t="shared" si="198"/>
        <v>0</v>
      </c>
      <c r="CQ372" s="23">
        <f t="shared" si="199"/>
        <v>0</v>
      </c>
      <c r="CR372" s="23">
        <f t="shared" si="200"/>
        <v>0</v>
      </c>
      <c r="CS372" s="23">
        <f t="shared" si="201"/>
        <v>0</v>
      </c>
      <c r="CT372" s="23">
        <f t="shared" si="202"/>
        <v>0</v>
      </c>
      <c r="CU372" s="23">
        <f t="shared" si="203"/>
        <v>0</v>
      </c>
      <c r="CV372" s="23">
        <f t="shared" si="204"/>
        <v>0</v>
      </c>
    </row>
    <row r="373" spans="1:100" ht="13.5">
      <c r="A373" s="15">
        <v>19</v>
      </c>
      <c r="B373" s="27" t="s">
        <v>691</v>
      </c>
      <c r="C373" t="s">
        <v>635</v>
      </c>
      <c r="D373" t="s">
        <v>689</v>
      </c>
      <c r="E373" t="s">
        <v>683</v>
      </c>
      <c r="F373" t="s">
        <v>638</v>
      </c>
      <c r="G373" t="s">
        <v>683</v>
      </c>
      <c r="H373" t="s">
        <v>684</v>
      </c>
      <c r="I373" s="6" t="s">
        <v>640</v>
      </c>
      <c r="J373" s="6">
        <v>1</v>
      </c>
      <c r="L373" s="15">
        <v>1</v>
      </c>
      <c r="M373" s="7">
        <v>46001</v>
      </c>
      <c r="N373" s="7">
        <v>46049</v>
      </c>
      <c r="O373" s="7">
        <v>46049</v>
      </c>
      <c r="P373" s="7">
        <v>46049</v>
      </c>
      <c r="Q373" s="28" t="str">
        <f t="shared" si="205"/>
        <v>OK</v>
      </c>
      <c r="R373" s="6" t="s">
        <v>692</v>
      </c>
      <c r="S373" s="6" t="str">
        <f t="shared" si="206"/>
        <v>LAD001</v>
      </c>
      <c r="T373" s="6">
        <v>1</v>
      </c>
      <c r="U373" s="6" t="s">
        <v>642</v>
      </c>
      <c r="V373" s="6" t="str">
        <f t="shared" si="171"/>
        <v>26/01</v>
      </c>
      <c r="AI373" s="23">
        <v>0</v>
      </c>
      <c r="AJ373" s="23">
        <v>0</v>
      </c>
      <c r="AK373" s="23">
        <v>0</v>
      </c>
      <c r="AL373" s="23">
        <v>0</v>
      </c>
      <c r="AM373" s="23">
        <v>0</v>
      </c>
      <c r="AN373" s="23">
        <v>0</v>
      </c>
      <c r="AO373" s="23">
        <v>0</v>
      </c>
      <c r="AP373" s="23">
        <v>0</v>
      </c>
      <c r="AQ373" s="23">
        <v>0</v>
      </c>
      <c r="AR373" s="23">
        <v>0</v>
      </c>
      <c r="AS373" s="23">
        <v>0</v>
      </c>
      <c r="AT373" s="23">
        <v>0</v>
      </c>
      <c r="AU373" s="23">
        <v>0</v>
      </c>
      <c r="AV373" s="23">
        <v>0</v>
      </c>
      <c r="AW373" s="23">
        <v>0</v>
      </c>
      <c r="AX373" s="23">
        <v>0</v>
      </c>
      <c r="AY373" s="23">
        <v>0</v>
      </c>
      <c r="AZ373" s="23">
        <v>0</v>
      </c>
      <c r="BA373" s="23">
        <v>0</v>
      </c>
      <c r="BB373" s="23">
        <v>1</v>
      </c>
      <c r="BC373" s="23">
        <v>0</v>
      </c>
      <c r="BD373" s="23">
        <v>0</v>
      </c>
      <c r="BE373" s="23">
        <v>0</v>
      </c>
      <c r="BF373" s="23">
        <v>0</v>
      </c>
      <c r="BG373" s="23">
        <v>0</v>
      </c>
      <c r="BH373" s="23">
        <v>0</v>
      </c>
      <c r="BI373" s="23">
        <v>0</v>
      </c>
      <c r="BJ373" s="23">
        <v>0</v>
      </c>
      <c r="BK373" s="23">
        <v>0</v>
      </c>
      <c r="BL373" s="23">
        <v>0</v>
      </c>
      <c r="BM373" s="23">
        <v>0</v>
      </c>
      <c r="BN373" s="23">
        <v>0</v>
      </c>
      <c r="BO373" s="23">
        <v>0</v>
      </c>
      <c r="BP373" s="23">
        <f t="shared" si="172"/>
        <v>0</v>
      </c>
      <c r="BQ373" s="23">
        <f t="shared" si="173"/>
        <v>0</v>
      </c>
      <c r="BR373" s="23">
        <f t="shared" si="174"/>
        <v>0</v>
      </c>
      <c r="BS373" s="23">
        <f t="shared" si="175"/>
        <v>0</v>
      </c>
      <c r="BT373" s="23">
        <f t="shared" si="176"/>
        <v>0</v>
      </c>
      <c r="BU373" s="23">
        <f t="shared" si="177"/>
        <v>0</v>
      </c>
      <c r="BV373" s="23">
        <f t="shared" si="178"/>
        <v>0</v>
      </c>
      <c r="BW373" s="23">
        <f t="shared" si="179"/>
        <v>0</v>
      </c>
      <c r="BX373" s="23">
        <f t="shared" si="180"/>
        <v>0</v>
      </c>
      <c r="BY373" s="23">
        <f t="shared" si="181"/>
        <v>0</v>
      </c>
      <c r="BZ373" s="23">
        <f t="shared" si="182"/>
        <v>0</v>
      </c>
      <c r="CA373" s="23">
        <f t="shared" si="183"/>
        <v>0</v>
      </c>
      <c r="CB373" s="23">
        <f t="shared" si="184"/>
        <v>0</v>
      </c>
      <c r="CC373" s="23">
        <f t="shared" si="185"/>
        <v>0</v>
      </c>
      <c r="CD373" s="23">
        <f t="shared" si="186"/>
        <v>0</v>
      </c>
      <c r="CE373" s="23">
        <f t="shared" si="187"/>
        <v>0</v>
      </c>
      <c r="CF373" s="23">
        <f t="shared" si="188"/>
        <v>0</v>
      </c>
      <c r="CG373" s="23">
        <f t="shared" si="189"/>
        <v>0</v>
      </c>
      <c r="CH373" s="23">
        <f t="shared" si="190"/>
        <v>0</v>
      </c>
      <c r="CI373" s="23">
        <f t="shared" si="191"/>
        <v>1</v>
      </c>
      <c r="CJ373" s="23">
        <f t="shared" si="192"/>
        <v>0</v>
      </c>
      <c r="CK373" s="23">
        <f t="shared" si="193"/>
        <v>0</v>
      </c>
      <c r="CL373" s="23">
        <f t="shared" si="194"/>
        <v>0</v>
      </c>
      <c r="CM373" s="23">
        <f t="shared" si="195"/>
        <v>0</v>
      </c>
      <c r="CN373" s="23">
        <f t="shared" si="196"/>
        <v>0</v>
      </c>
      <c r="CO373" s="23">
        <f t="shared" si="197"/>
        <v>0</v>
      </c>
      <c r="CP373" s="23">
        <f t="shared" si="198"/>
        <v>0</v>
      </c>
      <c r="CQ373" s="23">
        <f t="shared" si="199"/>
        <v>0</v>
      </c>
      <c r="CR373" s="23">
        <f t="shared" si="200"/>
        <v>0</v>
      </c>
      <c r="CS373" s="23">
        <f t="shared" si="201"/>
        <v>0</v>
      </c>
      <c r="CT373" s="23">
        <f t="shared" si="202"/>
        <v>0</v>
      </c>
      <c r="CU373" s="23">
        <f t="shared" si="203"/>
        <v>0</v>
      </c>
      <c r="CV373" s="23">
        <f t="shared" si="204"/>
        <v>0</v>
      </c>
    </row>
    <row r="374" spans="1:100" ht="13.5">
      <c r="A374" s="15">
        <v>37</v>
      </c>
      <c r="B374" s="27" t="s">
        <v>693</v>
      </c>
      <c r="C374" t="s">
        <v>635</v>
      </c>
      <c r="D374" t="s">
        <v>689</v>
      </c>
      <c r="E374" t="s">
        <v>683</v>
      </c>
      <c r="F374" t="s">
        <v>638</v>
      </c>
      <c r="G374" t="s">
        <v>683</v>
      </c>
      <c r="H374" t="s">
        <v>684</v>
      </c>
      <c r="I374" s="6" t="s">
        <v>640</v>
      </c>
      <c r="J374" s="6">
        <v>1</v>
      </c>
      <c r="L374" s="15">
        <v>2</v>
      </c>
      <c r="M374" s="7">
        <v>46037</v>
      </c>
      <c r="N374" s="7">
        <v>46063</v>
      </c>
      <c r="O374" s="7">
        <v>46063</v>
      </c>
      <c r="P374" s="7">
        <v>46063</v>
      </c>
      <c r="Q374" s="28" t="str">
        <f t="shared" si="205"/>
        <v>OK</v>
      </c>
      <c r="S374" s="6" t="str">
        <f t="shared" si="206"/>
        <v>LAD001</v>
      </c>
      <c r="T374" s="6">
        <v>2</v>
      </c>
      <c r="U374" s="6" t="s">
        <v>642</v>
      </c>
      <c r="V374" s="6" t="str">
        <f t="shared" si="171"/>
        <v>26/02</v>
      </c>
      <c r="AI374" s="23">
        <v>0</v>
      </c>
      <c r="AJ374" s="23">
        <v>0</v>
      </c>
      <c r="AK374" s="23">
        <v>0</v>
      </c>
      <c r="AL374" s="23">
        <v>0</v>
      </c>
      <c r="AM374" s="23">
        <v>0</v>
      </c>
      <c r="AN374" s="23">
        <v>0</v>
      </c>
      <c r="AO374" s="23">
        <v>0</v>
      </c>
      <c r="AP374" s="23">
        <v>0</v>
      </c>
      <c r="AQ374" s="23">
        <v>0</v>
      </c>
      <c r="AR374" s="23">
        <v>0</v>
      </c>
      <c r="AS374" s="23">
        <v>0</v>
      </c>
      <c r="AT374" s="23">
        <v>0</v>
      </c>
      <c r="AU374" s="23">
        <v>0</v>
      </c>
      <c r="AV374" s="23">
        <v>0</v>
      </c>
      <c r="AW374" s="23">
        <v>0</v>
      </c>
      <c r="AX374" s="23">
        <v>0</v>
      </c>
      <c r="AY374" s="23">
        <v>0</v>
      </c>
      <c r="AZ374" s="23">
        <v>0</v>
      </c>
      <c r="BA374" s="23">
        <v>0</v>
      </c>
      <c r="BB374" s="23">
        <v>1</v>
      </c>
      <c r="BC374" s="23">
        <v>0</v>
      </c>
      <c r="BD374" s="23">
        <v>0</v>
      </c>
      <c r="BE374" s="23">
        <v>0</v>
      </c>
      <c r="BF374" s="23">
        <v>0</v>
      </c>
      <c r="BG374" s="23">
        <v>0</v>
      </c>
      <c r="BH374" s="23">
        <v>0</v>
      </c>
      <c r="BI374" s="23">
        <v>0</v>
      </c>
      <c r="BJ374" s="23">
        <v>0</v>
      </c>
      <c r="BK374" s="23">
        <v>0</v>
      </c>
      <c r="BL374" s="23">
        <v>0</v>
      </c>
      <c r="BM374" s="23">
        <v>0</v>
      </c>
      <c r="BN374" s="23">
        <v>0</v>
      </c>
      <c r="BO374" s="23">
        <v>0</v>
      </c>
      <c r="BP374" s="23">
        <f t="shared" si="172"/>
        <v>0</v>
      </c>
      <c r="BQ374" s="23">
        <f t="shared" si="173"/>
        <v>0</v>
      </c>
      <c r="BR374" s="23">
        <f t="shared" si="174"/>
        <v>0</v>
      </c>
      <c r="BS374" s="23">
        <f t="shared" si="175"/>
        <v>0</v>
      </c>
      <c r="BT374" s="23">
        <f t="shared" si="176"/>
        <v>0</v>
      </c>
      <c r="BU374" s="23">
        <f t="shared" si="177"/>
        <v>0</v>
      </c>
      <c r="BV374" s="23">
        <f t="shared" si="178"/>
        <v>0</v>
      </c>
      <c r="BW374" s="23">
        <f t="shared" si="179"/>
        <v>0</v>
      </c>
      <c r="BX374" s="23">
        <f t="shared" si="180"/>
        <v>0</v>
      </c>
      <c r="BY374" s="23">
        <f t="shared" si="181"/>
        <v>0</v>
      </c>
      <c r="BZ374" s="23">
        <f t="shared" si="182"/>
        <v>0</v>
      </c>
      <c r="CA374" s="23">
        <f t="shared" si="183"/>
        <v>0</v>
      </c>
      <c r="CB374" s="23">
        <f t="shared" si="184"/>
        <v>0</v>
      </c>
      <c r="CC374" s="23">
        <f t="shared" si="185"/>
        <v>0</v>
      </c>
      <c r="CD374" s="23">
        <f t="shared" si="186"/>
        <v>0</v>
      </c>
      <c r="CE374" s="23">
        <f t="shared" si="187"/>
        <v>0</v>
      </c>
      <c r="CF374" s="23">
        <f t="shared" si="188"/>
        <v>0</v>
      </c>
      <c r="CG374" s="23">
        <f t="shared" si="189"/>
        <v>0</v>
      </c>
      <c r="CH374" s="23">
        <f t="shared" si="190"/>
        <v>0</v>
      </c>
      <c r="CI374" s="23">
        <f t="shared" si="191"/>
        <v>2</v>
      </c>
      <c r="CJ374" s="23">
        <f t="shared" si="192"/>
        <v>0</v>
      </c>
      <c r="CK374" s="23">
        <f t="shared" si="193"/>
        <v>0</v>
      </c>
      <c r="CL374" s="23">
        <f t="shared" si="194"/>
        <v>0</v>
      </c>
      <c r="CM374" s="23">
        <f t="shared" si="195"/>
        <v>0</v>
      </c>
      <c r="CN374" s="23">
        <f t="shared" si="196"/>
        <v>0</v>
      </c>
      <c r="CO374" s="23">
        <f t="shared" si="197"/>
        <v>0</v>
      </c>
      <c r="CP374" s="23">
        <f t="shared" si="198"/>
        <v>0</v>
      </c>
      <c r="CQ374" s="23">
        <f t="shared" si="199"/>
        <v>0</v>
      </c>
      <c r="CR374" s="23">
        <f t="shared" si="200"/>
        <v>0</v>
      </c>
      <c r="CS374" s="23">
        <f t="shared" si="201"/>
        <v>0</v>
      </c>
      <c r="CT374" s="23">
        <f t="shared" si="202"/>
        <v>0</v>
      </c>
      <c r="CU374" s="23">
        <f t="shared" si="203"/>
        <v>0</v>
      </c>
      <c r="CV374" s="23">
        <f t="shared" si="204"/>
        <v>0</v>
      </c>
    </row>
    <row r="375" spans="1:100" ht="14.25" thickBot="1">
      <c r="A375" s="31">
        <v>38</v>
      </c>
      <c r="B375" s="32" t="s">
        <v>694</v>
      </c>
      <c r="C375" s="33" t="s">
        <v>635</v>
      </c>
      <c r="D375" s="33" t="s">
        <v>689</v>
      </c>
      <c r="E375" s="33" t="s">
        <v>683</v>
      </c>
      <c r="F375" s="33" t="s">
        <v>638</v>
      </c>
      <c r="G375" s="33" t="s">
        <v>683</v>
      </c>
      <c r="H375" s="33" t="s">
        <v>684</v>
      </c>
      <c r="I375" s="34" t="s">
        <v>640</v>
      </c>
      <c r="J375" s="34">
        <v>1</v>
      </c>
      <c r="K375" s="33"/>
      <c r="L375" s="31">
        <v>2</v>
      </c>
      <c r="M375" s="35">
        <v>46037</v>
      </c>
      <c r="N375" s="35">
        <v>46063</v>
      </c>
      <c r="O375" s="35">
        <v>46063</v>
      </c>
      <c r="P375" s="35">
        <v>46063</v>
      </c>
      <c r="Q375" s="36" t="str">
        <f t="shared" si="205"/>
        <v>OK</v>
      </c>
      <c r="R375" s="34"/>
      <c r="S375" s="34" t="str">
        <f t="shared" si="206"/>
        <v>LAD001</v>
      </c>
      <c r="T375" s="34">
        <v>2</v>
      </c>
      <c r="U375" s="34" t="s">
        <v>642</v>
      </c>
      <c r="V375" s="34" t="str">
        <f t="shared" si="171"/>
        <v>26/02</v>
      </c>
      <c r="AI375" s="23">
        <v>0</v>
      </c>
      <c r="AJ375" s="23">
        <v>0</v>
      </c>
      <c r="AK375" s="23">
        <v>0</v>
      </c>
      <c r="AL375" s="23">
        <v>0</v>
      </c>
      <c r="AM375" s="23">
        <v>0</v>
      </c>
      <c r="AN375" s="23">
        <v>0</v>
      </c>
      <c r="AO375" s="23">
        <v>0</v>
      </c>
      <c r="AP375" s="23">
        <v>0</v>
      </c>
      <c r="AQ375" s="23">
        <v>0</v>
      </c>
      <c r="AR375" s="23">
        <v>0</v>
      </c>
      <c r="AS375" s="23">
        <v>0</v>
      </c>
      <c r="AT375" s="23">
        <v>0</v>
      </c>
      <c r="AU375" s="23">
        <v>0</v>
      </c>
      <c r="AV375" s="23">
        <v>0</v>
      </c>
      <c r="AW375" s="23">
        <v>0</v>
      </c>
      <c r="AX375" s="23">
        <v>0</v>
      </c>
      <c r="AY375" s="23">
        <v>0</v>
      </c>
      <c r="AZ375" s="23">
        <v>0</v>
      </c>
      <c r="BA375" s="23">
        <v>0</v>
      </c>
      <c r="BB375" s="23">
        <v>1</v>
      </c>
      <c r="BC375" s="23">
        <v>0</v>
      </c>
      <c r="BD375" s="23">
        <v>0</v>
      </c>
      <c r="BE375" s="23">
        <v>0</v>
      </c>
      <c r="BF375" s="23">
        <v>0</v>
      </c>
      <c r="BG375" s="23">
        <v>0</v>
      </c>
      <c r="BH375" s="23">
        <v>0</v>
      </c>
      <c r="BI375" s="23">
        <v>0</v>
      </c>
      <c r="BJ375" s="23">
        <v>0</v>
      </c>
      <c r="BK375" s="23">
        <v>0</v>
      </c>
      <c r="BL375" s="23">
        <v>0</v>
      </c>
      <c r="BM375" s="23">
        <v>0</v>
      </c>
      <c r="BN375" s="23">
        <v>0</v>
      </c>
      <c r="BO375" s="23">
        <v>0</v>
      </c>
      <c r="BP375" s="23">
        <f t="shared" si="172"/>
        <v>0</v>
      </c>
      <c r="BQ375" s="23">
        <f t="shared" si="173"/>
        <v>0</v>
      </c>
      <c r="BR375" s="23">
        <f t="shared" si="174"/>
        <v>0</v>
      </c>
      <c r="BS375" s="23">
        <f t="shared" si="175"/>
        <v>0</v>
      </c>
      <c r="BT375" s="23">
        <f t="shared" si="176"/>
        <v>0</v>
      </c>
      <c r="BU375" s="23">
        <f t="shared" si="177"/>
        <v>0</v>
      </c>
      <c r="BV375" s="23">
        <f t="shared" si="178"/>
        <v>0</v>
      </c>
      <c r="BW375" s="23">
        <f t="shared" si="179"/>
        <v>0</v>
      </c>
      <c r="BX375" s="23">
        <f t="shared" si="180"/>
        <v>0</v>
      </c>
      <c r="BY375" s="23">
        <f t="shared" si="181"/>
        <v>0</v>
      </c>
      <c r="BZ375" s="23">
        <f t="shared" si="182"/>
        <v>0</v>
      </c>
      <c r="CA375" s="23">
        <f t="shared" si="183"/>
        <v>0</v>
      </c>
      <c r="CB375" s="23">
        <f t="shared" si="184"/>
        <v>0</v>
      </c>
      <c r="CC375" s="23">
        <f t="shared" si="185"/>
        <v>0</v>
      </c>
      <c r="CD375" s="23">
        <f t="shared" si="186"/>
        <v>0</v>
      </c>
      <c r="CE375" s="23">
        <f t="shared" si="187"/>
        <v>0</v>
      </c>
      <c r="CF375" s="23">
        <f t="shared" si="188"/>
        <v>0</v>
      </c>
      <c r="CG375" s="23">
        <f t="shared" si="189"/>
        <v>0</v>
      </c>
      <c r="CH375" s="23">
        <f t="shared" si="190"/>
        <v>0</v>
      </c>
      <c r="CI375" s="23">
        <f t="shared" si="191"/>
        <v>2</v>
      </c>
      <c r="CJ375" s="23">
        <f t="shared" si="192"/>
        <v>0</v>
      </c>
      <c r="CK375" s="23">
        <f t="shared" si="193"/>
        <v>0</v>
      </c>
      <c r="CL375" s="23">
        <f t="shared" si="194"/>
        <v>0</v>
      </c>
      <c r="CM375" s="23">
        <f t="shared" si="195"/>
        <v>0</v>
      </c>
      <c r="CN375" s="23">
        <f t="shared" si="196"/>
        <v>0</v>
      </c>
      <c r="CO375" s="23">
        <f t="shared" si="197"/>
        <v>0</v>
      </c>
      <c r="CP375" s="23">
        <f t="shared" si="198"/>
        <v>0</v>
      </c>
      <c r="CQ375" s="23">
        <f t="shared" si="199"/>
        <v>0</v>
      </c>
      <c r="CR375" s="23">
        <f t="shared" si="200"/>
        <v>0</v>
      </c>
      <c r="CS375" s="23">
        <f t="shared" si="201"/>
        <v>0</v>
      </c>
      <c r="CT375" s="23">
        <f t="shared" si="202"/>
        <v>0</v>
      </c>
      <c r="CU375" s="23">
        <f t="shared" si="203"/>
        <v>0</v>
      </c>
      <c r="CV375" s="23">
        <f t="shared" si="204"/>
        <v>0</v>
      </c>
    </row>
    <row r="376" spans="1:100" ht="14.25" thickTop="1">
      <c r="A376" s="15">
        <v>16</v>
      </c>
      <c r="B376" s="27" t="s">
        <v>695</v>
      </c>
      <c r="C376" t="s">
        <v>635</v>
      </c>
      <c r="D376" t="s">
        <v>696</v>
      </c>
      <c r="E376" t="s">
        <v>697</v>
      </c>
      <c r="F376" t="s">
        <v>638</v>
      </c>
      <c r="G376" t="s">
        <v>697</v>
      </c>
      <c r="H376" t="s">
        <v>698</v>
      </c>
      <c r="I376" s="6" t="s">
        <v>640</v>
      </c>
      <c r="J376" s="6">
        <v>1</v>
      </c>
      <c r="L376" s="15">
        <v>4</v>
      </c>
      <c r="M376" s="7">
        <v>46001</v>
      </c>
      <c r="N376" s="7">
        <v>46048</v>
      </c>
      <c r="O376" s="7">
        <v>46048</v>
      </c>
      <c r="P376" s="7">
        <v>46048</v>
      </c>
      <c r="Q376" s="28" t="str">
        <f t="shared" si="205"/>
        <v>OK</v>
      </c>
      <c r="R376" s="6" t="s">
        <v>699</v>
      </c>
      <c r="S376" s="6" t="str">
        <f t="shared" si="206"/>
        <v>LAF001</v>
      </c>
      <c r="T376" s="6">
        <v>4</v>
      </c>
      <c r="U376" s="6" t="s">
        <v>642</v>
      </c>
      <c r="V376" s="6" t="str">
        <f t="shared" si="171"/>
        <v>26/01</v>
      </c>
      <c r="AI376" s="23">
        <v>0</v>
      </c>
      <c r="AJ376" s="23">
        <v>1</v>
      </c>
      <c r="AK376" s="23">
        <v>0</v>
      </c>
      <c r="AL376" s="23">
        <v>0</v>
      </c>
      <c r="AM376" s="23">
        <v>0</v>
      </c>
      <c r="AN376" s="23">
        <v>0</v>
      </c>
      <c r="AO376" s="23">
        <v>0</v>
      </c>
      <c r="AP376" s="23">
        <v>0</v>
      </c>
      <c r="AQ376" s="23">
        <v>0</v>
      </c>
      <c r="AR376" s="23">
        <v>0</v>
      </c>
      <c r="AS376" s="23">
        <v>0</v>
      </c>
      <c r="AT376" s="23">
        <v>0</v>
      </c>
      <c r="AU376" s="23">
        <v>0</v>
      </c>
      <c r="AV376" s="23">
        <v>0</v>
      </c>
      <c r="AW376" s="23">
        <v>0</v>
      </c>
      <c r="AX376" s="23">
        <v>0</v>
      </c>
      <c r="AY376" s="23">
        <v>0</v>
      </c>
      <c r="AZ376" s="23">
        <v>0</v>
      </c>
      <c r="BA376" s="23">
        <v>0</v>
      </c>
      <c r="BB376" s="23">
        <v>0</v>
      </c>
      <c r="BC376" s="23">
        <v>0</v>
      </c>
      <c r="BD376" s="23">
        <v>0</v>
      </c>
      <c r="BE376" s="23">
        <v>0</v>
      </c>
      <c r="BF376" s="23">
        <v>0</v>
      </c>
      <c r="BG376" s="23">
        <v>0</v>
      </c>
      <c r="BH376" s="23">
        <v>0</v>
      </c>
      <c r="BI376" s="23">
        <v>0</v>
      </c>
      <c r="BJ376" s="23">
        <v>0</v>
      </c>
      <c r="BK376" s="23">
        <v>0</v>
      </c>
      <c r="BL376" s="23">
        <v>0</v>
      </c>
      <c r="BM376" s="23">
        <v>0</v>
      </c>
      <c r="BN376" s="23">
        <v>0</v>
      </c>
      <c r="BO376" s="23">
        <v>0</v>
      </c>
      <c r="BP376" s="23">
        <f t="shared" si="172"/>
        <v>0</v>
      </c>
      <c r="BQ376" s="23">
        <f t="shared" si="173"/>
        <v>4</v>
      </c>
      <c r="BR376" s="23">
        <f t="shared" si="174"/>
        <v>0</v>
      </c>
      <c r="BS376" s="23">
        <f t="shared" si="175"/>
        <v>0</v>
      </c>
      <c r="BT376" s="23">
        <f t="shared" si="176"/>
        <v>0</v>
      </c>
      <c r="BU376" s="23">
        <f t="shared" si="177"/>
        <v>0</v>
      </c>
      <c r="BV376" s="23">
        <f t="shared" si="178"/>
        <v>0</v>
      </c>
      <c r="BW376" s="23">
        <f t="shared" si="179"/>
        <v>0</v>
      </c>
      <c r="BX376" s="23">
        <f t="shared" si="180"/>
        <v>0</v>
      </c>
      <c r="BY376" s="23">
        <f t="shared" si="181"/>
        <v>0</v>
      </c>
      <c r="BZ376" s="23">
        <f t="shared" si="182"/>
        <v>0</v>
      </c>
      <c r="CA376" s="23">
        <f t="shared" si="183"/>
        <v>0</v>
      </c>
      <c r="CB376" s="23">
        <f t="shared" si="184"/>
        <v>0</v>
      </c>
      <c r="CC376" s="23">
        <f t="shared" si="185"/>
        <v>0</v>
      </c>
      <c r="CD376" s="23">
        <f t="shared" si="186"/>
        <v>0</v>
      </c>
      <c r="CE376" s="23">
        <f t="shared" si="187"/>
        <v>0</v>
      </c>
      <c r="CF376" s="23">
        <f t="shared" si="188"/>
        <v>0</v>
      </c>
      <c r="CG376" s="23">
        <f t="shared" si="189"/>
        <v>0</v>
      </c>
      <c r="CH376" s="23">
        <f t="shared" si="190"/>
        <v>0</v>
      </c>
      <c r="CI376" s="23">
        <f t="shared" si="191"/>
        <v>0</v>
      </c>
      <c r="CJ376" s="23">
        <f t="shared" si="192"/>
        <v>0</v>
      </c>
      <c r="CK376" s="23">
        <f t="shared" si="193"/>
        <v>0</v>
      </c>
      <c r="CL376" s="23">
        <f t="shared" si="194"/>
        <v>0</v>
      </c>
      <c r="CM376" s="23">
        <f t="shared" si="195"/>
        <v>0</v>
      </c>
      <c r="CN376" s="23">
        <f t="shared" si="196"/>
        <v>0</v>
      </c>
      <c r="CO376" s="23">
        <f t="shared" si="197"/>
        <v>0</v>
      </c>
      <c r="CP376" s="23">
        <f t="shared" si="198"/>
        <v>0</v>
      </c>
      <c r="CQ376" s="23">
        <f t="shared" si="199"/>
        <v>0</v>
      </c>
      <c r="CR376" s="23">
        <f t="shared" si="200"/>
        <v>0</v>
      </c>
      <c r="CS376" s="23">
        <f t="shared" si="201"/>
        <v>0</v>
      </c>
      <c r="CT376" s="23">
        <f t="shared" si="202"/>
        <v>0</v>
      </c>
      <c r="CU376" s="23">
        <f t="shared" si="203"/>
        <v>0</v>
      </c>
      <c r="CV376" s="23">
        <f t="shared" si="204"/>
        <v>0</v>
      </c>
    </row>
    <row r="377" spans="1:100" ht="13.5">
      <c r="A377" s="15">
        <v>20</v>
      </c>
      <c r="B377" s="27" t="s">
        <v>700</v>
      </c>
      <c r="C377" t="s">
        <v>635</v>
      </c>
      <c r="D377" t="s">
        <v>696</v>
      </c>
      <c r="E377" t="s">
        <v>697</v>
      </c>
      <c r="F377" t="s">
        <v>638</v>
      </c>
      <c r="G377" t="s">
        <v>697</v>
      </c>
      <c r="H377" t="s">
        <v>698</v>
      </c>
      <c r="I377" s="6" t="s">
        <v>640</v>
      </c>
      <c r="J377" s="6">
        <v>1</v>
      </c>
      <c r="L377" s="15">
        <v>1</v>
      </c>
      <c r="M377" s="7">
        <v>46001</v>
      </c>
      <c r="N377" s="7">
        <v>46049</v>
      </c>
      <c r="O377" s="7">
        <v>46049</v>
      </c>
      <c r="P377" s="7">
        <v>46049</v>
      </c>
      <c r="Q377" s="28" t="str">
        <f t="shared" si="205"/>
        <v>OK</v>
      </c>
      <c r="R377" s="6" t="s">
        <v>701</v>
      </c>
      <c r="S377" s="6" t="str">
        <f t="shared" si="206"/>
        <v>LAF001</v>
      </c>
      <c r="T377" s="6">
        <v>1</v>
      </c>
      <c r="U377" s="6" t="s">
        <v>642</v>
      </c>
      <c r="V377" s="6" t="str">
        <f t="shared" si="171"/>
        <v>26/01</v>
      </c>
      <c r="AI377" s="23">
        <v>0</v>
      </c>
      <c r="AJ377" s="23">
        <v>1</v>
      </c>
      <c r="AK377" s="23">
        <v>0</v>
      </c>
      <c r="AL377" s="23">
        <v>0</v>
      </c>
      <c r="AM377" s="23">
        <v>0</v>
      </c>
      <c r="AN377" s="23">
        <v>0</v>
      </c>
      <c r="AO377" s="23">
        <v>0</v>
      </c>
      <c r="AP377" s="23">
        <v>0</v>
      </c>
      <c r="AQ377" s="23">
        <v>0</v>
      </c>
      <c r="AR377" s="23">
        <v>0</v>
      </c>
      <c r="AS377" s="23">
        <v>0</v>
      </c>
      <c r="AT377" s="23">
        <v>0</v>
      </c>
      <c r="AU377" s="23">
        <v>0</v>
      </c>
      <c r="AV377" s="23">
        <v>0</v>
      </c>
      <c r="AW377" s="23">
        <v>0</v>
      </c>
      <c r="AX377" s="23">
        <v>0</v>
      </c>
      <c r="AY377" s="23">
        <v>0</v>
      </c>
      <c r="AZ377" s="23">
        <v>0</v>
      </c>
      <c r="BA377" s="23">
        <v>0</v>
      </c>
      <c r="BB377" s="23">
        <v>0</v>
      </c>
      <c r="BC377" s="23">
        <v>0</v>
      </c>
      <c r="BD377" s="23">
        <v>0</v>
      </c>
      <c r="BE377" s="23">
        <v>0</v>
      </c>
      <c r="BF377" s="23">
        <v>0</v>
      </c>
      <c r="BG377" s="23">
        <v>0</v>
      </c>
      <c r="BH377" s="23">
        <v>0</v>
      </c>
      <c r="BI377" s="23">
        <v>0</v>
      </c>
      <c r="BJ377" s="23">
        <v>0</v>
      </c>
      <c r="BK377" s="23">
        <v>0</v>
      </c>
      <c r="BL377" s="23">
        <v>0</v>
      </c>
      <c r="BM377" s="23">
        <v>0</v>
      </c>
      <c r="BN377" s="23">
        <v>0</v>
      </c>
      <c r="BO377" s="23">
        <v>0</v>
      </c>
      <c r="BP377" s="23">
        <f t="shared" si="172"/>
        <v>0</v>
      </c>
      <c r="BQ377" s="23">
        <f t="shared" si="173"/>
        <v>1</v>
      </c>
      <c r="BR377" s="23">
        <f t="shared" si="174"/>
        <v>0</v>
      </c>
      <c r="BS377" s="23">
        <f t="shared" si="175"/>
        <v>0</v>
      </c>
      <c r="BT377" s="23">
        <f t="shared" si="176"/>
        <v>0</v>
      </c>
      <c r="BU377" s="23">
        <f t="shared" si="177"/>
        <v>0</v>
      </c>
      <c r="BV377" s="23">
        <f t="shared" si="178"/>
        <v>0</v>
      </c>
      <c r="BW377" s="23">
        <f t="shared" si="179"/>
        <v>0</v>
      </c>
      <c r="BX377" s="23">
        <f t="shared" si="180"/>
        <v>0</v>
      </c>
      <c r="BY377" s="23">
        <f t="shared" si="181"/>
        <v>0</v>
      </c>
      <c r="BZ377" s="23">
        <f t="shared" si="182"/>
        <v>0</v>
      </c>
      <c r="CA377" s="23">
        <f t="shared" si="183"/>
        <v>0</v>
      </c>
      <c r="CB377" s="23">
        <f t="shared" si="184"/>
        <v>0</v>
      </c>
      <c r="CC377" s="23">
        <f t="shared" si="185"/>
        <v>0</v>
      </c>
      <c r="CD377" s="23">
        <f t="shared" si="186"/>
        <v>0</v>
      </c>
      <c r="CE377" s="23">
        <f t="shared" si="187"/>
        <v>0</v>
      </c>
      <c r="CF377" s="23">
        <f t="shared" si="188"/>
        <v>0</v>
      </c>
      <c r="CG377" s="23">
        <f t="shared" si="189"/>
        <v>0</v>
      </c>
      <c r="CH377" s="23">
        <f t="shared" si="190"/>
        <v>0</v>
      </c>
      <c r="CI377" s="23">
        <f t="shared" si="191"/>
        <v>0</v>
      </c>
      <c r="CJ377" s="23">
        <f t="shared" si="192"/>
        <v>0</v>
      </c>
      <c r="CK377" s="23">
        <f t="shared" si="193"/>
        <v>0</v>
      </c>
      <c r="CL377" s="23">
        <f t="shared" si="194"/>
        <v>0</v>
      </c>
      <c r="CM377" s="23">
        <f t="shared" si="195"/>
        <v>0</v>
      </c>
      <c r="CN377" s="23">
        <f t="shared" si="196"/>
        <v>0</v>
      </c>
      <c r="CO377" s="23">
        <f t="shared" si="197"/>
        <v>0</v>
      </c>
      <c r="CP377" s="23">
        <f t="shared" si="198"/>
        <v>0</v>
      </c>
      <c r="CQ377" s="23">
        <f t="shared" si="199"/>
        <v>0</v>
      </c>
      <c r="CR377" s="23">
        <f t="shared" si="200"/>
        <v>0</v>
      </c>
      <c r="CS377" s="23">
        <f t="shared" si="201"/>
        <v>0</v>
      </c>
      <c r="CT377" s="23">
        <f t="shared" si="202"/>
        <v>0</v>
      </c>
      <c r="CU377" s="23">
        <f t="shared" si="203"/>
        <v>0</v>
      </c>
      <c r="CV377" s="23">
        <f t="shared" si="204"/>
        <v>0</v>
      </c>
    </row>
    <row r="378" spans="1:100" ht="14.25" thickBot="1">
      <c r="A378" s="31">
        <v>39</v>
      </c>
      <c r="B378" s="32" t="s">
        <v>702</v>
      </c>
      <c r="C378" s="33" t="s">
        <v>635</v>
      </c>
      <c r="D378" s="33" t="s">
        <v>696</v>
      </c>
      <c r="E378" s="33" t="s">
        <v>697</v>
      </c>
      <c r="F378" s="33" t="s">
        <v>638</v>
      </c>
      <c r="G378" s="33" t="s">
        <v>697</v>
      </c>
      <c r="H378" s="33" t="s">
        <v>698</v>
      </c>
      <c r="I378" s="34" t="s">
        <v>640</v>
      </c>
      <c r="J378" s="34">
        <v>1</v>
      </c>
      <c r="K378" s="33"/>
      <c r="L378" s="31">
        <v>2</v>
      </c>
      <c r="M378" s="35">
        <v>46037</v>
      </c>
      <c r="N378" s="35">
        <v>46063</v>
      </c>
      <c r="O378" s="35">
        <v>46063</v>
      </c>
      <c r="P378" s="35">
        <v>46063</v>
      </c>
      <c r="Q378" s="36" t="str">
        <f t="shared" si="205"/>
        <v>OK</v>
      </c>
      <c r="R378" s="34"/>
      <c r="S378" s="34" t="str">
        <f t="shared" si="206"/>
        <v>LAF001</v>
      </c>
      <c r="T378" s="34">
        <v>2</v>
      </c>
      <c r="U378" s="34" t="s">
        <v>642</v>
      </c>
      <c r="V378" s="34" t="str">
        <f t="shared" si="171"/>
        <v>26/02</v>
      </c>
      <c r="AI378" s="23">
        <v>0</v>
      </c>
      <c r="AJ378" s="23">
        <v>1</v>
      </c>
      <c r="AK378" s="23">
        <v>0</v>
      </c>
      <c r="AL378" s="23">
        <v>0</v>
      </c>
      <c r="AM378" s="23">
        <v>0</v>
      </c>
      <c r="AN378" s="23">
        <v>0</v>
      </c>
      <c r="AO378" s="23">
        <v>0</v>
      </c>
      <c r="AP378" s="23">
        <v>0</v>
      </c>
      <c r="AQ378" s="23">
        <v>0</v>
      </c>
      <c r="AR378" s="23">
        <v>0</v>
      </c>
      <c r="AS378" s="23">
        <v>0</v>
      </c>
      <c r="AT378" s="23">
        <v>0</v>
      </c>
      <c r="AU378" s="23">
        <v>0</v>
      </c>
      <c r="AV378" s="23">
        <v>0</v>
      </c>
      <c r="AW378" s="23">
        <v>0</v>
      </c>
      <c r="AX378" s="23">
        <v>0</v>
      </c>
      <c r="AY378" s="23">
        <v>0</v>
      </c>
      <c r="AZ378" s="23">
        <v>0</v>
      </c>
      <c r="BA378" s="23">
        <v>0</v>
      </c>
      <c r="BB378" s="23">
        <v>0</v>
      </c>
      <c r="BC378" s="23">
        <v>0</v>
      </c>
      <c r="BD378" s="23">
        <v>0</v>
      </c>
      <c r="BE378" s="23">
        <v>0</v>
      </c>
      <c r="BF378" s="23">
        <v>0</v>
      </c>
      <c r="BG378" s="23">
        <v>0</v>
      </c>
      <c r="BH378" s="23">
        <v>0</v>
      </c>
      <c r="BI378" s="23">
        <v>0</v>
      </c>
      <c r="BJ378" s="23">
        <v>0</v>
      </c>
      <c r="BK378" s="23">
        <v>0</v>
      </c>
      <c r="BL378" s="23">
        <v>0</v>
      </c>
      <c r="BM378" s="23">
        <v>0</v>
      </c>
      <c r="BN378" s="23">
        <v>0</v>
      </c>
      <c r="BO378" s="23">
        <v>0</v>
      </c>
      <c r="BP378" s="23">
        <f t="shared" si="172"/>
        <v>0</v>
      </c>
      <c r="BQ378" s="23">
        <f t="shared" si="173"/>
        <v>2</v>
      </c>
      <c r="BR378" s="23">
        <f t="shared" si="174"/>
        <v>0</v>
      </c>
      <c r="BS378" s="23">
        <f t="shared" si="175"/>
        <v>0</v>
      </c>
      <c r="BT378" s="23">
        <f t="shared" si="176"/>
        <v>0</v>
      </c>
      <c r="BU378" s="23">
        <f t="shared" si="177"/>
        <v>0</v>
      </c>
      <c r="BV378" s="23">
        <f t="shared" si="178"/>
        <v>0</v>
      </c>
      <c r="BW378" s="23">
        <f t="shared" si="179"/>
        <v>0</v>
      </c>
      <c r="BX378" s="23">
        <f t="shared" si="180"/>
        <v>0</v>
      </c>
      <c r="BY378" s="23">
        <f t="shared" si="181"/>
        <v>0</v>
      </c>
      <c r="BZ378" s="23">
        <f t="shared" si="182"/>
        <v>0</v>
      </c>
      <c r="CA378" s="23">
        <f t="shared" si="183"/>
        <v>0</v>
      </c>
      <c r="CB378" s="23">
        <f t="shared" si="184"/>
        <v>0</v>
      </c>
      <c r="CC378" s="23">
        <f t="shared" si="185"/>
        <v>0</v>
      </c>
      <c r="CD378" s="23">
        <f t="shared" si="186"/>
        <v>0</v>
      </c>
      <c r="CE378" s="23">
        <f t="shared" si="187"/>
        <v>0</v>
      </c>
      <c r="CF378" s="23">
        <f t="shared" si="188"/>
        <v>0</v>
      </c>
      <c r="CG378" s="23">
        <f t="shared" si="189"/>
        <v>0</v>
      </c>
      <c r="CH378" s="23">
        <f t="shared" si="190"/>
        <v>0</v>
      </c>
      <c r="CI378" s="23">
        <f t="shared" si="191"/>
        <v>0</v>
      </c>
      <c r="CJ378" s="23">
        <f t="shared" si="192"/>
        <v>0</v>
      </c>
      <c r="CK378" s="23">
        <f t="shared" si="193"/>
        <v>0</v>
      </c>
      <c r="CL378" s="23">
        <f t="shared" si="194"/>
        <v>0</v>
      </c>
      <c r="CM378" s="23">
        <f t="shared" si="195"/>
        <v>0</v>
      </c>
      <c r="CN378" s="23">
        <f t="shared" si="196"/>
        <v>0</v>
      </c>
      <c r="CO378" s="23">
        <f t="shared" si="197"/>
        <v>0</v>
      </c>
      <c r="CP378" s="23">
        <f t="shared" si="198"/>
        <v>0</v>
      </c>
      <c r="CQ378" s="23">
        <f t="shared" si="199"/>
        <v>0</v>
      </c>
      <c r="CR378" s="23">
        <f t="shared" si="200"/>
        <v>0</v>
      </c>
      <c r="CS378" s="23">
        <f t="shared" si="201"/>
        <v>0</v>
      </c>
      <c r="CT378" s="23">
        <f t="shared" si="202"/>
        <v>0</v>
      </c>
      <c r="CU378" s="23">
        <f t="shared" si="203"/>
        <v>0</v>
      </c>
      <c r="CV378" s="23">
        <f t="shared" si="204"/>
        <v>0</v>
      </c>
    </row>
    <row r="379" spans="1:100" ht="15" thickTop="1" thickBot="1">
      <c r="A379" s="31">
        <v>5</v>
      </c>
      <c r="B379" s="32" t="s">
        <v>703</v>
      </c>
      <c r="C379" s="33" t="s">
        <v>635</v>
      </c>
      <c r="D379" s="33" t="s">
        <v>704</v>
      </c>
      <c r="E379" s="33" t="s">
        <v>705</v>
      </c>
      <c r="F379" s="33" t="s">
        <v>638</v>
      </c>
      <c r="G379" s="33" t="s">
        <v>705</v>
      </c>
      <c r="H379" s="33" t="s">
        <v>706</v>
      </c>
      <c r="I379" s="34" t="s">
        <v>640</v>
      </c>
      <c r="J379" s="34">
        <v>1</v>
      </c>
      <c r="K379" s="33"/>
      <c r="L379" s="31">
        <v>1</v>
      </c>
      <c r="M379" s="35">
        <v>46001</v>
      </c>
      <c r="N379" s="35">
        <v>46044</v>
      </c>
      <c r="O379" s="35">
        <v>46044</v>
      </c>
      <c r="P379" s="35">
        <v>46044</v>
      </c>
      <c r="Q379" s="36" t="str">
        <f t="shared" si="205"/>
        <v>OK</v>
      </c>
      <c r="R379" s="34" t="s">
        <v>707</v>
      </c>
      <c r="S379" s="34" t="str">
        <f t="shared" si="206"/>
        <v>LAN001</v>
      </c>
      <c r="T379" s="34">
        <v>1</v>
      </c>
      <c r="U379" s="34" t="s">
        <v>642</v>
      </c>
      <c r="V379" s="34" t="str">
        <f t="shared" si="171"/>
        <v>26/01</v>
      </c>
      <c r="AI379" s="23">
        <v>0</v>
      </c>
      <c r="AJ379" s="23">
        <v>0</v>
      </c>
      <c r="AK379" s="23">
        <v>0</v>
      </c>
      <c r="AL379" s="23">
        <v>0</v>
      </c>
      <c r="AM379" s="23">
        <v>0</v>
      </c>
      <c r="AN379" s="23">
        <v>0</v>
      </c>
      <c r="AO379" s="23">
        <v>0</v>
      </c>
      <c r="AP379" s="23">
        <v>0</v>
      </c>
      <c r="AQ379" s="23">
        <v>0</v>
      </c>
      <c r="AR379" s="23">
        <v>0</v>
      </c>
      <c r="AS379" s="23">
        <v>0</v>
      </c>
      <c r="AT379" s="23">
        <v>0</v>
      </c>
      <c r="AU379" s="23">
        <v>1</v>
      </c>
      <c r="AV379" s="23">
        <v>0</v>
      </c>
      <c r="AW379" s="23">
        <v>0</v>
      </c>
      <c r="AX379" s="23">
        <v>0</v>
      </c>
      <c r="AY379" s="23">
        <v>0</v>
      </c>
      <c r="AZ379" s="23">
        <v>0</v>
      </c>
      <c r="BA379" s="23">
        <v>0</v>
      </c>
      <c r="BB379" s="23">
        <v>0</v>
      </c>
      <c r="BC379" s="23">
        <v>0</v>
      </c>
      <c r="BD379" s="23">
        <v>0</v>
      </c>
      <c r="BE379" s="23">
        <v>0</v>
      </c>
      <c r="BF379" s="23">
        <v>0</v>
      </c>
      <c r="BG379" s="23">
        <v>0</v>
      </c>
      <c r="BH379" s="23">
        <v>0</v>
      </c>
      <c r="BI379" s="23">
        <v>0</v>
      </c>
      <c r="BJ379" s="23">
        <v>0</v>
      </c>
      <c r="BK379" s="23">
        <v>0</v>
      </c>
      <c r="BL379" s="23">
        <v>0</v>
      </c>
      <c r="BM379" s="23">
        <v>0</v>
      </c>
      <c r="BN379" s="23">
        <v>0</v>
      </c>
      <c r="BO379" s="23">
        <v>0</v>
      </c>
      <c r="BP379" s="23">
        <f t="shared" si="172"/>
        <v>0</v>
      </c>
      <c r="BQ379" s="23">
        <f t="shared" si="173"/>
        <v>0</v>
      </c>
      <c r="BR379" s="23">
        <f t="shared" si="174"/>
        <v>0</v>
      </c>
      <c r="BS379" s="23">
        <f t="shared" si="175"/>
        <v>0</v>
      </c>
      <c r="BT379" s="23">
        <f t="shared" si="176"/>
        <v>0</v>
      </c>
      <c r="BU379" s="23">
        <f t="shared" si="177"/>
        <v>0</v>
      </c>
      <c r="BV379" s="23">
        <f t="shared" si="178"/>
        <v>0</v>
      </c>
      <c r="BW379" s="23">
        <f t="shared" si="179"/>
        <v>0</v>
      </c>
      <c r="BX379" s="23">
        <f t="shared" si="180"/>
        <v>0</v>
      </c>
      <c r="BY379" s="23">
        <f t="shared" si="181"/>
        <v>0</v>
      </c>
      <c r="BZ379" s="23">
        <f t="shared" si="182"/>
        <v>0</v>
      </c>
      <c r="CA379" s="23">
        <f t="shared" si="183"/>
        <v>0</v>
      </c>
      <c r="CB379" s="23">
        <f t="shared" si="184"/>
        <v>1</v>
      </c>
      <c r="CC379" s="23">
        <f t="shared" si="185"/>
        <v>0</v>
      </c>
      <c r="CD379" s="23">
        <f t="shared" si="186"/>
        <v>0</v>
      </c>
      <c r="CE379" s="23">
        <f t="shared" si="187"/>
        <v>0</v>
      </c>
      <c r="CF379" s="23">
        <f t="shared" si="188"/>
        <v>0</v>
      </c>
      <c r="CG379" s="23">
        <f t="shared" si="189"/>
        <v>0</v>
      </c>
      <c r="CH379" s="23">
        <f t="shared" si="190"/>
        <v>0</v>
      </c>
      <c r="CI379" s="23">
        <f t="shared" si="191"/>
        <v>0</v>
      </c>
      <c r="CJ379" s="23">
        <f t="shared" si="192"/>
        <v>0</v>
      </c>
      <c r="CK379" s="23">
        <f t="shared" si="193"/>
        <v>0</v>
      </c>
      <c r="CL379" s="23">
        <f t="shared" si="194"/>
        <v>0</v>
      </c>
      <c r="CM379" s="23">
        <f t="shared" si="195"/>
        <v>0</v>
      </c>
      <c r="CN379" s="23">
        <f t="shared" si="196"/>
        <v>0</v>
      </c>
      <c r="CO379" s="23">
        <f t="shared" si="197"/>
        <v>0</v>
      </c>
      <c r="CP379" s="23">
        <f t="shared" si="198"/>
        <v>0</v>
      </c>
      <c r="CQ379" s="23">
        <f t="shared" si="199"/>
        <v>0</v>
      </c>
      <c r="CR379" s="23">
        <f t="shared" si="200"/>
        <v>0</v>
      </c>
      <c r="CS379" s="23">
        <f t="shared" si="201"/>
        <v>0</v>
      </c>
      <c r="CT379" s="23">
        <f t="shared" si="202"/>
        <v>0</v>
      </c>
      <c r="CU379" s="23">
        <f t="shared" si="203"/>
        <v>0</v>
      </c>
      <c r="CV379" s="23">
        <f t="shared" si="204"/>
        <v>0</v>
      </c>
    </row>
    <row r="380" spans="1:100" ht="15" thickTop="1" thickBot="1">
      <c r="A380" s="31">
        <v>10</v>
      </c>
      <c r="B380" s="32" t="s">
        <v>708</v>
      </c>
      <c r="C380" s="33" t="s">
        <v>635</v>
      </c>
      <c r="D380" s="33" t="s">
        <v>709</v>
      </c>
      <c r="E380" s="33" t="s">
        <v>710</v>
      </c>
      <c r="F380" s="33" t="s">
        <v>638</v>
      </c>
      <c r="G380" s="33" t="s">
        <v>710</v>
      </c>
      <c r="H380" s="33" t="s">
        <v>711</v>
      </c>
      <c r="I380" s="34" t="s">
        <v>640</v>
      </c>
      <c r="J380" s="34">
        <v>1</v>
      </c>
      <c r="K380" s="33"/>
      <c r="L380" s="31">
        <v>5</v>
      </c>
      <c r="M380" s="35">
        <v>46001</v>
      </c>
      <c r="N380" s="35">
        <v>46044</v>
      </c>
      <c r="O380" s="35">
        <v>46044</v>
      </c>
      <c r="P380" s="35">
        <v>46044</v>
      </c>
      <c r="Q380" s="36" t="str">
        <f t="shared" si="205"/>
        <v>OK</v>
      </c>
      <c r="R380" s="34" t="s">
        <v>712</v>
      </c>
      <c r="S380" s="34" t="str">
        <f t="shared" si="206"/>
        <v>LBL001</v>
      </c>
      <c r="T380" s="34">
        <v>5</v>
      </c>
      <c r="U380" s="34" t="s">
        <v>642</v>
      </c>
      <c r="V380" s="34" t="str">
        <f t="shared" si="171"/>
        <v>26/01</v>
      </c>
      <c r="AI380" s="23">
        <v>0</v>
      </c>
      <c r="AJ380" s="23">
        <v>0</v>
      </c>
      <c r="AK380" s="23">
        <v>0</v>
      </c>
      <c r="AL380" s="23">
        <v>0</v>
      </c>
      <c r="AM380" s="23">
        <v>0</v>
      </c>
      <c r="AN380" s="23">
        <v>0</v>
      </c>
      <c r="AO380" s="23">
        <v>0</v>
      </c>
      <c r="AP380" s="23">
        <v>0</v>
      </c>
      <c r="AQ380" s="23">
        <v>0</v>
      </c>
      <c r="AR380" s="23">
        <v>1</v>
      </c>
      <c r="AS380" s="23">
        <v>0</v>
      </c>
      <c r="AT380" s="23">
        <v>0</v>
      </c>
      <c r="AU380" s="23">
        <v>0</v>
      </c>
      <c r="AV380" s="23">
        <v>0</v>
      </c>
      <c r="AW380" s="23">
        <v>0</v>
      </c>
      <c r="AX380" s="23">
        <v>0</v>
      </c>
      <c r="AY380" s="23">
        <v>0</v>
      </c>
      <c r="AZ380" s="23">
        <v>0</v>
      </c>
      <c r="BA380" s="23">
        <v>0</v>
      </c>
      <c r="BB380" s="23">
        <v>0</v>
      </c>
      <c r="BC380" s="23">
        <v>0</v>
      </c>
      <c r="BD380" s="23">
        <v>0</v>
      </c>
      <c r="BE380" s="23">
        <v>0</v>
      </c>
      <c r="BF380" s="23">
        <v>0</v>
      </c>
      <c r="BG380" s="23">
        <v>0</v>
      </c>
      <c r="BH380" s="23">
        <v>0</v>
      </c>
      <c r="BI380" s="23">
        <v>0</v>
      </c>
      <c r="BJ380" s="23">
        <v>0</v>
      </c>
      <c r="BK380" s="23">
        <v>0</v>
      </c>
      <c r="BL380" s="23">
        <v>0</v>
      </c>
      <c r="BM380" s="23">
        <v>0</v>
      </c>
      <c r="BN380" s="23">
        <v>0</v>
      </c>
      <c r="BO380" s="23">
        <v>0</v>
      </c>
      <c r="BP380" s="23">
        <f t="shared" si="172"/>
        <v>0</v>
      </c>
      <c r="BQ380" s="23">
        <f t="shared" si="173"/>
        <v>0</v>
      </c>
      <c r="BR380" s="23">
        <f t="shared" si="174"/>
        <v>0</v>
      </c>
      <c r="BS380" s="23">
        <f t="shared" si="175"/>
        <v>0</v>
      </c>
      <c r="BT380" s="23">
        <f t="shared" si="176"/>
        <v>0</v>
      </c>
      <c r="BU380" s="23">
        <f t="shared" si="177"/>
        <v>0</v>
      </c>
      <c r="BV380" s="23">
        <f t="shared" si="178"/>
        <v>0</v>
      </c>
      <c r="BW380" s="23">
        <f t="shared" si="179"/>
        <v>0</v>
      </c>
      <c r="BX380" s="23">
        <f t="shared" si="180"/>
        <v>0</v>
      </c>
      <c r="BY380" s="23">
        <f t="shared" si="181"/>
        <v>5</v>
      </c>
      <c r="BZ380" s="23">
        <f t="shared" si="182"/>
        <v>0</v>
      </c>
      <c r="CA380" s="23">
        <f t="shared" si="183"/>
        <v>0</v>
      </c>
      <c r="CB380" s="23">
        <f t="shared" si="184"/>
        <v>0</v>
      </c>
      <c r="CC380" s="23">
        <f t="shared" si="185"/>
        <v>0</v>
      </c>
      <c r="CD380" s="23">
        <f t="shared" si="186"/>
        <v>0</v>
      </c>
      <c r="CE380" s="23">
        <f t="shared" si="187"/>
        <v>0</v>
      </c>
      <c r="CF380" s="23">
        <f t="shared" si="188"/>
        <v>0</v>
      </c>
      <c r="CG380" s="23">
        <f t="shared" si="189"/>
        <v>0</v>
      </c>
      <c r="CH380" s="23">
        <f t="shared" si="190"/>
        <v>0</v>
      </c>
      <c r="CI380" s="23">
        <f t="shared" si="191"/>
        <v>0</v>
      </c>
      <c r="CJ380" s="23">
        <f t="shared" si="192"/>
        <v>0</v>
      </c>
      <c r="CK380" s="23">
        <f t="shared" si="193"/>
        <v>0</v>
      </c>
      <c r="CL380" s="23">
        <f t="shared" si="194"/>
        <v>0</v>
      </c>
      <c r="CM380" s="23">
        <f t="shared" si="195"/>
        <v>0</v>
      </c>
      <c r="CN380" s="23">
        <f t="shared" si="196"/>
        <v>0</v>
      </c>
      <c r="CO380" s="23">
        <f t="shared" si="197"/>
        <v>0</v>
      </c>
      <c r="CP380" s="23">
        <f t="shared" si="198"/>
        <v>0</v>
      </c>
      <c r="CQ380" s="23">
        <f t="shared" si="199"/>
        <v>0</v>
      </c>
      <c r="CR380" s="23">
        <f t="shared" si="200"/>
        <v>0</v>
      </c>
      <c r="CS380" s="23">
        <f t="shared" si="201"/>
        <v>0</v>
      </c>
      <c r="CT380" s="23">
        <f t="shared" si="202"/>
        <v>0</v>
      </c>
      <c r="CU380" s="23">
        <f t="shared" si="203"/>
        <v>0</v>
      </c>
      <c r="CV380" s="23">
        <f t="shared" si="204"/>
        <v>0</v>
      </c>
    </row>
    <row r="381" spans="1:100" ht="14.25" thickTop="1">
      <c r="A381" s="15">
        <v>1</v>
      </c>
      <c r="B381" s="29" t="s">
        <v>725</v>
      </c>
      <c r="C381" t="s">
        <v>635</v>
      </c>
      <c r="D381" t="s">
        <v>724</v>
      </c>
      <c r="E381" t="s">
        <v>715</v>
      </c>
      <c r="F381" t="s">
        <v>638</v>
      </c>
      <c r="G381" t="s">
        <v>715</v>
      </c>
      <c r="H381" t="s">
        <v>716</v>
      </c>
      <c r="I381" s="6" t="s">
        <v>640</v>
      </c>
      <c r="J381" s="6">
        <v>1</v>
      </c>
      <c r="L381" s="15">
        <v>5</v>
      </c>
      <c r="M381" s="7">
        <v>46001</v>
      </c>
      <c r="N381" s="30">
        <v>46027</v>
      </c>
      <c r="O381" s="7">
        <v>46051</v>
      </c>
      <c r="P381" s="7">
        <v>46035</v>
      </c>
      <c r="Q381" s="28" t="str">
        <f t="shared" si="205"/>
        <v>OK</v>
      </c>
      <c r="R381" s="6" t="s">
        <v>726</v>
      </c>
      <c r="S381" s="6" t="str">
        <f t="shared" si="206"/>
        <v>LAG001</v>
      </c>
      <c r="T381" s="6">
        <f>COUNTIFS([2]Ｖ８星取表!$AZ:$AZ,B381,[2]Ｖ８星取表!$J:$J,M381,[2]Ｖ８星取表!$Q:$Q,N381)</f>
        <v>5</v>
      </c>
      <c r="U381" s="6" t="s">
        <v>642</v>
      </c>
      <c r="V381" s="6" t="str">
        <f t="shared" si="171"/>
        <v>26/01</v>
      </c>
      <c r="AI381" s="23">
        <v>0</v>
      </c>
      <c r="AJ381" s="23">
        <v>0</v>
      </c>
      <c r="AK381" s="23">
        <v>0</v>
      </c>
      <c r="AL381" s="23">
        <v>0</v>
      </c>
      <c r="AM381" s="23">
        <v>1</v>
      </c>
      <c r="AN381" s="23">
        <v>0</v>
      </c>
      <c r="AO381" s="23">
        <v>0</v>
      </c>
      <c r="AP381" s="23">
        <v>0</v>
      </c>
      <c r="AQ381" s="23">
        <v>0</v>
      </c>
      <c r="AR381" s="23">
        <v>0</v>
      </c>
      <c r="AS381" s="23">
        <v>0</v>
      </c>
      <c r="AT381" s="23">
        <v>0</v>
      </c>
      <c r="AU381" s="23">
        <v>0</v>
      </c>
      <c r="AV381" s="23">
        <v>0</v>
      </c>
      <c r="AW381" s="23">
        <v>0</v>
      </c>
      <c r="AX381" s="23">
        <v>0</v>
      </c>
      <c r="AY381" s="23">
        <v>0</v>
      </c>
      <c r="AZ381" s="23">
        <v>0</v>
      </c>
      <c r="BA381" s="23">
        <v>0</v>
      </c>
      <c r="BB381" s="23">
        <v>0</v>
      </c>
      <c r="BC381" s="23">
        <v>0</v>
      </c>
      <c r="BD381" s="23">
        <v>0</v>
      </c>
      <c r="BE381" s="23">
        <v>0</v>
      </c>
      <c r="BF381" s="23">
        <v>0</v>
      </c>
      <c r="BG381" s="23">
        <v>0</v>
      </c>
      <c r="BH381" s="23">
        <v>0</v>
      </c>
      <c r="BI381" s="23">
        <v>0</v>
      </c>
      <c r="BJ381" s="23">
        <v>0</v>
      </c>
      <c r="BK381" s="23">
        <v>0</v>
      </c>
      <c r="BL381" s="23">
        <v>0</v>
      </c>
      <c r="BM381" s="23">
        <v>0</v>
      </c>
      <c r="BN381" s="23">
        <v>0</v>
      </c>
      <c r="BO381" s="23">
        <v>0</v>
      </c>
      <c r="BP381" s="23">
        <f t="shared" si="172"/>
        <v>0</v>
      </c>
      <c r="BQ381" s="23">
        <f t="shared" si="173"/>
        <v>0</v>
      </c>
      <c r="BR381" s="23">
        <f t="shared" si="174"/>
        <v>0</v>
      </c>
      <c r="BS381" s="23">
        <f t="shared" si="175"/>
        <v>0</v>
      </c>
      <c r="BT381" s="23">
        <f t="shared" si="176"/>
        <v>5</v>
      </c>
      <c r="BU381" s="23">
        <f t="shared" si="177"/>
        <v>0</v>
      </c>
      <c r="BV381" s="23">
        <f t="shared" si="178"/>
        <v>0</v>
      </c>
      <c r="BW381" s="23">
        <f t="shared" si="179"/>
        <v>0</v>
      </c>
      <c r="BX381" s="23">
        <f t="shared" si="180"/>
        <v>0</v>
      </c>
      <c r="BY381" s="23">
        <f t="shared" si="181"/>
        <v>0</v>
      </c>
      <c r="BZ381" s="23">
        <f t="shared" si="182"/>
        <v>0</v>
      </c>
      <c r="CA381" s="23">
        <f t="shared" si="183"/>
        <v>0</v>
      </c>
      <c r="CB381" s="23">
        <f t="shared" si="184"/>
        <v>0</v>
      </c>
      <c r="CC381" s="23">
        <f t="shared" si="185"/>
        <v>0</v>
      </c>
      <c r="CD381" s="23">
        <f t="shared" si="186"/>
        <v>0</v>
      </c>
      <c r="CE381" s="23">
        <f t="shared" si="187"/>
        <v>0</v>
      </c>
      <c r="CF381" s="23">
        <f t="shared" si="188"/>
        <v>0</v>
      </c>
      <c r="CG381" s="23">
        <f t="shared" si="189"/>
        <v>0</v>
      </c>
      <c r="CH381" s="23">
        <f t="shared" si="190"/>
        <v>0</v>
      </c>
      <c r="CI381" s="23">
        <f t="shared" si="191"/>
        <v>0</v>
      </c>
      <c r="CJ381" s="23">
        <f t="shared" si="192"/>
        <v>0</v>
      </c>
      <c r="CK381" s="23">
        <f t="shared" si="193"/>
        <v>0</v>
      </c>
      <c r="CL381" s="23">
        <f t="shared" si="194"/>
        <v>0</v>
      </c>
      <c r="CM381" s="23">
        <f t="shared" si="195"/>
        <v>0</v>
      </c>
      <c r="CN381" s="23">
        <f t="shared" si="196"/>
        <v>0</v>
      </c>
      <c r="CO381" s="23">
        <f t="shared" si="197"/>
        <v>0</v>
      </c>
      <c r="CP381" s="23">
        <f t="shared" si="198"/>
        <v>0</v>
      </c>
      <c r="CQ381" s="23">
        <f t="shared" si="199"/>
        <v>0</v>
      </c>
      <c r="CR381" s="23">
        <f t="shared" si="200"/>
        <v>0</v>
      </c>
      <c r="CS381" s="23">
        <f t="shared" si="201"/>
        <v>0</v>
      </c>
      <c r="CT381" s="23">
        <f t="shared" si="202"/>
        <v>0</v>
      </c>
      <c r="CU381" s="23">
        <f t="shared" si="203"/>
        <v>0</v>
      </c>
      <c r="CV381" s="23">
        <f t="shared" si="204"/>
        <v>0</v>
      </c>
    </row>
    <row r="382" spans="1:100" ht="13.5">
      <c r="A382" s="15">
        <v>28</v>
      </c>
      <c r="B382" s="29" t="s">
        <v>727</v>
      </c>
      <c r="C382" t="s">
        <v>635</v>
      </c>
      <c r="D382" t="s">
        <v>724</v>
      </c>
      <c r="E382" t="s">
        <v>715</v>
      </c>
      <c r="F382" t="s">
        <v>638</v>
      </c>
      <c r="G382" t="s">
        <v>715</v>
      </c>
      <c r="H382" t="s">
        <v>716</v>
      </c>
      <c r="I382" s="6" t="s">
        <v>640</v>
      </c>
      <c r="J382" s="6">
        <v>1</v>
      </c>
      <c r="L382" s="15">
        <v>5</v>
      </c>
      <c r="M382" s="7">
        <v>46001</v>
      </c>
      <c r="N382" s="30">
        <v>46028</v>
      </c>
      <c r="O382" s="7">
        <v>46052</v>
      </c>
      <c r="P382" s="7">
        <v>46052</v>
      </c>
      <c r="Q382" s="28" t="str">
        <f t="shared" si="205"/>
        <v>OK</v>
      </c>
      <c r="R382" s="6" t="s">
        <v>728</v>
      </c>
      <c r="S382" s="6" t="str">
        <f t="shared" si="206"/>
        <v>LAG001</v>
      </c>
      <c r="T382" s="6">
        <f>COUNTIFS([2]Ｖ８星取表!$AZ:$AZ,B382,[2]Ｖ８星取表!$J:$J,M382,[2]Ｖ８星取表!$Q:$Q,N382)</f>
        <v>5</v>
      </c>
      <c r="U382" s="6" t="s">
        <v>642</v>
      </c>
      <c r="V382" s="6" t="str">
        <f t="shared" si="171"/>
        <v>26/01</v>
      </c>
      <c r="AI382" s="23">
        <v>0</v>
      </c>
      <c r="AJ382" s="23">
        <v>0</v>
      </c>
      <c r="AK382" s="23">
        <v>0</v>
      </c>
      <c r="AL382" s="23">
        <v>0</v>
      </c>
      <c r="AM382" s="23">
        <v>1</v>
      </c>
      <c r="AN382" s="23">
        <v>0</v>
      </c>
      <c r="AO382" s="23">
        <v>0</v>
      </c>
      <c r="AP382" s="23">
        <v>0</v>
      </c>
      <c r="AQ382" s="23">
        <v>0</v>
      </c>
      <c r="AR382" s="23">
        <v>0</v>
      </c>
      <c r="AS382" s="23">
        <v>0</v>
      </c>
      <c r="AT382" s="23">
        <v>0</v>
      </c>
      <c r="AU382" s="23">
        <v>0</v>
      </c>
      <c r="AV382" s="23">
        <v>0</v>
      </c>
      <c r="AW382" s="23">
        <v>0</v>
      </c>
      <c r="AX382" s="23">
        <v>0</v>
      </c>
      <c r="AY382" s="23">
        <v>0</v>
      </c>
      <c r="AZ382" s="23">
        <v>0</v>
      </c>
      <c r="BA382" s="23">
        <v>0</v>
      </c>
      <c r="BB382" s="23">
        <v>0</v>
      </c>
      <c r="BC382" s="23">
        <v>0</v>
      </c>
      <c r="BD382" s="23">
        <v>0</v>
      </c>
      <c r="BE382" s="23">
        <v>0</v>
      </c>
      <c r="BF382" s="23">
        <v>0</v>
      </c>
      <c r="BG382" s="23">
        <v>0</v>
      </c>
      <c r="BH382" s="23">
        <v>0</v>
      </c>
      <c r="BI382" s="23">
        <v>0</v>
      </c>
      <c r="BJ382" s="23">
        <v>0</v>
      </c>
      <c r="BK382" s="23">
        <v>0</v>
      </c>
      <c r="BL382" s="23">
        <v>0</v>
      </c>
      <c r="BM382" s="23">
        <v>0</v>
      </c>
      <c r="BN382" s="23">
        <v>0</v>
      </c>
      <c r="BO382" s="23">
        <v>0</v>
      </c>
      <c r="BP382" s="23">
        <f t="shared" si="172"/>
        <v>0</v>
      </c>
      <c r="BQ382" s="23">
        <f t="shared" si="173"/>
        <v>0</v>
      </c>
      <c r="BR382" s="23">
        <f t="shared" si="174"/>
        <v>0</v>
      </c>
      <c r="BS382" s="23">
        <f t="shared" si="175"/>
        <v>0</v>
      </c>
      <c r="BT382" s="23">
        <f t="shared" si="176"/>
        <v>5</v>
      </c>
      <c r="BU382" s="23">
        <f t="shared" si="177"/>
        <v>0</v>
      </c>
      <c r="BV382" s="23">
        <f t="shared" si="178"/>
        <v>0</v>
      </c>
      <c r="BW382" s="23">
        <f t="shared" si="179"/>
        <v>0</v>
      </c>
      <c r="BX382" s="23">
        <f t="shared" si="180"/>
        <v>0</v>
      </c>
      <c r="BY382" s="23">
        <f t="shared" si="181"/>
        <v>0</v>
      </c>
      <c r="BZ382" s="23">
        <f t="shared" si="182"/>
        <v>0</v>
      </c>
      <c r="CA382" s="23">
        <f t="shared" si="183"/>
        <v>0</v>
      </c>
      <c r="CB382" s="23">
        <f t="shared" si="184"/>
        <v>0</v>
      </c>
      <c r="CC382" s="23">
        <f t="shared" si="185"/>
        <v>0</v>
      </c>
      <c r="CD382" s="23">
        <f t="shared" si="186"/>
        <v>0</v>
      </c>
      <c r="CE382" s="23">
        <f t="shared" si="187"/>
        <v>0</v>
      </c>
      <c r="CF382" s="23">
        <f t="shared" si="188"/>
        <v>0</v>
      </c>
      <c r="CG382" s="23">
        <f t="shared" si="189"/>
        <v>0</v>
      </c>
      <c r="CH382" s="23">
        <f t="shared" si="190"/>
        <v>0</v>
      </c>
      <c r="CI382" s="23">
        <f t="shared" si="191"/>
        <v>0</v>
      </c>
      <c r="CJ382" s="23">
        <f t="shared" si="192"/>
        <v>0</v>
      </c>
      <c r="CK382" s="23">
        <f t="shared" si="193"/>
        <v>0</v>
      </c>
      <c r="CL382" s="23">
        <f t="shared" si="194"/>
        <v>0</v>
      </c>
      <c r="CM382" s="23">
        <f t="shared" si="195"/>
        <v>0</v>
      </c>
      <c r="CN382" s="23">
        <f t="shared" si="196"/>
        <v>0</v>
      </c>
      <c r="CO382" s="23">
        <f t="shared" si="197"/>
        <v>0</v>
      </c>
      <c r="CP382" s="23">
        <f t="shared" si="198"/>
        <v>0</v>
      </c>
      <c r="CQ382" s="23">
        <f t="shared" si="199"/>
        <v>0</v>
      </c>
      <c r="CR382" s="23">
        <f t="shared" si="200"/>
        <v>0</v>
      </c>
      <c r="CS382" s="23">
        <f t="shared" si="201"/>
        <v>0</v>
      </c>
      <c r="CT382" s="23">
        <f t="shared" si="202"/>
        <v>0</v>
      </c>
      <c r="CU382" s="23">
        <f t="shared" si="203"/>
        <v>0</v>
      </c>
      <c r="CV382" s="23">
        <f t="shared" si="204"/>
        <v>0</v>
      </c>
    </row>
    <row r="383" spans="1:100" ht="13.5">
      <c r="A383" s="15">
        <v>8</v>
      </c>
      <c r="B383" s="29" t="s">
        <v>713</v>
      </c>
      <c r="C383" t="s">
        <v>635</v>
      </c>
      <c r="D383" t="s">
        <v>714</v>
      </c>
      <c r="E383" t="s">
        <v>715</v>
      </c>
      <c r="F383" t="s">
        <v>638</v>
      </c>
      <c r="G383" t="s">
        <v>715</v>
      </c>
      <c r="H383" t="s">
        <v>716</v>
      </c>
      <c r="I383" s="6" t="s">
        <v>640</v>
      </c>
      <c r="J383" s="6">
        <v>1</v>
      </c>
      <c r="L383" s="15">
        <v>5</v>
      </c>
      <c r="M383" s="7">
        <v>46001</v>
      </c>
      <c r="N383" s="7">
        <v>46044</v>
      </c>
      <c r="O383" s="7">
        <v>46044</v>
      </c>
      <c r="P383" s="7">
        <v>46044</v>
      </c>
      <c r="Q383" s="28" t="str">
        <f t="shared" ref="Q383:Q410" si="207">IF(L383=T383,"OK","NG")</f>
        <v>OK</v>
      </c>
      <c r="R383" s="6" t="s">
        <v>717</v>
      </c>
      <c r="S383" s="6" t="str">
        <f t="shared" ref="S383:S410" si="208">RIGHT(G383,6)</f>
        <v>LAG001</v>
      </c>
      <c r="T383" s="6">
        <v>5</v>
      </c>
      <c r="U383" s="6" t="s">
        <v>642</v>
      </c>
      <c r="V383" s="6" t="str">
        <f t="shared" si="171"/>
        <v>26/01</v>
      </c>
      <c r="AI383" s="23">
        <v>0</v>
      </c>
      <c r="AJ383" s="23">
        <v>0</v>
      </c>
      <c r="AK383" s="23">
        <v>0</v>
      </c>
      <c r="AL383" s="23">
        <v>0</v>
      </c>
      <c r="AM383" s="23">
        <v>1</v>
      </c>
      <c r="AN383" s="23">
        <v>0</v>
      </c>
      <c r="AO383" s="23">
        <v>0</v>
      </c>
      <c r="AP383" s="23">
        <v>0</v>
      </c>
      <c r="AQ383" s="23">
        <v>0</v>
      </c>
      <c r="AR383" s="23">
        <v>0</v>
      </c>
      <c r="AS383" s="23">
        <v>0</v>
      </c>
      <c r="AT383" s="23">
        <v>0</v>
      </c>
      <c r="AU383" s="23">
        <v>0</v>
      </c>
      <c r="AV383" s="23">
        <v>0</v>
      </c>
      <c r="AW383" s="23">
        <v>0</v>
      </c>
      <c r="AX383" s="23">
        <v>0</v>
      </c>
      <c r="AY383" s="23">
        <v>0</v>
      </c>
      <c r="AZ383" s="23">
        <v>0</v>
      </c>
      <c r="BA383" s="23">
        <v>0</v>
      </c>
      <c r="BB383" s="23">
        <v>0</v>
      </c>
      <c r="BC383" s="23">
        <v>0</v>
      </c>
      <c r="BD383" s="23">
        <v>0</v>
      </c>
      <c r="BE383" s="23">
        <v>0</v>
      </c>
      <c r="BF383" s="23">
        <v>0</v>
      </c>
      <c r="BG383" s="23">
        <v>0</v>
      </c>
      <c r="BH383" s="23">
        <v>0</v>
      </c>
      <c r="BI383" s="23">
        <v>0</v>
      </c>
      <c r="BJ383" s="23">
        <v>0</v>
      </c>
      <c r="BK383" s="23">
        <v>0</v>
      </c>
      <c r="BL383" s="23">
        <v>0</v>
      </c>
      <c r="BM383" s="23">
        <v>0</v>
      </c>
      <c r="BN383" s="23">
        <v>0</v>
      </c>
      <c r="BO383" s="23">
        <v>0</v>
      </c>
      <c r="BP383" s="23">
        <f t="shared" si="172"/>
        <v>0</v>
      </c>
      <c r="BQ383" s="23">
        <f t="shared" si="173"/>
        <v>0</v>
      </c>
      <c r="BR383" s="23">
        <f t="shared" si="174"/>
        <v>0</v>
      </c>
      <c r="BS383" s="23">
        <f t="shared" si="175"/>
        <v>0</v>
      </c>
      <c r="BT383" s="23">
        <f t="shared" si="176"/>
        <v>5</v>
      </c>
      <c r="BU383" s="23">
        <f t="shared" si="177"/>
        <v>0</v>
      </c>
      <c r="BV383" s="23">
        <f t="shared" si="178"/>
        <v>0</v>
      </c>
      <c r="BW383" s="23">
        <f t="shared" si="179"/>
        <v>0</v>
      </c>
      <c r="BX383" s="23">
        <f t="shared" si="180"/>
        <v>0</v>
      </c>
      <c r="BY383" s="23">
        <f t="shared" si="181"/>
        <v>0</v>
      </c>
      <c r="BZ383" s="23">
        <f t="shared" si="182"/>
        <v>0</v>
      </c>
      <c r="CA383" s="23">
        <f t="shared" si="183"/>
        <v>0</v>
      </c>
      <c r="CB383" s="23">
        <f t="shared" si="184"/>
        <v>0</v>
      </c>
      <c r="CC383" s="23">
        <f t="shared" si="185"/>
        <v>0</v>
      </c>
      <c r="CD383" s="23">
        <f t="shared" si="186"/>
        <v>0</v>
      </c>
      <c r="CE383" s="23">
        <f t="shared" si="187"/>
        <v>0</v>
      </c>
      <c r="CF383" s="23">
        <f t="shared" si="188"/>
        <v>0</v>
      </c>
      <c r="CG383" s="23">
        <f t="shared" si="189"/>
        <v>0</v>
      </c>
      <c r="CH383" s="23">
        <f t="shared" si="190"/>
        <v>0</v>
      </c>
      <c r="CI383" s="23">
        <f t="shared" si="191"/>
        <v>0</v>
      </c>
      <c r="CJ383" s="23">
        <f t="shared" si="192"/>
        <v>0</v>
      </c>
      <c r="CK383" s="23">
        <f t="shared" si="193"/>
        <v>0</v>
      </c>
      <c r="CL383" s="23">
        <f t="shared" si="194"/>
        <v>0</v>
      </c>
      <c r="CM383" s="23">
        <f t="shared" si="195"/>
        <v>0</v>
      </c>
      <c r="CN383" s="23">
        <f t="shared" si="196"/>
        <v>0</v>
      </c>
      <c r="CO383" s="23">
        <f t="shared" si="197"/>
        <v>0</v>
      </c>
      <c r="CP383" s="23">
        <f t="shared" si="198"/>
        <v>0</v>
      </c>
      <c r="CQ383" s="23">
        <f t="shared" si="199"/>
        <v>0</v>
      </c>
      <c r="CR383" s="23">
        <f t="shared" si="200"/>
        <v>0</v>
      </c>
      <c r="CS383" s="23">
        <f t="shared" si="201"/>
        <v>0</v>
      </c>
      <c r="CT383" s="23">
        <f t="shared" si="202"/>
        <v>0</v>
      </c>
      <c r="CU383" s="23">
        <f t="shared" si="203"/>
        <v>0</v>
      </c>
      <c r="CV383" s="23">
        <f t="shared" si="204"/>
        <v>0</v>
      </c>
    </row>
    <row r="384" spans="1:100" ht="13.5">
      <c r="A384" s="15">
        <v>13</v>
      </c>
      <c r="B384" s="29" t="s">
        <v>718</v>
      </c>
      <c r="C384" t="s">
        <v>635</v>
      </c>
      <c r="D384" t="s">
        <v>714</v>
      </c>
      <c r="E384" t="s">
        <v>715</v>
      </c>
      <c r="F384" t="s">
        <v>638</v>
      </c>
      <c r="G384" t="s">
        <v>715</v>
      </c>
      <c r="H384" t="s">
        <v>716</v>
      </c>
      <c r="I384" s="6" t="s">
        <v>640</v>
      </c>
      <c r="J384" s="6">
        <v>1</v>
      </c>
      <c r="L384" s="15">
        <v>4</v>
      </c>
      <c r="M384" s="7">
        <v>46001</v>
      </c>
      <c r="N384" s="7">
        <v>46045</v>
      </c>
      <c r="O384" s="7">
        <v>46045</v>
      </c>
      <c r="P384" s="7">
        <v>46045</v>
      </c>
      <c r="Q384" s="28" t="str">
        <f t="shared" si="207"/>
        <v>OK</v>
      </c>
      <c r="R384" s="6" t="s">
        <v>719</v>
      </c>
      <c r="S384" s="6" t="str">
        <f t="shared" si="208"/>
        <v>LAG001</v>
      </c>
      <c r="T384" s="6">
        <v>4</v>
      </c>
      <c r="U384" s="6" t="s">
        <v>642</v>
      </c>
      <c r="V384" s="6" t="str">
        <f t="shared" si="171"/>
        <v>26/01</v>
      </c>
      <c r="AI384" s="23">
        <v>0</v>
      </c>
      <c r="AJ384" s="23">
        <v>0</v>
      </c>
      <c r="AK384" s="23">
        <v>0</v>
      </c>
      <c r="AL384" s="23">
        <v>0</v>
      </c>
      <c r="AM384" s="23">
        <v>1</v>
      </c>
      <c r="AN384" s="23">
        <v>0</v>
      </c>
      <c r="AO384" s="23">
        <v>0</v>
      </c>
      <c r="AP384" s="23">
        <v>0</v>
      </c>
      <c r="AQ384" s="23">
        <v>0</v>
      </c>
      <c r="AR384" s="23">
        <v>0</v>
      </c>
      <c r="AS384" s="23">
        <v>0</v>
      </c>
      <c r="AT384" s="23">
        <v>0</v>
      </c>
      <c r="AU384" s="23">
        <v>0</v>
      </c>
      <c r="AV384" s="23">
        <v>0</v>
      </c>
      <c r="AW384" s="23">
        <v>0</v>
      </c>
      <c r="AX384" s="23">
        <v>0</v>
      </c>
      <c r="AY384" s="23">
        <v>0</v>
      </c>
      <c r="AZ384" s="23">
        <v>0</v>
      </c>
      <c r="BA384" s="23">
        <v>0</v>
      </c>
      <c r="BB384" s="23">
        <v>0</v>
      </c>
      <c r="BC384" s="23">
        <v>0</v>
      </c>
      <c r="BD384" s="23">
        <v>0</v>
      </c>
      <c r="BE384" s="23">
        <v>0</v>
      </c>
      <c r="BF384" s="23">
        <v>0</v>
      </c>
      <c r="BG384" s="23">
        <v>0</v>
      </c>
      <c r="BH384" s="23">
        <v>0</v>
      </c>
      <c r="BI384" s="23">
        <v>0</v>
      </c>
      <c r="BJ384" s="23">
        <v>0</v>
      </c>
      <c r="BK384" s="23">
        <v>0</v>
      </c>
      <c r="BL384" s="23">
        <v>0</v>
      </c>
      <c r="BM384" s="23">
        <v>0</v>
      </c>
      <c r="BN384" s="23">
        <v>0</v>
      </c>
      <c r="BO384" s="23">
        <v>0</v>
      </c>
      <c r="BP384" s="23">
        <f t="shared" si="172"/>
        <v>0</v>
      </c>
      <c r="BQ384" s="23">
        <f t="shared" si="173"/>
        <v>0</v>
      </c>
      <c r="BR384" s="23">
        <f t="shared" si="174"/>
        <v>0</v>
      </c>
      <c r="BS384" s="23">
        <f t="shared" si="175"/>
        <v>0</v>
      </c>
      <c r="BT384" s="23">
        <f t="shared" si="176"/>
        <v>4</v>
      </c>
      <c r="BU384" s="23">
        <f t="shared" si="177"/>
        <v>0</v>
      </c>
      <c r="BV384" s="23">
        <f t="shared" si="178"/>
        <v>0</v>
      </c>
      <c r="BW384" s="23">
        <f t="shared" si="179"/>
        <v>0</v>
      </c>
      <c r="BX384" s="23">
        <f t="shared" si="180"/>
        <v>0</v>
      </c>
      <c r="BY384" s="23">
        <f t="shared" si="181"/>
        <v>0</v>
      </c>
      <c r="BZ384" s="23">
        <f t="shared" si="182"/>
        <v>0</v>
      </c>
      <c r="CA384" s="23">
        <f t="shared" si="183"/>
        <v>0</v>
      </c>
      <c r="CB384" s="23">
        <f t="shared" si="184"/>
        <v>0</v>
      </c>
      <c r="CC384" s="23">
        <f t="shared" si="185"/>
        <v>0</v>
      </c>
      <c r="CD384" s="23">
        <f t="shared" si="186"/>
        <v>0</v>
      </c>
      <c r="CE384" s="23">
        <f t="shared" si="187"/>
        <v>0</v>
      </c>
      <c r="CF384" s="23">
        <f t="shared" si="188"/>
        <v>0</v>
      </c>
      <c r="CG384" s="23">
        <f t="shared" si="189"/>
        <v>0</v>
      </c>
      <c r="CH384" s="23">
        <f t="shared" si="190"/>
        <v>0</v>
      </c>
      <c r="CI384" s="23">
        <f t="shared" si="191"/>
        <v>0</v>
      </c>
      <c r="CJ384" s="23">
        <f t="shared" si="192"/>
        <v>0</v>
      </c>
      <c r="CK384" s="23">
        <f t="shared" si="193"/>
        <v>0</v>
      </c>
      <c r="CL384" s="23">
        <f t="shared" si="194"/>
        <v>0</v>
      </c>
      <c r="CM384" s="23">
        <f t="shared" si="195"/>
        <v>0</v>
      </c>
      <c r="CN384" s="23">
        <f t="shared" si="196"/>
        <v>0</v>
      </c>
      <c r="CO384" s="23">
        <f t="shared" si="197"/>
        <v>0</v>
      </c>
      <c r="CP384" s="23">
        <f t="shared" si="198"/>
        <v>0</v>
      </c>
      <c r="CQ384" s="23">
        <f t="shared" si="199"/>
        <v>0</v>
      </c>
      <c r="CR384" s="23">
        <f t="shared" si="200"/>
        <v>0</v>
      </c>
      <c r="CS384" s="23">
        <f t="shared" si="201"/>
        <v>0</v>
      </c>
      <c r="CT384" s="23">
        <f t="shared" si="202"/>
        <v>0</v>
      </c>
      <c r="CU384" s="23">
        <f t="shared" si="203"/>
        <v>0</v>
      </c>
      <c r="CV384" s="23">
        <f t="shared" si="204"/>
        <v>0</v>
      </c>
    </row>
    <row r="385" spans="1:100" ht="13.5">
      <c r="A385" s="15">
        <v>17</v>
      </c>
      <c r="B385" s="29" t="s">
        <v>720</v>
      </c>
      <c r="C385" t="s">
        <v>635</v>
      </c>
      <c r="D385" t="s">
        <v>714</v>
      </c>
      <c r="E385" t="s">
        <v>715</v>
      </c>
      <c r="F385" t="s">
        <v>638</v>
      </c>
      <c r="G385" t="s">
        <v>715</v>
      </c>
      <c r="H385" t="s">
        <v>716</v>
      </c>
      <c r="I385" s="6" t="s">
        <v>640</v>
      </c>
      <c r="J385" s="6">
        <v>1</v>
      </c>
      <c r="L385" s="15">
        <v>5</v>
      </c>
      <c r="M385" s="7">
        <v>46001</v>
      </c>
      <c r="N385" s="7">
        <v>46048</v>
      </c>
      <c r="O385" s="7">
        <v>46048</v>
      </c>
      <c r="P385" s="7">
        <v>46048</v>
      </c>
      <c r="Q385" s="28" t="str">
        <f t="shared" si="207"/>
        <v>OK</v>
      </c>
      <c r="R385" s="6" t="s">
        <v>721</v>
      </c>
      <c r="S385" s="6" t="str">
        <f t="shared" si="208"/>
        <v>LAG001</v>
      </c>
      <c r="T385" s="6">
        <v>5</v>
      </c>
      <c r="U385" s="6" t="s">
        <v>642</v>
      </c>
      <c r="V385" s="6" t="str">
        <f t="shared" si="171"/>
        <v>26/01</v>
      </c>
      <c r="AI385" s="23">
        <v>0</v>
      </c>
      <c r="AJ385" s="23">
        <v>0</v>
      </c>
      <c r="AK385" s="23">
        <v>0</v>
      </c>
      <c r="AL385" s="23">
        <v>0</v>
      </c>
      <c r="AM385" s="23">
        <v>1</v>
      </c>
      <c r="AN385" s="23">
        <v>0</v>
      </c>
      <c r="AO385" s="23">
        <v>0</v>
      </c>
      <c r="AP385" s="23">
        <v>0</v>
      </c>
      <c r="AQ385" s="23">
        <v>0</v>
      </c>
      <c r="AR385" s="23">
        <v>0</v>
      </c>
      <c r="AS385" s="23">
        <v>0</v>
      </c>
      <c r="AT385" s="23">
        <v>0</v>
      </c>
      <c r="AU385" s="23">
        <v>0</v>
      </c>
      <c r="AV385" s="23">
        <v>0</v>
      </c>
      <c r="AW385" s="23">
        <v>0</v>
      </c>
      <c r="AX385" s="23">
        <v>0</v>
      </c>
      <c r="AY385" s="23">
        <v>0</v>
      </c>
      <c r="AZ385" s="23">
        <v>0</v>
      </c>
      <c r="BA385" s="23">
        <v>0</v>
      </c>
      <c r="BB385" s="23">
        <v>0</v>
      </c>
      <c r="BC385" s="23">
        <v>0</v>
      </c>
      <c r="BD385" s="23">
        <v>0</v>
      </c>
      <c r="BE385" s="23">
        <v>0</v>
      </c>
      <c r="BF385" s="23">
        <v>0</v>
      </c>
      <c r="BG385" s="23">
        <v>0</v>
      </c>
      <c r="BH385" s="23">
        <v>0</v>
      </c>
      <c r="BI385" s="23">
        <v>0</v>
      </c>
      <c r="BJ385" s="23">
        <v>0</v>
      </c>
      <c r="BK385" s="23">
        <v>0</v>
      </c>
      <c r="BL385" s="23">
        <v>0</v>
      </c>
      <c r="BM385" s="23">
        <v>0</v>
      </c>
      <c r="BN385" s="23">
        <v>0</v>
      </c>
      <c r="BO385" s="23">
        <v>0</v>
      </c>
      <c r="BP385" s="23">
        <f t="shared" si="172"/>
        <v>0</v>
      </c>
      <c r="BQ385" s="23">
        <f t="shared" si="173"/>
        <v>0</v>
      </c>
      <c r="BR385" s="23">
        <f t="shared" si="174"/>
        <v>0</v>
      </c>
      <c r="BS385" s="23">
        <f t="shared" si="175"/>
        <v>0</v>
      </c>
      <c r="BT385" s="23">
        <f t="shared" si="176"/>
        <v>5</v>
      </c>
      <c r="BU385" s="23">
        <f t="shared" si="177"/>
        <v>0</v>
      </c>
      <c r="BV385" s="23">
        <f t="shared" si="178"/>
        <v>0</v>
      </c>
      <c r="BW385" s="23">
        <f t="shared" si="179"/>
        <v>0</v>
      </c>
      <c r="BX385" s="23">
        <f t="shared" si="180"/>
        <v>0</v>
      </c>
      <c r="BY385" s="23">
        <f t="shared" si="181"/>
        <v>0</v>
      </c>
      <c r="BZ385" s="23">
        <f t="shared" si="182"/>
        <v>0</v>
      </c>
      <c r="CA385" s="23">
        <f t="shared" si="183"/>
        <v>0</v>
      </c>
      <c r="CB385" s="23">
        <f t="shared" si="184"/>
        <v>0</v>
      </c>
      <c r="CC385" s="23">
        <f t="shared" si="185"/>
        <v>0</v>
      </c>
      <c r="CD385" s="23">
        <f t="shared" si="186"/>
        <v>0</v>
      </c>
      <c r="CE385" s="23">
        <f t="shared" si="187"/>
        <v>0</v>
      </c>
      <c r="CF385" s="23">
        <f t="shared" si="188"/>
        <v>0</v>
      </c>
      <c r="CG385" s="23">
        <f t="shared" si="189"/>
        <v>0</v>
      </c>
      <c r="CH385" s="23">
        <f t="shared" si="190"/>
        <v>0</v>
      </c>
      <c r="CI385" s="23">
        <f t="shared" si="191"/>
        <v>0</v>
      </c>
      <c r="CJ385" s="23">
        <f t="shared" si="192"/>
        <v>0</v>
      </c>
      <c r="CK385" s="23">
        <f t="shared" si="193"/>
        <v>0</v>
      </c>
      <c r="CL385" s="23">
        <f t="shared" si="194"/>
        <v>0</v>
      </c>
      <c r="CM385" s="23">
        <f t="shared" si="195"/>
        <v>0</v>
      </c>
      <c r="CN385" s="23">
        <f t="shared" si="196"/>
        <v>0</v>
      </c>
      <c r="CO385" s="23">
        <f t="shared" si="197"/>
        <v>0</v>
      </c>
      <c r="CP385" s="23">
        <f t="shared" si="198"/>
        <v>0</v>
      </c>
      <c r="CQ385" s="23">
        <f t="shared" si="199"/>
        <v>0</v>
      </c>
      <c r="CR385" s="23">
        <f t="shared" si="200"/>
        <v>0</v>
      </c>
      <c r="CS385" s="23">
        <f t="shared" si="201"/>
        <v>0</v>
      </c>
      <c r="CT385" s="23">
        <f t="shared" si="202"/>
        <v>0</v>
      </c>
      <c r="CU385" s="23">
        <f t="shared" si="203"/>
        <v>0</v>
      </c>
      <c r="CV385" s="23">
        <f t="shared" si="204"/>
        <v>0</v>
      </c>
    </row>
    <row r="386" spans="1:100" ht="13.5">
      <c r="A386" s="15">
        <v>21</v>
      </c>
      <c r="B386" s="29" t="s">
        <v>722</v>
      </c>
      <c r="C386" t="s">
        <v>635</v>
      </c>
      <c r="D386" t="s">
        <v>714</v>
      </c>
      <c r="E386" t="s">
        <v>715</v>
      </c>
      <c r="F386" t="s">
        <v>638</v>
      </c>
      <c r="G386" t="s">
        <v>715</v>
      </c>
      <c r="H386" t="s">
        <v>716</v>
      </c>
      <c r="I386" s="6" t="s">
        <v>640</v>
      </c>
      <c r="J386" s="6">
        <v>1</v>
      </c>
      <c r="L386" s="15">
        <v>4</v>
      </c>
      <c r="M386" s="7">
        <v>46001</v>
      </c>
      <c r="N386" s="7">
        <v>46049</v>
      </c>
      <c r="O386" s="7">
        <v>46049</v>
      </c>
      <c r="P386" s="7">
        <v>46049</v>
      </c>
      <c r="Q386" s="28" t="str">
        <f t="shared" si="207"/>
        <v>OK</v>
      </c>
      <c r="R386" s="6" t="s">
        <v>723</v>
      </c>
      <c r="S386" s="6" t="str">
        <f t="shared" si="208"/>
        <v>LAG001</v>
      </c>
      <c r="T386" s="6">
        <v>4</v>
      </c>
      <c r="U386" s="6" t="s">
        <v>642</v>
      </c>
      <c r="V386" s="6" t="str">
        <f t="shared" si="171"/>
        <v>26/01</v>
      </c>
      <c r="AI386" s="23">
        <v>0</v>
      </c>
      <c r="AJ386" s="23">
        <v>0</v>
      </c>
      <c r="AK386" s="23">
        <v>0</v>
      </c>
      <c r="AL386" s="23">
        <v>0</v>
      </c>
      <c r="AM386" s="23">
        <v>1</v>
      </c>
      <c r="AN386" s="23">
        <v>0</v>
      </c>
      <c r="AO386" s="23">
        <v>0</v>
      </c>
      <c r="AP386" s="23">
        <v>0</v>
      </c>
      <c r="AQ386" s="23">
        <v>0</v>
      </c>
      <c r="AR386" s="23">
        <v>0</v>
      </c>
      <c r="AS386" s="23">
        <v>0</v>
      </c>
      <c r="AT386" s="23">
        <v>0</v>
      </c>
      <c r="AU386" s="23">
        <v>0</v>
      </c>
      <c r="AV386" s="23">
        <v>0</v>
      </c>
      <c r="AW386" s="23">
        <v>0</v>
      </c>
      <c r="AX386" s="23">
        <v>0</v>
      </c>
      <c r="AY386" s="23">
        <v>0</v>
      </c>
      <c r="AZ386" s="23">
        <v>0</v>
      </c>
      <c r="BA386" s="23">
        <v>0</v>
      </c>
      <c r="BB386" s="23">
        <v>0</v>
      </c>
      <c r="BC386" s="23">
        <v>0</v>
      </c>
      <c r="BD386" s="23">
        <v>0</v>
      </c>
      <c r="BE386" s="23">
        <v>0</v>
      </c>
      <c r="BF386" s="23">
        <v>0</v>
      </c>
      <c r="BG386" s="23">
        <v>0</v>
      </c>
      <c r="BH386" s="23">
        <v>0</v>
      </c>
      <c r="BI386" s="23">
        <v>0</v>
      </c>
      <c r="BJ386" s="23">
        <v>0</v>
      </c>
      <c r="BK386" s="23">
        <v>0</v>
      </c>
      <c r="BL386" s="23">
        <v>0</v>
      </c>
      <c r="BM386" s="23">
        <v>0</v>
      </c>
      <c r="BN386" s="23">
        <v>0</v>
      </c>
      <c r="BO386" s="23">
        <v>0</v>
      </c>
      <c r="BP386" s="23">
        <f t="shared" si="172"/>
        <v>0</v>
      </c>
      <c r="BQ386" s="23">
        <f t="shared" si="173"/>
        <v>0</v>
      </c>
      <c r="BR386" s="23">
        <f t="shared" si="174"/>
        <v>0</v>
      </c>
      <c r="BS386" s="23">
        <f t="shared" si="175"/>
        <v>0</v>
      </c>
      <c r="BT386" s="23">
        <f t="shared" si="176"/>
        <v>4</v>
      </c>
      <c r="BU386" s="23">
        <f t="shared" si="177"/>
        <v>0</v>
      </c>
      <c r="BV386" s="23">
        <f t="shared" si="178"/>
        <v>0</v>
      </c>
      <c r="BW386" s="23">
        <f t="shared" si="179"/>
        <v>0</v>
      </c>
      <c r="BX386" s="23">
        <f t="shared" si="180"/>
        <v>0</v>
      </c>
      <c r="BY386" s="23">
        <f t="shared" si="181"/>
        <v>0</v>
      </c>
      <c r="BZ386" s="23">
        <f t="shared" si="182"/>
        <v>0</v>
      </c>
      <c r="CA386" s="23">
        <f t="shared" si="183"/>
        <v>0</v>
      </c>
      <c r="CB386" s="23">
        <f t="shared" si="184"/>
        <v>0</v>
      </c>
      <c r="CC386" s="23">
        <f t="shared" si="185"/>
        <v>0</v>
      </c>
      <c r="CD386" s="23">
        <f t="shared" si="186"/>
        <v>0</v>
      </c>
      <c r="CE386" s="23">
        <f t="shared" si="187"/>
        <v>0</v>
      </c>
      <c r="CF386" s="23">
        <f t="shared" si="188"/>
        <v>0</v>
      </c>
      <c r="CG386" s="23">
        <f t="shared" si="189"/>
        <v>0</v>
      </c>
      <c r="CH386" s="23">
        <f t="shared" si="190"/>
        <v>0</v>
      </c>
      <c r="CI386" s="23">
        <f t="shared" si="191"/>
        <v>0</v>
      </c>
      <c r="CJ386" s="23">
        <f t="shared" si="192"/>
        <v>0</v>
      </c>
      <c r="CK386" s="23">
        <f t="shared" si="193"/>
        <v>0</v>
      </c>
      <c r="CL386" s="23">
        <f t="shared" si="194"/>
        <v>0</v>
      </c>
      <c r="CM386" s="23">
        <f t="shared" si="195"/>
        <v>0</v>
      </c>
      <c r="CN386" s="23">
        <f t="shared" si="196"/>
        <v>0</v>
      </c>
      <c r="CO386" s="23">
        <f t="shared" si="197"/>
        <v>0</v>
      </c>
      <c r="CP386" s="23">
        <f t="shared" si="198"/>
        <v>0</v>
      </c>
      <c r="CQ386" s="23">
        <f t="shared" si="199"/>
        <v>0</v>
      </c>
      <c r="CR386" s="23">
        <f t="shared" si="200"/>
        <v>0</v>
      </c>
      <c r="CS386" s="23">
        <f t="shared" si="201"/>
        <v>0</v>
      </c>
      <c r="CT386" s="23">
        <f t="shared" si="202"/>
        <v>0</v>
      </c>
      <c r="CU386" s="23">
        <f t="shared" si="203"/>
        <v>0</v>
      </c>
      <c r="CV386" s="23">
        <f t="shared" si="204"/>
        <v>0</v>
      </c>
    </row>
    <row r="387" spans="1:100" ht="13.5">
      <c r="A387" s="15">
        <v>29</v>
      </c>
      <c r="B387" s="29" t="s">
        <v>729</v>
      </c>
      <c r="C387" t="s">
        <v>635</v>
      </c>
      <c r="D387" t="s">
        <v>724</v>
      </c>
      <c r="E387" t="s">
        <v>715</v>
      </c>
      <c r="F387" t="s">
        <v>638</v>
      </c>
      <c r="G387" t="s">
        <v>715</v>
      </c>
      <c r="H387" t="s">
        <v>716</v>
      </c>
      <c r="I387" s="6" t="s">
        <v>640</v>
      </c>
      <c r="J387" s="6">
        <v>1</v>
      </c>
      <c r="L387" s="15">
        <v>4</v>
      </c>
      <c r="M387" s="7">
        <v>46001</v>
      </c>
      <c r="N387" s="7">
        <v>46055</v>
      </c>
      <c r="O387" s="7">
        <v>46055</v>
      </c>
      <c r="P387" s="7">
        <v>46055</v>
      </c>
      <c r="Q387" s="28" t="str">
        <f t="shared" si="207"/>
        <v>OK</v>
      </c>
      <c r="R387" s="6" t="s">
        <v>730</v>
      </c>
      <c r="S387" s="6" t="str">
        <f t="shared" si="208"/>
        <v>LAG001</v>
      </c>
      <c r="T387" s="6">
        <v>4</v>
      </c>
      <c r="U387" s="6" t="s">
        <v>642</v>
      </c>
      <c r="V387" s="6" t="str">
        <f t="shared" si="171"/>
        <v>26/02</v>
      </c>
      <c r="AI387" s="23">
        <v>0</v>
      </c>
      <c r="AJ387" s="23">
        <v>0</v>
      </c>
      <c r="AK387" s="23">
        <v>0</v>
      </c>
      <c r="AL387" s="23">
        <v>0</v>
      </c>
      <c r="AM387" s="23">
        <v>1</v>
      </c>
      <c r="AN387" s="23">
        <v>0</v>
      </c>
      <c r="AO387" s="23">
        <v>0</v>
      </c>
      <c r="AP387" s="23">
        <v>0</v>
      </c>
      <c r="AQ387" s="23">
        <v>0</v>
      </c>
      <c r="AR387" s="23">
        <v>0</v>
      </c>
      <c r="AS387" s="23">
        <v>0</v>
      </c>
      <c r="AT387" s="23">
        <v>0</v>
      </c>
      <c r="AU387" s="23">
        <v>0</v>
      </c>
      <c r="AV387" s="23">
        <v>0</v>
      </c>
      <c r="AW387" s="23">
        <v>0</v>
      </c>
      <c r="AX387" s="23">
        <v>0</v>
      </c>
      <c r="AY387" s="23">
        <v>0</v>
      </c>
      <c r="AZ387" s="23">
        <v>0</v>
      </c>
      <c r="BA387" s="23">
        <v>0</v>
      </c>
      <c r="BB387" s="23">
        <v>0</v>
      </c>
      <c r="BC387" s="23">
        <v>0</v>
      </c>
      <c r="BD387" s="23">
        <v>0</v>
      </c>
      <c r="BE387" s="23">
        <v>0</v>
      </c>
      <c r="BF387" s="23">
        <v>0</v>
      </c>
      <c r="BG387" s="23">
        <v>0</v>
      </c>
      <c r="BH387" s="23">
        <v>0</v>
      </c>
      <c r="BI387" s="23">
        <v>0</v>
      </c>
      <c r="BJ387" s="23">
        <v>0</v>
      </c>
      <c r="BK387" s="23">
        <v>0</v>
      </c>
      <c r="BL387" s="23">
        <v>0</v>
      </c>
      <c r="BM387" s="23">
        <v>0</v>
      </c>
      <c r="BN387" s="23">
        <v>0</v>
      </c>
      <c r="BO387" s="23">
        <v>0</v>
      </c>
      <c r="BP387" s="23">
        <f t="shared" si="172"/>
        <v>0</v>
      </c>
      <c r="BQ387" s="23">
        <f t="shared" si="173"/>
        <v>0</v>
      </c>
      <c r="BR387" s="23">
        <f t="shared" si="174"/>
        <v>0</v>
      </c>
      <c r="BS387" s="23">
        <f t="shared" si="175"/>
        <v>0</v>
      </c>
      <c r="BT387" s="23">
        <f t="shared" si="176"/>
        <v>4</v>
      </c>
      <c r="BU387" s="23">
        <f t="shared" si="177"/>
        <v>0</v>
      </c>
      <c r="BV387" s="23">
        <f t="shared" si="178"/>
        <v>0</v>
      </c>
      <c r="BW387" s="23">
        <f t="shared" si="179"/>
        <v>0</v>
      </c>
      <c r="BX387" s="23">
        <f t="shared" si="180"/>
        <v>0</v>
      </c>
      <c r="BY387" s="23">
        <f t="shared" si="181"/>
        <v>0</v>
      </c>
      <c r="BZ387" s="23">
        <f t="shared" si="182"/>
        <v>0</v>
      </c>
      <c r="CA387" s="23">
        <f t="shared" si="183"/>
        <v>0</v>
      </c>
      <c r="CB387" s="23">
        <f t="shared" si="184"/>
        <v>0</v>
      </c>
      <c r="CC387" s="23">
        <f t="shared" si="185"/>
        <v>0</v>
      </c>
      <c r="CD387" s="23">
        <f t="shared" si="186"/>
        <v>0</v>
      </c>
      <c r="CE387" s="23">
        <f t="shared" si="187"/>
        <v>0</v>
      </c>
      <c r="CF387" s="23">
        <f t="shared" si="188"/>
        <v>0</v>
      </c>
      <c r="CG387" s="23">
        <f t="shared" si="189"/>
        <v>0</v>
      </c>
      <c r="CH387" s="23">
        <f t="shared" si="190"/>
        <v>0</v>
      </c>
      <c r="CI387" s="23">
        <f t="shared" si="191"/>
        <v>0</v>
      </c>
      <c r="CJ387" s="23">
        <f t="shared" si="192"/>
        <v>0</v>
      </c>
      <c r="CK387" s="23">
        <f t="shared" si="193"/>
        <v>0</v>
      </c>
      <c r="CL387" s="23">
        <f t="shared" si="194"/>
        <v>0</v>
      </c>
      <c r="CM387" s="23">
        <f t="shared" si="195"/>
        <v>0</v>
      </c>
      <c r="CN387" s="23">
        <f t="shared" si="196"/>
        <v>0</v>
      </c>
      <c r="CO387" s="23">
        <f t="shared" si="197"/>
        <v>0</v>
      </c>
      <c r="CP387" s="23">
        <f t="shared" si="198"/>
        <v>0</v>
      </c>
      <c r="CQ387" s="23">
        <f t="shared" si="199"/>
        <v>0</v>
      </c>
      <c r="CR387" s="23">
        <f t="shared" si="200"/>
        <v>0</v>
      </c>
      <c r="CS387" s="23">
        <f t="shared" si="201"/>
        <v>0</v>
      </c>
      <c r="CT387" s="23">
        <f t="shared" si="202"/>
        <v>0</v>
      </c>
      <c r="CU387" s="23">
        <f t="shared" si="203"/>
        <v>0</v>
      </c>
      <c r="CV387" s="23">
        <f t="shared" si="204"/>
        <v>0</v>
      </c>
    </row>
    <row r="388" spans="1:100" ht="13.5">
      <c r="A388" s="15">
        <v>30</v>
      </c>
      <c r="B388" s="29" t="s">
        <v>731</v>
      </c>
      <c r="C388" t="s">
        <v>635</v>
      </c>
      <c r="D388" t="s">
        <v>724</v>
      </c>
      <c r="E388" t="s">
        <v>715</v>
      </c>
      <c r="F388" t="s">
        <v>638</v>
      </c>
      <c r="G388" t="s">
        <v>715</v>
      </c>
      <c r="H388" t="s">
        <v>716</v>
      </c>
      <c r="I388" s="6" t="s">
        <v>640</v>
      </c>
      <c r="J388" s="6">
        <v>1</v>
      </c>
      <c r="L388" s="15">
        <v>5</v>
      </c>
      <c r="M388" s="7">
        <v>46001</v>
      </c>
      <c r="N388" s="7">
        <v>46056</v>
      </c>
      <c r="O388" s="7">
        <v>46056</v>
      </c>
      <c r="P388" s="7">
        <v>46056</v>
      </c>
      <c r="Q388" s="28" t="str">
        <f t="shared" si="207"/>
        <v>OK</v>
      </c>
      <c r="R388" s="6" t="s">
        <v>732</v>
      </c>
      <c r="S388" s="6" t="str">
        <f t="shared" si="208"/>
        <v>LAG001</v>
      </c>
      <c r="T388" s="6">
        <v>5</v>
      </c>
      <c r="U388" s="6" t="s">
        <v>642</v>
      </c>
      <c r="V388" s="6" t="str">
        <f t="shared" si="171"/>
        <v>26/02</v>
      </c>
      <c r="AI388" s="23">
        <v>0</v>
      </c>
      <c r="AJ388" s="23">
        <v>0</v>
      </c>
      <c r="AK388" s="23">
        <v>0</v>
      </c>
      <c r="AL388" s="23">
        <v>0</v>
      </c>
      <c r="AM388" s="23">
        <v>1</v>
      </c>
      <c r="AN388" s="23">
        <v>0</v>
      </c>
      <c r="AO388" s="23">
        <v>0</v>
      </c>
      <c r="AP388" s="23">
        <v>0</v>
      </c>
      <c r="AQ388" s="23">
        <v>0</v>
      </c>
      <c r="AR388" s="23">
        <v>0</v>
      </c>
      <c r="AS388" s="23">
        <v>0</v>
      </c>
      <c r="AT388" s="23">
        <v>0</v>
      </c>
      <c r="AU388" s="23">
        <v>0</v>
      </c>
      <c r="AV388" s="23">
        <v>0</v>
      </c>
      <c r="AW388" s="23">
        <v>0</v>
      </c>
      <c r="AX388" s="23">
        <v>0</v>
      </c>
      <c r="AY388" s="23">
        <v>0</v>
      </c>
      <c r="AZ388" s="23">
        <v>0</v>
      </c>
      <c r="BA388" s="23">
        <v>0</v>
      </c>
      <c r="BB388" s="23">
        <v>0</v>
      </c>
      <c r="BC388" s="23">
        <v>0</v>
      </c>
      <c r="BD388" s="23">
        <v>0</v>
      </c>
      <c r="BE388" s="23">
        <v>0</v>
      </c>
      <c r="BF388" s="23">
        <v>0</v>
      </c>
      <c r="BG388" s="23">
        <v>0</v>
      </c>
      <c r="BH388" s="23">
        <v>0</v>
      </c>
      <c r="BI388" s="23">
        <v>0</v>
      </c>
      <c r="BJ388" s="23">
        <v>0</v>
      </c>
      <c r="BK388" s="23">
        <v>0</v>
      </c>
      <c r="BL388" s="23">
        <v>0</v>
      </c>
      <c r="BM388" s="23">
        <v>0</v>
      </c>
      <c r="BN388" s="23">
        <v>0</v>
      </c>
      <c r="BO388" s="23">
        <v>0</v>
      </c>
      <c r="BP388" s="23">
        <f t="shared" si="172"/>
        <v>0</v>
      </c>
      <c r="BQ388" s="23">
        <f t="shared" si="173"/>
        <v>0</v>
      </c>
      <c r="BR388" s="23">
        <f t="shared" si="174"/>
        <v>0</v>
      </c>
      <c r="BS388" s="23">
        <f t="shared" si="175"/>
        <v>0</v>
      </c>
      <c r="BT388" s="23">
        <f t="shared" si="176"/>
        <v>5</v>
      </c>
      <c r="BU388" s="23">
        <f t="shared" si="177"/>
        <v>0</v>
      </c>
      <c r="BV388" s="23">
        <f t="shared" si="178"/>
        <v>0</v>
      </c>
      <c r="BW388" s="23">
        <f t="shared" si="179"/>
        <v>0</v>
      </c>
      <c r="BX388" s="23">
        <f t="shared" si="180"/>
        <v>0</v>
      </c>
      <c r="BY388" s="23">
        <f t="shared" si="181"/>
        <v>0</v>
      </c>
      <c r="BZ388" s="23">
        <f t="shared" si="182"/>
        <v>0</v>
      </c>
      <c r="CA388" s="23">
        <f t="shared" si="183"/>
        <v>0</v>
      </c>
      <c r="CB388" s="23">
        <f t="shared" si="184"/>
        <v>0</v>
      </c>
      <c r="CC388" s="23">
        <f t="shared" si="185"/>
        <v>0</v>
      </c>
      <c r="CD388" s="23">
        <f t="shared" si="186"/>
        <v>0</v>
      </c>
      <c r="CE388" s="23">
        <f t="shared" si="187"/>
        <v>0</v>
      </c>
      <c r="CF388" s="23">
        <f t="shared" si="188"/>
        <v>0</v>
      </c>
      <c r="CG388" s="23">
        <f t="shared" si="189"/>
        <v>0</v>
      </c>
      <c r="CH388" s="23">
        <f t="shared" si="190"/>
        <v>0</v>
      </c>
      <c r="CI388" s="23">
        <f t="shared" si="191"/>
        <v>0</v>
      </c>
      <c r="CJ388" s="23">
        <f t="shared" si="192"/>
        <v>0</v>
      </c>
      <c r="CK388" s="23">
        <f t="shared" si="193"/>
        <v>0</v>
      </c>
      <c r="CL388" s="23">
        <f t="shared" si="194"/>
        <v>0</v>
      </c>
      <c r="CM388" s="23">
        <f t="shared" si="195"/>
        <v>0</v>
      </c>
      <c r="CN388" s="23">
        <f t="shared" si="196"/>
        <v>0</v>
      </c>
      <c r="CO388" s="23">
        <f t="shared" si="197"/>
        <v>0</v>
      </c>
      <c r="CP388" s="23">
        <f t="shared" si="198"/>
        <v>0</v>
      </c>
      <c r="CQ388" s="23">
        <f t="shared" si="199"/>
        <v>0</v>
      </c>
      <c r="CR388" s="23">
        <f t="shared" si="200"/>
        <v>0</v>
      </c>
      <c r="CS388" s="23">
        <f t="shared" si="201"/>
        <v>0</v>
      </c>
      <c r="CT388" s="23">
        <f t="shared" si="202"/>
        <v>0</v>
      </c>
      <c r="CU388" s="23">
        <f t="shared" si="203"/>
        <v>0</v>
      </c>
      <c r="CV388" s="23">
        <f t="shared" si="204"/>
        <v>0</v>
      </c>
    </row>
    <row r="389" spans="1:100" ht="13.5">
      <c r="A389" s="15">
        <v>31</v>
      </c>
      <c r="B389" s="29" t="s">
        <v>733</v>
      </c>
      <c r="C389" t="s">
        <v>635</v>
      </c>
      <c r="D389" t="s">
        <v>724</v>
      </c>
      <c r="E389" t="s">
        <v>715</v>
      </c>
      <c r="F389" t="s">
        <v>638</v>
      </c>
      <c r="G389" t="s">
        <v>715</v>
      </c>
      <c r="H389" t="s">
        <v>716</v>
      </c>
      <c r="I389" s="6" t="s">
        <v>640</v>
      </c>
      <c r="J389" s="6">
        <v>1</v>
      </c>
      <c r="L389" s="15">
        <v>5</v>
      </c>
      <c r="M389" s="7">
        <v>46001</v>
      </c>
      <c r="N389" s="7">
        <v>46057</v>
      </c>
      <c r="O389" s="7">
        <v>46057</v>
      </c>
      <c r="P389" s="7">
        <v>46057</v>
      </c>
      <c r="Q389" s="28" t="str">
        <f t="shared" si="207"/>
        <v>OK</v>
      </c>
      <c r="R389" s="6" t="s">
        <v>734</v>
      </c>
      <c r="S389" s="6" t="str">
        <f t="shared" si="208"/>
        <v>LAG001</v>
      </c>
      <c r="T389" s="6">
        <v>5</v>
      </c>
      <c r="U389" s="6" t="s">
        <v>642</v>
      </c>
      <c r="V389" s="6" t="str">
        <f t="shared" ref="V389:V410" si="209">TEXT(N389,"YY/MM")</f>
        <v>26/02</v>
      </c>
      <c r="AI389" s="23">
        <v>0</v>
      </c>
      <c r="AJ389" s="23">
        <v>0</v>
      </c>
      <c r="AK389" s="23">
        <v>0</v>
      </c>
      <c r="AL389" s="23">
        <v>0</v>
      </c>
      <c r="AM389" s="23">
        <v>1</v>
      </c>
      <c r="AN389" s="23">
        <v>0</v>
      </c>
      <c r="AO389" s="23">
        <v>0</v>
      </c>
      <c r="AP389" s="23">
        <v>0</v>
      </c>
      <c r="AQ389" s="23">
        <v>0</v>
      </c>
      <c r="AR389" s="23">
        <v>0</v>
      </c>
      <c r="AS389" s="23">
        <v>0</v>
      </c>
      <c r="AT389" s="23">
        <v>0</v>
      </c>
      <c r="AU389" s="23">
        <v>0</v>
      </c>
      <c r="AV389" s="23">
        <v>0</v>
      </c>
      <c r="AW389" s="23">
        <v>0</v>
      </c>
      <c r="AX389" s="23">
        <v>0</v>
      </c>
      <c r="AY389" s="23">
        <v>0</v>
      </c>
      <c r="AZ389" s="23">
        <v>0</v>
      </c>
      <c r="BA389" s="23">
        <v>0</v>
      </c>
      <c r="BB389" s="23">
        <v>0</v>
      </c>
      <c r="BC389" s="23">
        <v>0</v>
      </c>
      <c r="BD389" s="23">
        <v>0</v>
      </c>
      <c r="BE389" s="23">
        <v>0</v>
      </c>
      <c r="BF389" s="23">
        <v>0</v>
      </c>
      <c r="BG389" s="23">
        <v>0</v>
      </c>
      <c r="BH389" s="23">
        <v>0</v>
      </c>
      <c r="BI389" s="23">
        <v>0</v>
      </c>
      <c r="BJ389" s="23">
        <v>0</v>
      </c>
      <c r="BK389" s="23">
        <v>0</v>
      </c>
      <c r="BL389" s="23">
        <v>0</v>
      </c>
      <c r="BM389" s="23">
        <v>0</v>
      </c>
      <c r="BN389" s="23">
        <v>0</v>
      </c>
      <c r="BO389" s="23">
        <v>0</v>
      </c>
      <c r="BP389" s="23">
        <f t="shared" ref="BP389:BP410" si="210">$L389*AI389</f>
        <v>0</v>
      </c>
      <c r="BQ389" s="23">
        <f t="shared" ref="BQ389:BQ410" si="211">$L389*AJ389</f>
        <v>0</v>
      </c>
      <c r="BR389" s="23">
        <f t="shared" ref="BR389:BR410" si="212">$L389*AK389</f>
        <v>0</v>
      </c>
      <c r="BS389" s="23">
        <f t="shared" ref="BS389:BS410" si="213">$L389*AL389</f>
        <v>0</v>
      </c>
      <c r="BT389" s="23">
        <f t="shared" ref="BT389:BT410" si="214">$L389*AM389</f>
        <v>5</v>
      </c>
      <c r="BU389" s="23">
        <f t="shared" ref="BU389:BU410" si="215">$L389*AN389</f>
        <v>0</v>
      </c>
      <c r="BV389" s="23">
        <f t="shared" ref="BV389:BV410" si="216">$L389*AO389</f>
        <v>0</v>
      </c>
      <c r="BW389" s="23">
        <f t="shared" ref="BW389:BW410" si="217">$L389*AP389</f>
        <v>0</v>
      </c>
      <c r="BX389" s="23">
        <f t="shared" ref="BX389:BX410" si="218">$L389*AQ389</f>
        <v>0</v>
      </c>
      <c r="BY389" s="23">
        <f t="shared" ref="BY389:BY410" si="219">$L389*AR389</f>
        <v>0</v>
      </c>
      <c r="BZ389" s="23">
        <f t="shared" ref="BZ389:BZ410" si="220">$L389*AS389</f>
        <v>0</v>
      </c>
      <c r="CA389" s="23">
        <f t="shared" ref="CA389:CA410" si="221">$L389*AT389</f>
        <v>0</v>
      </c>
      <c r="CB389" s="23">
        <f t="shared" ref="CB389:CB410" si="222">$L389*AU389</f>
        <v>0</v>
      </c>
      <c r="CC389" s="23">
        <f t="shared" ref="CC389:CC410" si="223">$L389*AV389</f>
        <v>0</v>
      </c>
      <c r="CD389" s="23">
        <f t="shared" ref="CD389:CD410" si="224">$L389*AW389</f>
        <v>0</v>
      </c>
      <c r="CE389" s="23">
        <f t="shared" ref="CE389:CE410" si="225">$L389*AX389</f>
        <v>0</v>
      </c>
      <c r="CF389" s="23">
        <f t="shared" ref="CF389:CF410" si="226">$L389*AY389</f>
        <v>0</v>
      </c>
      <c r="CG389" s="23">
        <f t="shared" ref="CG389:CG410" si="227">$L389*AZ389</f>
        <v>0</v>
      </c>
      <c r="CH389" s="23">
        <f t="shared" ref="CH389:CH410" si="228">$L389*BA389</f>
        <v>0</v>
      </c>
      <c r="CI389" s="23">
        <f t="shared" ref="CI389:CI410" si="229">$L389*BB389</f>
        <v>0</v>
      </c>
      <c r="CJ389" s="23">
        <f t="shared" ref="CJ389:CJ410" si="230">$L389*BC389</f>
        <v>0</v>
      </c>
      <c r="CK389" s="23">
        <f t="shared" ref="CK389:CK410" si="231">$L389*BD389</f>
        <v>0</v>
      </c>
      <c r="CL389" s="23">
        <f t="shared" ref="CL389:CL410" si="232">$L389*BE389</f>
        <v>0</v>
      </c>
      <c r="CM389" s="23">
        <f t="shared" ref="CM389:CM410" si="233">$L389*BF389</f>
        <v>0</v>
      </c>
      <c r="CN389" s="23">
        <f t="shared" ref="CN389:CN410" si="234">$L389*BG389</f>
        <v>0</v>
      </c>
      <c r="CO389" s="23">
        <f t="shared" ref="CO389:CO410" si="235">$L389*BH389</f>
        <v>0</v>
      </c>
      <c r="CP389" s="23">
        <f t="shared" ref="CP389:CP410" si="236">$L389*BI389</f>
        <v>0</v>
      </c>
      <c r="CQ389" s="23">
        <f t="shared" ref="CQ389:CQ410" si="237">$L389*BJ389</f>
        <v>0</v>
      </c>
      <c r="CR389" s="23">
        <f t="shared" ref="CR389:CR410" si="238">$L389*BK389</f>
        <v>0</v>
      </c>
      <c r="CS389" s="23">
        <f t="shared" ref="CS389:CS410" si="239">$L389*BL389</f>
        <v>0</v>
      </c>
      <c r="CT389" s="23">
        <f t="shared" ref="CT389:CT410" si="240">$L389*BM389</f>
        <v>0</v>
      </c>
      <c r="CU389" s="23">
        <f t="shared" ref="CU389:CU410" si="241">$L389*BN389</f>
        <v>0</v>
      </c>
      <c r="CV389" s="23">
        <f t="shared" ref="CV389:CV410" si="242">$L389*BO389</f>
        <v>0</v>
      </c>
    </row>
    <row r="390" spans="1:100" ht="13.5">
      <c r="A390" s="15">
        <v>32</v>
      </c>
      <c r="B390" s="29" t="s">
        <v>735</v>
      </c>
      <c r="C390" t="s">
        <v>635</v>
      </c>
      <c r="D390" t="s">
        <v>724</v>
      </c>
      <c r="E390" t="s">
        <v>715</v>
      </c>
      <c r="F390" t="s">
        <v>638</v>
      </c>
      <c r="G390" t="s">
        <v>715</v>
      </c>
      <c r="H390" t="s">
        <v>716</v>
      </c>
      <c r="I390" s="6" t="s">
        <v>640</v>
      </c>
      <c r="J390" s="6">
        <v>1</v>
      </c>
      <c r="L390" s="15">
        <v>5</v>
      </c>
      <c r="M390" s="7">
        <v>46001</v>
      </c>
      <c r="N390" s="7">
        <v>46058</v>
      </c>
      <c r="O390" s="7">
        <v>46058</v>
      </c>
      <c r="P390" s="7">
        <v>46058</v>
      </c>
      <c r="Q390" s="28" t="str">
        <f t="shared" si="207"/>
        <v>OK</v>
      </c>
      <c r="R390" s="6" t="s">
        <v>736</v>
      </c>
      <c r="S390" s="6" t="str">
        <f t="shared" si="208"/>
        <v>LAG001</v>
      </c>
      <c r="T390" s="6">
        <v>5</v>
      </c>
      <c r="U390" s="6" t="s">
        <v>642</v>
      </c>
      <c r="V390" s="6" t="str">
        <f t="shared" si="209"/>
        <v>26/02</v>
      </c>
      <c r="AI390" s="23">
        <v>0</v>
      </c>
      <c r="AJ390" s="23">
        <v>0</v>
      </c>
      <c r="AK390" s="23">
        <v>0</v>
      </c>
      <c r="AL390" s="23">
        <v>0</v>
      </c>
      <c r="AM390" s="23">
        <v>1</v>
      </c>
      <c r="AN390" s="23">
        <v>0</v>
      </c>
      <c r="AO390" s="23">
        <v>0</v>
      </c>
      <c r="AP390" s="23">
        <v>0</v>
      </c>
      <c r="AQ390" s="23">
        <v>0</v>
      </c>
      <c r="AR390" s="23">
        <v>0</v>
      </c>
      <c r="AS390" s="23">
        <v>0</v>
      </c>
      <c r="AT390" s="23">
        <v>0</v>
      </c>
      <c r="AU390" s="23">
        <v>0</v>
      </c>
      <c r="AV390" s="23">
        <v>0</v>
      </c>
      <c r="AW390" s="23">
        <v>0</v>
      </c>
      <c r="AX390" s="23">
        <v>0</v>
      </c>
      <c r="AY390" s="23">
        <v>0</v>
      </c>
      <c r="AZ390" s="23">
        <v>0</v>
      </c>
      <c r="BA390" s="23">
        <v>0</v>
      </c>
      <c r="BB390" s="23">
        <v>0</v>
      </c>
      <c r="BC390" s="23">
        <v>0</v>
      </c>
      <c r="BD390" s="23">
        <v>0</v>
      </c>
      <c r="BE390" s="23">
        <v>0</v>
      </c>
      <c r="BF390" s="23">
        <v>0</v>
      </c>
      <c r="BG390" s="23">
        <v>0</v>
      </c>
      <c r="BH390" s="23">
        <v>0</v>
      </c>
      <c r="BI390" s="23">
        <v>0</v>
      </c>
      <c r="BJ390" s="23">
        <v>0</v>
      </c>
      <c r="BK390" s="23">
        <v>0</v>
      </c>
      <c r="BL390" s="23">
        <v>0</v>
      </c>
      <c r="BM390" s="23">
        <v>0</v>
      </c>
      <c r="BN390" s="23">
        <v>0</v>
      </c>
      <c r="BO390" s="23">
        <v>0</v>
      </c>
      <c r="BP390" s="23">
        <f t="shared" si="210"/>
        <v>0</v>
      </c>
      <c r="BQ390" s="23">
        <f t="shared" si="211"/>
        <v>0</v>
      </c>
      <c r="BR390" s="23">
        <f t="shared" si="212"/>
        <v>0</v>
      </c>
      <c r="BS390" s="23">
        <f t="shared" si="213"/>
        <v>0</v>
      </c>
      <c r="BT390" s="23">
        <f t="shared" si="214"/>
        <v>5</v>
      </c>
      <c r="BU390" s="23">
        <f t="shared" si="215"/>
        <v>0</v>
      </c>
      <c r="BV390" s="23">
        <f t="shared" si="216"/>
        <v>0</v>
      </c>
      <c r="BW390" s="23">
        <f t="shared" si="217"/>
        <v>0</v>
      </c>
      <c r="BX390" s="23">
        <f t="shared" si="218"/>
        <v>0</v>
      </c>
      <c r="BY390" s="23">
        <f t="shared" si="219"/>
        <v>0</v>
      </c>
      <c r="BZ390" s="23">
        <f t="shared" si="220"/>
        <v>0</v>
      </c>
      <c r="CA390" s="23">
        <f t="shared" si="221"/>
        <v>0</v>
      </c>
      <c r="CB390" s="23">
        <f t="shared" si="222"/>
        <v>0</v>
      </c>
      <c r="CC390" s="23">
        <f t="shared" si="223"/>
        <v>0</v>
      </c>
      <c r="CD390" s="23">
        <f t="shared" si="224"/>
        <v>0</v>
      </c>
      <c r="CE390" s="23">
        <f t="shared" si="225"/>
        <v>0</v>
      </c>
      <c r="CF390" s="23">
        <f t="shared" si="226"/>
        <v>0</v>
      </c>
      <c r="CG390" s="23">
        <f t="shared" si="227"/>
        <v>0</v>
      </c>
      <c r="CH390" s="23">
        <f t="shared" si="228"/>
        <v>0</v>
      </c>
      <c r="CI390" s="23">
        <f t="shared" si="229"/>
        <v>0</v>
      </c>
      <c r="CJ390" s="23">
        <f t="shared" si="230"/>
        <v>0</v>
      </c>
      <c r="CK390" s="23">
        <f t="shared" si="231"/>
        <v>0</v>
      </c>
      <c r="CL390" s="23">
        <f t="shared" si="232"/>
        <v>0</v>
      </c>
      <c r="CM390" s="23">
        <f t="shared" si="233"/>
        <v>0</v>
      </c>
      <c r="CN390" s="23">
        <f t="shared" si="234"/>
        <v>0</v>
      </c>
      <c r="CO390" s="23">
        <f t="shared" si="235"/>
        <v>0</v>
      </c>
      <c r="CP390" s="23">
        <f t="shared" si="236"/>
        <v>0</v>
      </c>
      <c r="CQ390" s="23">
        <f t="shared" si="237"/>
        <v>0</v>
      </c>
      <c r="CR390" s="23">
        <f t="shared" si="238"/>
        <v>0</v>
      </c>
      <c r="CS390" s="23">
        <f t="shared" si="239"/>
        <v>0</v>
      </c>
      <c r="CT390" s="23">
        <f t="shared" si="240"/>
        <v>0</v>
      </c>
      <c r="CU390" s="23">
        <f t="shared" si="241"/>
        <v>0</v>
      </c>
      <c r="CV390" s="23">
        <f t="shared" si="242"/>
        <v>0</v>
      </c>
    </row>
    <row r="391" spans="1:100" ht="13.5">
      <c r="A391" s="15">
        <v>33</v>
      </c>
      <c r="B391" s="29" t="s">
        <v>737</v>
      </c>
      <c r="C391" t="s">
        <v>635</v>
      </c>
      <c r="D391" t="s">
        <v>724</v>
      </c>
      <c r="E391" t="s">
        <v>715</v>
      </c>
      <c r="F391" t="s">
        <v>638</v>
      </c>
      <c r="G391" t="s">
        <v>715</v>
      </c>
      <c r="H391" t="s">
        <v>716</v>
      </c>
      <c r="I391" s="6" t="s">
        <v>640</v>
      </c>
      <c r="J391" s="6">
        <v>1</v>
      </c>
      <c r="L391" s="15">
        <v>5</v>
      </c>
      <c r="M391" s="7">
        <v>46001</v>
      </c>
      <c r="N391" s="7">
        <v>46059</v>
      </c>
      <c r="O391" s="7">
        <v>46059</v>
      </c>
      <c r="P391" s="7">
        <v>46059</v>
      </c>
      <c r="Q391" s="28" t="str">
        <f t="shared" si="207"/>
        <v>OK</v>
      </c>
      <c r="R391" s="6" t="s">
        <v>738</v>
      </c>
      <c r="S391" s="6" t="str">
        <f t="shared" si="208"/>
        <v>LAG001</v>
      </c>
      <c r="T391" s="6">
        <v>5</v>
      </c>
      <c r="U391" s="6" t="s">
        <v>642</v>
      </c>
      <c r="V391" s="6" t="str">
        <f t="shared" si="209"/>
        <v>26/02</v>
      </c>
      <c r="AI391" s="23">
        <v>0</v>
      </c>
      <c r="AJ391" s="23">
        <v>0</v>
      </c>
      <c r="AK391" s="23">
        <v>0</v>
      </c>
      <c r="AL391" s="23">
        <v>0</v>
      </c>
      <c r="AM391" s="23">
        <v>1</v>
      </c>
      <c r="AN391" s="23">
        <v>0</v>
      </c>
      <c r="AO391" s="23">
        <v>0</v>
      </c>
      <c r="AP391" s="23">
        <v>0</v>
      </c>
      <c r="AQ391" s="23">
        <v>0</v>
      </c>
      <c r="AR391" s="23">
        <v>0</v>
      </c>
      <c r="AS391" s="23">
        <v>0</v>
      </c>
      <c r="AT391" s="23">
        <v>0</v>
      </c>
      <c r="AU391" s="23">
        <v>0</v>
      </c>
      <c r="AV391" s="23">
        <v>0</v>
      </c>
      <c r="AW391" s="23">
        <v>0</v>
      </c>
      <c r="AX391" s="23">
        <v>0</v>
      </c>
      <c r="AY391" s="23">
        <v>0</v>
      </c>
      <c r="AZ391" s="23">
        <v>0</v>
      </c>
      <c r="BA391" s="23">
        <v>0</v>
      </c>
      <c r="BB391" s="23">
        <v>0</v>
      </c>
      <c r="BC391" s="23">
        <v>0</v>
      </c>
      <c r="BD391" s="23">
        <v>0</v>
      </c>
      <c r="BE391" s="23">
        <v>0</v>
      </c>
      <c r="BF391" s="23">
        <v>0</v>
      </c>
      <c r="BG391" s="23">
        <v>0</v>
      </c>
      <c r="BH391" s="23">
        <v>0</v>
      </c>
      <c r="BI391" s="23">
        <v>0</v>
      </c>
      <c r="BJ391" s="23">
        <v>0</v>
      </c>
      <c r="BK391" s="23">
        <v>0</v>
      </c>
      <c r="BL391" s="23">
        <v>0</v>
      </c>
      <c r="BM391" s="23">
        <v>0</v>
      </c>
      <c r="BN391" s="23">
        <v>0</v>
      </c>
      <c r="BO391" s="23">
        <v>0</v>
      </c>
      <c r="BP391" s="23">
        <f t="shared" si="210"/>
        <v>0</v>
      </c>
      <c r="BQ391" s="23">
        <f t="shared" si="211"/>
        <v>0</v>
      </c>
      <c r="BR391" s="23">
        <f t="shared" si="212"/>
        <v>0</v>
      </c>
      <c r="BS391" s="23">
        <f t="shared" si="213"/>
        <v>0</v>
      </c>
      <c r="BT391" s="23">
        <f t="shared" si="214"/>
        <v>5</v>
      </c>
      <c r="BU391" s="23">
        <f t="shared" si="215"/>
        <v>0</v>
      </c>
      <c r="BV391" s="23">
        <f t="shared" si="216"/>
        <v>0</v>
      </c>
      <c r="BW391" s="23">
        <f t="shared" si="217"/>
        <v>0</v>
      </c>
      <c r="BX391" s="23">
        <f t="shared" si="218"/>
        <v>0</v>
      </c>
      <c r="BY391" s="23">
        <f t="shared" si="219"/>
        <v>0</v>
      </c>
      <c r="BZ391" s="23">
        <f t="shared" si="220"/>
        <v>0</v>
      </c>
      <c r="CA391" s="23">
        <f t="shared" si="221"/>
        <v>0</v>
      </c>
      <c r="CB391" s="23">
        <f t="shared" si="222"/>
        <v>0</v>
      </c>
      <c r="CC391" s="23">
        <f t="shared" si="223"/>
        <v>0</v>
      </c>
      <c r="CD391" s="23">
        <f t="shared" si="224"/>
        <v>0</v>
      </c>
      <c r="CE391" s="23">
        <f t="shared" si="225"/>
        <v>0</v>
      </c>
      <c r="CF391" s="23">
        <f t="shared" si="226"/>
        <v>0</v>
      </c>
      <c r="CG391" s="23">
        <f t="shared" si="227"/>
        <v>0</v>
      </c>
      <c r="CH391" s="23">
        <f t="shared" si="228"/>
        <v>0</v>
      </c>
      <c r="CI391" s="23">
        <f t="shared" si="229"/>
        <v>0</v>
      </c>
      <c r="CJ391" s="23">
        <f t="shared" si="230"/>
        <v>0</v>
      </c>
      <c r="CK391" s="23">
        <f t="shared" si="231"/>
        <v>0</v>
      </c>
      <c r="CL391" s="23">
        <f t="shared" si="232"/>
        <v>0</v>
      </c>
      <c r="CM391" s="23">
        <f t="shared" si="233"/>
        <v>0</v>
      </c>
      <c r="CN391" s="23">
        <f t="shared" si="234"/>
        <v>0</v>
      </c>
      <c r="CO391" s="23">
        <f t="shared" si="235"/>
        <v>0</v>
      </c>
      <c r="CP391" s="23">
        <f t="shared" si="236"/>
        <v>0</v>
      </c>
      <c r="CQ391" s="23">
        <f t="shared" si="237"/>
        <v>0</v>
      </c>
      <c r="CR391" s="23">
        <f t="shared" si="238"/>
        <v>0</v>
      </c>
      <c r="CS391" s="23">
        <f t="shared" si="239"/>
        <v>0</v>
      </c>
      <c r="CT391" s="23">
        <f t="shared" si="240"/>
        <v>0</v>
      </c>
      <c r="CU391" s="23">
        <f t="shared" si="241"/>
        <v>0</v>
      </c>
      <c r="CV391" s="23">
        <f t="shared" si="242"/>
        <v>0</v>
      </c>
    </row>
    <row r="392" spans="1:100" ht="13.5">
      <c r="A392" s="15">
        <v>34</v>
      </c>
      <c r="B392" s="27" t="s">
        <v>739</v>
      </c>
      <c r="C392" t="s">
        <v>635</v>
      </c>
      <c r="D392" t="s">
        <v>724</v>
      </c>
      <c r="E392" t="s">
        <v>715</v>
      </c>
      <c r="F392" t="s">
        <v>638</v>
      </c>
      <c r="G392" t="s">
        <v>715</v>
      </c>
      <c r="H392" t="s">
        <v>716</v>
      </c>
      <c r="I392" s="6" t="s">
        <v>640</v>
      </c>
      <c r="J392" s="6">
        <v>1</v>
      </c>
      <c r="L392" s="15">
        <v>3</v>
      </c>
      <c r="M392" s="7">
        <v>46036</v>
      </c>
      <c r="N392" s="7">
        <v>46062</v>
      </c>
      <c r="O392" s="7">
        <v>46062</v>
      </c>
      <c r="P392" s="7">
        <v>46062</v>
      </c>
      <c r="Q392" s="28" t="str">
        <f t="shared" si="207"/>
        <v>OK</v>
      </c>
      <c r="S392" s="6" t="str">
        <f t="shared" si="208"/>
        <v>LAG001</v>
      </c>
      <c r="T392" s="6">
        <v>3</v>
      </c>
      <c r="U392" s="6" t="s">
        <v>642</v>
      </c>
      <c r="V392" s="6" t="str">
        <f t="shared" si="209"/>
        <v>26/02</v>
      </c>
      <c r="AI392" s="23">
        <v>0</v>
      </c>
      <c r="AJ392" s="23">
        <v>0</v>
      </c>
      <c r="AK392" s="23">
        <v>0</v>
      </c>
      <c r="AL392" s="23">
        <v>0</v>
      </c>
      <c r="AM392" s="23">
        <v>1</v>
      </c>
      <c r="AN392" s="23">
        <v>0</v>
      </c>
      <c r="AO392" s="23">
        <v>0</v>
      </c>
      <c r="AP392" s="23">
        <v>0</v>
      </c>
      <c r="AQ392" s="23">
        <v>0</v>
      </c>
      <c r="AR392" s="23">
        <v>0</v>
      </c>
      <c r="AS392" s="23">
        <v>0</v>
      </c>
      <c r="AT392" s="23">
        <v>0</v>
      </c>
      <c r="AU392" s="23">
        <v>0</v>
      </c>
      <c r="AV392" s="23">
        <v>0</v>
      </c>
      <c r="AW392" s="23">
        <v>0</v>
      </c>
      <c r="AX392" s="23">
        <v>0</v>
      </c>
      <c r="AY392" s="23">
        <v>0</v>
      </c>
      <c r="AZ392" s="23">
        <v>0</v>
      </c>
      <c r="BA392" s="23">
        <v>0</v>
      </c>
      <c r="BB392" s="23">
        <v>0</v>
      </c>
      <c r="BC392" s="23">
        <v>0</v>
      </c>
      <c r="BD392" s="23">
        <v>0</v>
      </c>
      <c r="BE392" s="23">
        <v>0</v>
      </c>
      <c r="BF392" s="23">
        <v>0</v>
      </c>
      <c r="BG392" s="23">
        <v>0</v>
      </c>
      <c r="BH392" s="23">
        <v>0</v>
      </c>
      <c r="BI392" s="23">
        <v>0</v>
      </c>
      <c r="BJ392" s="23">
        <v>0</v>
      </c>
      <c r="BK392" s="23">
        <v>0</v>
      </c>
      <c r="BL392" s="23">
        <v>0</v>
      </c>
      <c r="BM392" s="23">
        <v>0</v>
      </c>
      <c r="BN392" s="23">
        <v>0</v>
      </c>
      <c r="BO392" s="23">
        <v>0</v>
      </c>
      <c r="BP392" s="23">
        <f t="shared" si="210"/>
        <v>0</v>
      </c>
      <c r="BQ392" s="23">
        <f t="shared" si="211"/>
        <v>0</v>
      </c>
      <c r="BR392" s="23">
        <f t="shared" si="212"/>
        <v>0</v>
      </c>
      <c r="BS392" s="23">
        <f t="shared" si="213"/>
        <v>0</v>
      </c>
      <c r="BT392" s="23">
        <f t="shared" si="214"/>
        <v>3</v>
      </c>
      <c r="BU392" s="23">
        <f t="shared" si="215"/>
        <v>0</v>
      </c>
      <c r="BV392" s="23">
        <f t="shared" si="216"/>
        <v>0</v>
      </c>
      <c r="BW392" s="23">
        <f t="shared" si="217"/>
        <v>0</v>
      </c>
      <c r="BX392" s="23">
        <f t="shared" si="218"/>
        <v>0</v>
      </c>
      <c r="BY392" s="23">
        <f t="shared" si="219"/>
        <v>0</v>
      </c>
      <c r="BZ392" s="23">
        <f t="shared" si="220"/>
        <v>0</v>
      </c>
      <c r="CA392" s="23">
        <f t="shared" si="221"/>
        <v>0</v>
      </c>
      <c r="CB392" s="23">
        <f t="shared" si="222"/>
        <v>0</v>
      </c>
      <c r="CC392" s="23">
        <f t="shared" si="223"/>
        <v>0</v>
      </c>
      <c r="CD392" s="23">
        <f t="shared" si="224"/>
        <v>0</v>
      </c>
      <c r="CE392" s="23">
        <f t="shared" si="225"/>
        <v>0</v>
      </c>
      <c r="CF392" s="23">
        <f t="shared" si="226"/>
        <v>0</v>
      </c>
      <c r="CG392" s="23">
        <f t="shared" si="227"/>
        <v>0</v>
      </c>
      <c r="CH392" s="23">
        <f t="shared" si="228"/>
        <v>0</v>
      </c>
      <c r="CI392" s="23">
        <f t="shared" si="229"/>
        <v>0</v>
      </c>
      <c r="CJ392" s="23">
        <f t="shared" si="230"/>
        <v>0</v>
      </c>
      <c r="CK392" s="23">
        <f t="shared" si="231"/>
        <v>0</v>
      </c>
      <c r="CL392" s="23">
        <f t="shared" si="232"/>
        <v>0</v>
      </c>
      <c r="CM392" s="23">
        <f t="shared" si="233"/>
        <v>0</v>
      </c>
      <c r="CN392" s="23">
        <f t="shared" si="234"/>
        <v>0</v>
      </c>
      <c r="CO392" s="23">
        <f t="shared" si="235"/>
        <v>0</v>
      </c>
      <c r="CP392" s="23">
        <f t="shared" si="236"/>
        <v>0</v>
      </c>
      <c r="CQ392" s="23">
        <f t="shared" si="237"/>
        <v>0</v>
      </c>
      <c r="CR392" s="23">
        <f t="shared" si="238"/>
        <v>0</v>
      </c>
      <c r="CS392" s="23">
        <f t="shared" si="239"/>
        <v>0</v>
      </c>
      <c r="CT392" s="23">
        <f t="shared" si="240"/>
        <v>0</v>
      </c>
      <c r="CU392" s="23">
        <f t="shared" si="241"/>
        <v>0</v>
      </c>
      <c r="CV392" s="23">
        <f t="shared" si="242"/>
        <v>0</v>
      </c>
    </row>
    <row r="393" spans="1:100" ht="13.5">
      <c r="A393" s="15">
        <v>43</v>
      </c>
      <c r="B393" s="27" t="s">
        <v>741</v>
      </c>
      <c r="C393" t="s">
        <v>635</v>
      </c>
      <c r="D393" t="s">
        <v>724</v>
      </c>
      <c r="E393" t="s">
        <v>715</v>
      </c>
      <c r="F393" t="s">
        <v>638</v>
      </c>
      <c r="G393" t="s">
        <v>715</v>
      </c>
      <c r="H393" t="s">
        <v>716</v>
      </c>
      <c r="I393" s="6" t="s">
        <v>640</v>
      </c>
      <c r="J393" s="6">
        <v>1</v>
      </c>
      <c r="L393" s="15">
        <v>1</v>
      </c>
      <c r="M393" s="7">
        <v>46037</v>
      </c>
      <c r="N393" s="7">
        <v>46063</v>
      </c>
      <c r="O393" s="7">
        <v>46063</v>
      </c>
      <c r="P393" s="7">
        <v>46063</v>
      </c>
      <c r="Q393" s="28" t="str">
        <f t="shared" si="207"/>
        <v>OK</v>
      </c>
      <c r="S393" s="6" t="str">
        <f t="shared" si="208"/>
        <v>LAG001</v>
      </c>
      <c r="T393" s="6">
        <v>1</v>
      </c>
      <c r="U393" s="6" t="s">
        <v>642</v>
      </c>
      <c r="V393" s="6" t="str">
        <f t="shared" si="209"/>
        <v>26/02</v>
      </c>
      <c r="AI393" s="23">
        <v>0</v>
      </c>
      <c r="AJ393" s="23">
        <v>0</v>
      </c>
      <c r="AK393" s="23">
        <v>0</v>
      </c>
      <c r="AL393" s="23">
        <v>0</v>
      </c>
      <c r="AM393" s="23">
        <v>1</v>
      </c>
      <c r="AN393" s="23">
        <v>0</v>
      </c>
      <c r="AO393" s="23">
        <v>0</v>
      </c>
      <c r="AP393" s="23">
        <v>0</v>
      </c>
      <c r="AQ393" s="23">
        <v>0</v>
      </c>
      <c r="AR393" s="23">
        <v>0</v>
      </c>
      <c r="AS393" s="23">
        <v>0</v>
      </c>
      <c r="AT393" s="23">
        <v>0</v>
      </c>
      <c r="AU393" s="23">
        <v>0</v>
      </c>
      <c r="AV393" s="23">
        <v>0</v>
      </c>
      <c r="AW393" s="23">
        <v>0</v>
      </c>
      <c r="AX393" s="23">
        <v>0</v>
      </c>
      <c r="AY393" s="23">
        <v>0</v>
      </c>
      <c r="AZ393" s="23">
        <v>0</v>
      </c>
      <c r="BA393" s="23">
        <v>0</v>
      </c>
      <c r="BB393" s="23">
        <v>0</v>
      </c>
      <c r="BC393" s="23">
        <v>0</v>
      </c>
      <c r="BD393" s="23">
        <v>0</v>
      </c>
      <c r="BE393" s="23">
        <v>0</v>
      </c>
      <c r="BF393" s="23">
        <v>0</v>
      </c>
      <c r="BG393" s="23">
        <v>0</v>
      </c>
      <c r="BH393" s="23">
        <v>0</v>
      </c>
      <c r="BI393" s="23">
        <v>0</v>
      </c>
      <c r="BJ393" s="23">
        <v>0</v>
      </c>
      <c r="BK393" s="23">
        <v>0</v>
      </c>
      <c r="BL393" s="23">
        <v>0</v>
      </c>
      <c r="BM393" s="23">
        <v>0</v>
      </c>
      <c r="BN393" s="23">
        <v>0</v>
      </c>
      <c r="BO393" s="23">
        <v>0</v>
      </c>
      <c r="BP393" s="23">
        <f t="shared" si="210"/>
        <v>0</v>
      </c>
      <c r="BQ393" s="23">
        <f t="shared" si="211"/>
        <v>0</v>
      </c>
      <c r="BR393" s="23">
        <f t="shared" si="212"/>
        <v>0</v>
      </c>
      <c r="BS393" s="23">
        <f t="shared" si="213"/>
        <v>0</v>
      </c>
      <c r="BT393" s="23">
        <f t="shared" si="214"/>
        <v>1</v>
      </c>
      <c r="BU393" s="23">
        <f t="shared" si="215"/>
        <v>0</v>
      </c>
      <c r="BV393" s="23">
        <f t="shared" si="216"/>
        <v>0</v>
      </c>
      <c r="BW393" s="23">
        <f t="shared" si="217"/>
        <v>0</v>
      </c>
      <c r="BX393" s="23">
        <f t="shared" si="218"/>
        <v>0</v>
      </c>
      <c r="BY393" s="23">
        <f t="shared" si="219"/>
        <v>0</v>
      </c>
      <c r="BZ393" s="23">
        <f t="shared" si="220"/>
        <v>0</v>
      </c>
      <c r="CA393" s="23">
        <f t="shared" si="221"/>
        <v>0</v>
      </c>
      <c r="CB393" s="23">
        <f t="shared" si="222"/>
        <v>0</v>
      </c>
      <c r="CC393" s="23">
        <f t="shared" si="223"/>
        <v>0</v>
      </c>
      <c r="CD393" s="23">
        <f t="shared" si="224"/>
        <v>0</v>
      </c>
      <c r="CE393" s="23">
        <f t="shared" si="225"/>
        <v>0</v>
      </c>
      <c r="CF393" s="23">
        <f t="shared" si="226"/>
        <v>0</v>
      </c>
      <c r="CG393" s="23">
        <f t="shared" si="227"/>
        <v>0</v>
      </c>
      <c r="CH393" s="23">
        <f t="shared" si="228"/>
        <v>0</v>
      </c>
      <c r="CI393" s="23">
        <f t="shared" si="229"/>
        <v>0</v>
      </c>
      <c r="CJ393" s="23">
        <f t="shared" si="230"/>
        <v>0</v>
      </c>
      <c r="CK393" s="23">
        <f t="shared" si="231"/>
        <v>0</v>
      </c>
      <c r="CL393" s="23">
        <f t="shared" si="232"/>
        <v>0</v>
      </c>
      <c r="CM393" s="23">
        <f t="shared" si="233"/>
        <v>0</v>
      </c>
      <c r="CN393" s="23">
        <f t="shared" si="234"/>
        <v>0</v>
      </c>
      <c r="CO393" s="23">
        <f t="shared" si="235"/>
        <v>0</v>
      </c>
      <c r="CP393" s="23">
        <f t="shared" si="236"/>
        <v>0</v>
      </c>
      <c r="CQ393" s="23">
        <f t="shared" si="237"/>
        <v>0</v>
      </c>
      <c r="CR393" s="23">
        <f t="shared" si="238"/>
        <v>0</v>
      </c>
      <c r="CS393" s="23">
        <f t="shared" si="239"/>
        <v>0</v>
      </c>
      <c r="CT393" s="23">
        <f t="shared" si="240"/>
        <v>0</v>
      </c>
      <c r="CU393" s="23">
        <f t="shared" si="241"/>
        <v>0</v>
      </c>
      <c r="CV393" s="23">
        <f t="shared" si="242"/>
        <v>0</v>
      </c>
    </row>
    <row r="394" spans="1:100" ht="13.5">
      <c r="A394" s="15">
        <v>42</v>
      </c>
      <c r="B394" s="27" t="s">
        <v>740</v>
      </c>
      <c r="C394" t="s">
        <v>635</v>
      </c>
      <c r="D394" t="s">
        <v>724</v>
      </c>
      <c r="E394" t="s">
        <v>715</v>
      </c>
      <c r="F394" t="s">
        <v>638</v>
      </c>
      <c r="G394" t="s">
        <v>715</v>
      </c>
      <c r="H394" t="s">
        <v>716</v>
      </c>
      <c r="I394" s="6" t="s">
        <v>640</v>
      </c>
      <c r="J394" s="6">
        <v>1</v>
      </c>
      <c r="L394" s="15">
        <v>1</v>
      </c>
      <c r="M394" s="7">
        <v>46037</v>
      </c>
      <c r="N394" s="7">
        <v>46063</v>
      </c>
      <c r="O394" s="7">
        <v>46063</v>
      </c>
      <c r="P394" s="7">
        <v>46063</v>
      </c>
      <c r="Q394" s="28" t="str">
        <f t="shared" si="207"/>
        <v>OK</v>
      </c>
      <c r="S394" s="6" t="str">
        <f t="shared" si="208"/>
        <v>LAG001</v>
      </c>
      <c r="T394" s="6">
        <v>1</v>
      </c>
      <c r="U394" s="6" t="s">
        <v>642</v>
      </c>
      <c r="V394" s="6" t="str">
        <f t="shared" si="209"/>
        <v>26/02</v>
      </c>
      <c r="AI394" s="23">
        <v>0</v>
      </c>
      <c r="AJ394" s="23">
        <v>0</v>
      </c>
      <c r="AK394" s="23">
        <v>0</v>
      </c>
      <c r="AL394" s="23">
        <v>0</v>
      </c>
      <c r="AM394" s="23">
        <v>1</v>
      </c>
      <c r="AN394" s="23">
        <v>0</v>
      </c>
      <c r="AO394" s="23">
        <v>0</v>
      </c>
      <c r="AP394" s="23">
        <v>0</v>
      </c>
      <c r="AQ394" s="23">
        <v>0</v>
      </c>
      <c r="AR394" s="23">
        <v>0</v>
      </c>
      <c r="AS394" s="23">
        <v>0</v>
      </c>
      <c r="AT394" s="23">
        <v>0</v>
      </c>
      <c r="AU394" s="23">
        <v>0</v>
      </c>
      <c r="AV394" s="23">
        <v>0</v>
      </c>
      <c r="AW394" s="23">
        <v>0</v>
      </c>
      <c r="AX394" s="23">
        <v>0</v>
      </c>
      <c r="AY394" s="23">
        <v>0</v>
      </c>
      <c r="AZ394" s="23">
        <v>0</v>
      </c>
      <c r="BA394" s="23">
        <v>0</v>
      </c>
      <c r="BB394" s="23">
        <v>0</v>
      </c>
      <c r="BC394" s="23">
        <v>0</v>
      </c>
      <c r="BD394" s="23">
        <v>0</v>
      </c>
      <c r="BE394" s="23">
        <v>0</v>
      </c>
      <c r="BF394" s="23">
        <v>0</v>
      </c>
      <c r="BG394" s="23">
        <v>0</v>
      </c>
      <c r="BH394" s="23">
        <v>0</v>
      </c>
      <c r="BI394" s="23">
        <v>0</v>
      </c>
      <c r="BJ394" s="23">
        <v>0</v>
      </c>
      <c r="BK394" s="23">
        <v>0</v>
      </c>
      <c r="BL394" s="23">
        <v>0</v>
      </c>
      <c r="BM394" s="23">
        <v>0</v>
      </c>
      <c r="BN394" s="23">
        <v>0</v>
      </c>
      <c r="BO394" s="23">
        <v>0</v>
      </c>
      <c r="BP394" s="23">
        <f t="shared" si="210"/>
        <v>0</v>
      </c>
      <c r="BQ394" s="23">
        <f t="shared" si="211"/>
        <v>0</v>
      </c>
      <c r="BR394" s="23">
        <f t="shared" si="212"/>
        <v>0</v>
      </c>
      <c r="BS394" s="23">
        <f t="shared" si="213"/>
        <v>0</v>
      </c>
      <c r="BT394" s="23">
        <f t="shared" si="214"/>
        <v>1</v>
      </c>
      <c r="BU394" s="23">
        <f t="shared" si="215"/>
        <v>0</v>
      </c>
      <c r="BV394" s="23">
        <f t="shared" si="216"/>
        <v>0</v>
      </c>
      <c r="BW394" s="23">
        <f t="shared" si="217"/>
        <v>0</v>
      </c>
      <c r="BX394" s="23">
        <f t="shared" si="218"/>
        <v>0</v>
      </c>
      <c r="BY394" s="23">
        <f t="shared" si="219"/>
        <v>0</v>
      </c>
      <c r="BZ394" s="23">
        <f t="shared" si="220"/>
        <v>0</v>
      </c>
      <c r="CA394" s="23">
        <f t="shared" si="221"/>
        <v>0</v>
      </c>
      <c r="CB394" s="23">
        <f t="shared" si="222"/>
        <v>0</v>
      </c>
      <c r="CC394" s="23">
        <f t="shared" si="223"/>
        <v>0</v>
      </c>
      <c r="CD394" s="23">
        <f t="shared" si="224"/>
        <v>0</v>
      </c>
      <c r="CE394" s="23">
        <f t="shared" si="225"/>
        <v>0</v>
      </c>
      <c r="CF394" s="23">
        <f t="shared" si="226"/>
        <v>0</v>
      </c>
      <c r="CG394" s="23">
        <f t="shared" si="227"/>
        <v>0</v>
      </c>
      <c r="CH394" s="23">
        <f t="shared" si="228"/>
        <v>0</v>
      </c>
      <c r="CI394" s="23">
        <f t="shared" si="229"/>
        <v>0</v>
      </c>
      <c r="CJ394" s="23">
        <f t="shared" si="230"/>
        <v>0</v>
      </c>
      <c r="CK394" s="23">
        <f t="shared" si="231"/>
        <v>0</v>
      </c>
      <c r="CL394" s="23">
        <f t="shared" si="232"/>
        <v>0</v>
      </c>
      <c r="CM394" s="23">
        <f t="shared" si="233"/>
        <v>0</v>
      </c>
      <c r="CN394" s="23">
        <f t="shared" si="234"/>
        <v>0</v>
      </c>
      <c r="CO394" s="23">
        <f t="shared" si="235"/>
        <v>0</v>
      </c>
      <c r="CP394" s="23">
        <f t="shared" si="236"/>
        <v>0</v>
      </c>
      <c r="CQ394" s="23">
        <f t="shared" si="237"/>
        <v>0</v>
      </c>
      <c r="CR394" s="23">
        <f t="shared" si="238"/>
        <v>0</v>
      </c>
      <c r="CS394" s="23">
        <f t="shared" si="239"/>
        <v>0</v>
      </c>
      <c r="CT394" s="23">
        <f t="shared" si="240"/>
        <v>0</v>
      </c>
      <c r="CU394" s="23">
        <f t="shared" si="241"/>
        <v>0</v>
      </c>
      <c r="CV394" s="23">
        <f t="shared" si="242"/>
        <v>0</v>
      </c>
    </row>
    <row r="395" spans="1:100" ht="13.5">
      <c r="A395" s="15">
        <v>44</v>
      </c>
      <c r="B395" s="27" t="s">
        <v>742</v>
      </c>
      <c r="C395" t="s">
        <v>635</v>
      </c>
      <c r="D395" t="s">
        <v>724</v>
      </c>
      <c r="E395" t="s">
        <v>715</v>
      </c>
      <c r="F395" t="s">
        <v>638</v>
      </c>
      <c r="G395" t="s">
        <v>715</v>
      </c>
      <c r="H395" t="s">
        <v>716</v>
      </c>
      <c r="I395" s="6" t="s">
        <v>640</v>
      </c>
      <c r="J395" s="6">
        <v>1</v>
      </c>
      <c r="L395" s="15">
        <v>2</v>
      </c>
      <c r="M395" s="7">
        <v>46037</v>
      </c>
      <c r="N395" s="7">
        <v>46063</v>
      </c>
      <c r="O395" s="7">
        <v>46063</v>
      </c>
      <c r="P395" s="7">
        <v>46063</v>
      </c>
      <c r="Q395" s="28" t="str">
        <f t="shared" si="207"/>
        <v>OK</v>
      </c>
      <c r="S395" s="6" t="str">
        <f t="shared" si="208"/>
        <v>LAG001</v>
      </c>
      <c r="T395" s="6">
        <v>2</v>
      </c>
      <c r="U395" s="6" t="s">
        <v>642</v>
      </c>
      <c r="V395" s="6" t="str">
        <f t="shared" si="209"/>
        <v>26/02</v>
      </c>
      <c r="AI395" s="23">
        <v>0</v>
      </c>
      <c r="AJ395" s="23">
        <v>0</v>
      </c>
      <c r="AK395" s="23">
        <v>0</v>
      </c>
      <c r="AL395" s="23">
        <v>0</v>
      </c>
      <c r="AM395" s="23">
        <v>1</v>
      </c>
      <c r="AN395" s="23">
        <v>0</v>
      </c>
      <c r="AO395" s="23">
        <v>0</v>
      </c>
      <c r="AP395" s="23">
        <v>0</v>
      </c>
      <c r="AQ395" s="23">
        <v>0</v>
      </c>
      <c r="AR395" s="23">
        <v>0</v>
      </c>
      <c r="AS395" s="23">
        <v>0</v>
      </c>
      <c r="AT395" s="23">
        <v>0</v>
      </c>
      <c r="AU395" s="23">
        <v>0</v>
      </c>
      <c r="AV395" s="23">
        <v>0</v>
      </c>
      <c r="AW395" s="23">
        <v>0</v>
      </c>
      <c r="AX395" s="23">
        <v>0</v>
      </c>
      <c r="AY395" s="23">
        <v>0</v>
      </c>
      <c r="AZ395" s="23">
        <v>0</v>
      </c>
      <c r="BA395" s="23">
        <v>0</v>
      </c>
      <c r="BB395" s="23">
        <v>0</v>
      </c>
      <c r="BC395" s="23">
        <v>0</v>
      </c>
      <c r="BD395" s="23">
        <v>0</v>
      </c>
      <c r="BE395" s="23">
        <v>0</v>
      </c>
      <c r="BF395" s="23">
        <v>0</v>
      </c>
      <c r="BG395" s="23">
        <v>0</v>
      </c>
      <c r="BH395" s="23">
        <v>0</v>
      </c>
      <c r="BI395" s="23">
        <v>0</v>
      </c>
      <c r="BJ395" s="23">
        <v>0</v>
      </c>
      <c r="BK395" s="23">
        <v>0</v>
      </c>
      <c r="BL395" s="23">
        <v>0</v>
      </c>
      <c r="BM395" s="23">
        <v>0</v>
      </c>
      <c r="BN395" s="23">
        <v>0</v>
      </c>
      <c r="BO395" s="23">
        <v>0</v>
      </c>
      <c r="BP395" s="23">
        <f t="shared" si="210"/>
        <v>0</v>
      </c>
      <c r="BQ395" s="23">
        <f t="shared" si="211"/>
        <v>0</v>
      </c>
      <c r="BR395" s="23">
        <f t="shared" si="212"/>
        <v>0</v>
      </c>
      <c r="BS395" s="23">
        <f t="shared" si="213"/>
        <v>0</v>
      </c>
      <c r="BT395" s="23">
        <f t="shared" si="214"/>
        <v>2</v>
      </c>
      <c r="BU395" s="23">
        <f t="shared" si="215"/>
        <v>0</v>
      </c>
      <c r="BV395" s="23">
        <f t="shared" si="216"/>
        <v>0</v>
      </c>
      <c r="BW395" s="23">
        <f t="shared" si="217"/>
        <v>0</v>
      </c>
      <c r="BX395" s="23">
        <f t="shared" si="218"/>
        <v>0</v>
      </c>
      <c r="BY395" s="23">
        <f t="shared" si="219"/>
        <v>0</v>
      </c>
      <c r="BZ395" s="23">
        <f t="shared" si="220"/>
        <v>0</v>
      </c>
      <c r="CA395" s="23">
        <f t="shared" si="221"/>
        <v>0</v>
      </c>
      <c r="CB395" s="23">
        <f t="shared" si="222"/>
        <v>0</v>
      </c>
      <c r="CC395" s="23">
        <f t="shared" si="223"/>
        <v>0</v>
      </c>
      <c r="CD395" s="23">
        <f t="shared" si="224"/>
        <v>0</v>
      </c>
      <c r="CE395" s="23">
        <f t="shared" si="225"/>
        <v>0</v>
      </c>
      <c r="CF395" s="23">
        <f t="shared" si="226"/>
        <v>0</v>
      </c>
      <c r="CG395" s="23">
        <f t="shared" si="227"/>
        <v>0</v>
      </c>
      <c r="CH395" s="23">
        <f t="shared" si="228"/>
        <v>0</v>
      </c>
      <c r="CI395" s="23">
        <f t="shared" si="229"/>
        <v>0</v>
      </c>
      <c r="CJ395" s="23">
        <f t="shared" si="230"/>
        <v>0</v>
      </c>
      <c r="CK395" s="23">
        <f t="shared" si="231"/>
        <v>0</v>
      </c>
      <c r="CL395" s="23">
        <f t="shared" si="232"/>
        <v>0</v>
      </c>
      <c r="CM395" s="23">
        <f t="shared" si="233"/>
        <v>0</v>
      </c>
      <c r="CN395" s="23">
        <f t="shared" si="234"/>
        <v>0</v>
      </c>
      <c r="CO395" s="23">
        <f t="shared" si="235"/>
        <v>0</v>
      </c>
      <c r="CP395" s="23">
        <f t="shared" si="236"/>
        <v>0</v>
      </c>
      <c r="CQ395" s="23">
        <f t="shared" si="237"/>
        <v>0</v>
      </c>
      <c r="CR395" s="23">
        <f t="shared" si="238"/>
        <v>0</v>
      </c>
      <c r="CS395" s="23">
        <f t="shared" si="239"/>
        <v>0</v>
      </c>
      <c r="CT395" s="23">
        <f t="shared" si="240"/>
        <v>0</v>
      </c>
      <c r="CU395" s="23">
        <f t="shared" si="241"/>
        <v>0</v>
      </c>
      <c r="CV395" s="23">
        <f t="shared" si="242"/>
        <v>0</v>
      </c>
    </row>
    <row r="396" spans="1:100" ht="13.5">
      <c r="A396" s="15">
        <v>47</v>
      </c>
      <c r="B396" s="27" t="s">
        <v>743</v>
      </c>
      <c r="C396" t="s">
        <v>635</v>
      </c>
      <c r="D396" t="s">
        <v>724</v>
      </c>
      <c r="E396" t="s">
        <v>715</v>
      </c>
      <c r="F396" t="s">
        <v>638</v>
      </c>
      <c r="G396" t="s">
        <v>715</v>
      </c>
      <c r="H396" t="s">
        <v>716</v>
      </c>
      <c r="I396" s="6" t="s">
        <v>640</v>
      </c>
      <c r="J396" s="6">
        <v>1</v>
      </c>
      <c r="L396" s="15">
        <v>2</v>
      </c>
      <c r="M396" s="7">
        <v>46038</v>
      </c>
      <c r="N396" s="7">
        <v>46065</v>
      </c>
      <c r="O396" s="7">
        <v>46065</v>
      </c>
      <c r="P396" s="7">
        <v>46065</v>
      </c>
      <c r="Q396" s="28" t="str">
        <f t="shared" si="207"/>
        <v>OK</v>
      </c>
      <c r="S396" s="6" t="str">
        <f t="shared" si="208"/>
        <v>LAG001</v>
      </c>
      <c r="T396" s="6">
        <v>2</v>
      </c>
      <c r="U396" s="6" t="s">
        <v>642</v>
      </c>
      <c r="V396" s="6" t="str">
        <f t="shared" si="209"/>
        <v>26/02</v>
      </c>
      <c r="AI396" s="23">
        <v>0</v>
      </c>
      <c r="AJ396" s="23">
        <v>0</v>
      </c>
      <c r="AK396" s="23">
        <v>0</v>
      </c>
      <c r="AL396" s="23">
        <v>0</v>
      </c>
      <c r="AM396" s="23">
        <v>1</v>
      </c>
      <c r="AN396" s="23">
        <v>0</v>
      </c>
      <c r="AO396" s="23">
        <v>0</v>
      </c>
      <c r="AP396" s="23">
        <v>0</v>
      </c>
      <c r="AQ396" s="23">
        <v>0</v>
      </c>
      <c r="AR396" s="23">
        <v>0</v>
      </c>
      <c r="AS396" s="23">
        <v>0</v>
      </c>
      <c r="AT396" s="23">
        <v>0</v>
      </c>
      <c r="AU396" s="23">
        <v>0</v>
      </c>
      <c r="AV396" s="23">
        <v>0</v>
      </c>
      <c r="AW396" s="23">
        <v>0</v>
      </c>
      <c r="AX396" s="23">
        <v>0</v>
      </c>
      <c r="AY396" s="23">
        <v>0</v>
      </c>
      <c r="AZ396" s="23">
        <v>0</v>
      </c>
      <c r="BA396" s="23">
        <v>0</v>
      </c>
      <c r="BB396" s="23">
        <v>0</v>
      </c>
      <c r="BC396" s="23">
        <v>0</v>
      </c>
      <c r="BD396" s="23">
        <v>0</v>
      </c>
      <c r="BE396" s="23">
        <v>0</v>
      </c>
      <c r="BF396" s="23">
        <v>0</v>
      </c>
      <c r="BG396" s="23">
        <v>0</v>
      </c>
      <c r="BH396" s="23">
        <v>0</v>
      </c>
      <c r="BI396" s="23">
        <v>0</v>
      </c>
      <c r="BJ396" s="23">
        <v>0</v>
      </c>
      <c r="BK396" s="23">
        <v>0</v>
      </c>
      <c r="BL396" s="23">
        <v>0</v>
      </c>
      <c r="BM396" s="23">
        <v>0</v>
      </c>
      <c r="BN396" s="23">
        <v>0</v>
      </c>
      <c r="BO396" s="23">
        <v>0</v>
      </c>
      <c r="BP396" s="23">
        <f t="shared" si="210"/>
        <v>0</v>
      </c>
      <c r="BQ396" s="23">
        <f t="shared" si="211"/>
        <v>0</v>
      </c>
      <c r="BR396" s="23">
        <f t="shared" si="212"/>
        <v>0</v>
      </c>
      <c r="BS396" s="23">
        <f t="shared" si="213"/>
        <v>0</v>
      </c>
      <c r="BT396" s="23">
        <f t="shared" si="214"/>
        <v>2</v>
      </c>
      <c r="BU396" s="23">
        <f t="shared" si="215"/>
        <v>0</v>
      </c>
      <c r="BV396" s="23">
        <f t="shared" si="216"/>
        <v>0</v>
      </c>
      <c r="BW396" s="23">
        <f t="shared" si="217"/>
        <v>0</v>
      </c>
      <c r="BX396" s="23">
        <f t="shared" si="218"/>
        <v>0</v>
      </c>
      <c r="BY396" s="23">
        <f t="shared" si="219"/>
        <v>0</v>
      </c>
      <c r="BZ396" s="23">
        <f t="shared" si="220"/>
        <v>0</v>
      </c>
      <c r="CA396" s="23">
        <f t="shared" si="221"/>
        <v>0</v>
      </c>
      <c r="CB396" s="23">
        <f t="shared" si="222"/>
        <v>0</v>
      </c>
      <c r="CC396" s="23">
        <f t="shared" si="223"/>
        <v>0</v>
      </c>
      <c r="CD396" s="23">
        <f t="shared" si="224"/>
        <v>0</v>
      </c>
      <c r="CE396" s="23">
        <f t="shared" si="225"/>
        <v>0</v>
      </c>
      <c r="CF396" s="23">
        <f t="shared" si="226"/>
        <v>0</v>
      </c>
      <c r="CG396" s="23">
        <f t="shared" si="227"/>
        <v>0</v>
      </c>
      <c r="CH396" s="23">
        <f t="shared" si="228"/>
        <v>0</v>
      </c>
      <c r="CI396" s="23">
        <f t="shared" si="229"/>
        <v>0</v>
      </c>
      <c r="CJ396" s="23">
        <f t="shared" si="230"/>
        <v>0</v>
      </c>
      <c r="CK396" s="23">
        <f t="shared" si="231"/>
        <v>0</v>
      </c>
      <c r="CL396" s="23">
        <f t="shared" si="232"/>
        <v>0</v>
      </c>
      <c r="CM396" s="23">
        <f t="shared" si="233"/>
        <v>0</v>
      </c>
      <c r="CN396" s="23">
        <f t="shared" si="234"/>
        <v>0</v>
      </c>
      <c r="CO396" s="23">
        <f t="shared" si="235"/>
        <v>0</v>
      </c>
      <c r="CP396" s="23">
        <f t="shared" si="236"/>
        <v>0</v>
      </c>
      <c r="CQ396" s="23">
        <f t="shared" si="237"/>
        <v>0</v>
      </c>
      <c r="CR396" s="23">
        <f t="shared" si="238"/>
        <v>0</v>
      </c>
      <c r="CS396" s="23">
        <f t="shared" si="239"/>
        <v>0</v>
      </c>
      <c r="CT396" s="23">
        <f t="shared" si="240"/>
        <v>0</v>
      </c>
      <c r="CU396" s="23">
        <f t="shared" si="241"/>
        <v>0</v>
      </c>
      <c r="CV396" s="23">
        <f t="shared" si="242"/>
        <v>0</v>
      </c>
    </row>
    <row r="397" spans="1:100" ht="13.5">
      <c r="A397" s="15">
        <v>48</v>
      </c>
      <c r="B397" s="27" t="s">
        <v>744</v>
      </c>
      <c r="C397" t="s">
        <v>635</v>
      </c>
      <c r="D397" t="s">
        <v>724</v>
      </c>
      <c r="E397" t="s">
        <v>715</v>
      </c>
      <c r="F397" t="s">
        <v>638</v>
      </c>
      <c r="G397" t="s">
        <v>715</v>
      </c>
      <c r="H397" t="s">
        <v>716</v>
      </c>
      <c r="I397" s="6" t="s">
        <v>640</v>
      </c>
      <c r="J397" s="6">
        <v>1</v>
      </c>
      <c r="L397" s="15">
        <v>2</v>
      </c>
      <c r="M397" s="7">
        <v>46038</v>
      </c>
      <c r="N397" s="7">
        <v>46065</v>
      </c>
      <c r="O397" s="7">
        <v>46065</v>
      </c>
      <c r="P397" s="7">
        <v>46065</v>
      </c>
      <c r="Q397" s="28" t="str">
        <f t="shared" si="207"/>
        <v>OK</v>
      </c>
      <c r="S397" s="6" t="str">
        <f t="shared" si="208"/>
        <v>LAG001</v>
      </c>
      <c r="T397" s="6">
        <v>2</v>
      </c>
      <c r="U397" s="6" t="s">
        <v>642</v>
      </c>
      <c r="V397" s="6" t="str">
        <f t="shared" si="209"/>
        <v>26/02</v>
      </c>
      <c r="AI397" s="23">
        <v>0</v>
      </c>
      <c r="AJ397" s="23">
        <v>0</v>
      </c>
      <c r="AK397" s="23">
        <v>0</v>
      </c>
      <c r="AL397" s="23">
        <v>0</v>
      </c>
      <c r="AM397" s="23">
        <v>1</v>
      </c>
      <c r="AN397" s="23">
        <v>0</v>
      </c>
      <c r="AO397" s="23">
        <v>0</v>
      </c>
      <c r="AP397" s="23">
        <v>0</v>
      </c>
      <c r="AQ397" s="23">
        <v>0</v>
      </c>
      <c r="AR397" s="23">
        <v>0</v>
      </c>
      <c r="AS397" s="23">
        <v>0</v>
      </c>
      <c r="AT397" s="23">
        <v>0</v>
      </c>
      <c r="AU397" s="23">
        <v>0</v>
      </c>
      <c r="AV397" s="23">
        <v>0</v>
      </c>
      <c r="AW397" s="23">
        <v>0</v>
      </c>
      <c r="AX397" s="23">
        <v>0</v>
      </c>
      <c r="AY397" s="23">
        <v>0</v>
      </c>
      <c r="AZ397" s="23">
        <v>0</v>
      </c>
      <c r="BA397" s="23">
        <v>0</v>
      </c>
      <c r="BB397" s="23">
        <v>0</v>
      </c>
      <c r="BC397" s="23">
        <v>0</v>
      </c>
      <c r="BD397" s="23">
        <v>0</v>
      </c>
      <c r="BE397" s="23">
        <v>0</v>
      </c>
      <c r="BF397" s="23">
        <v>0</v>
      </c>
      <c r="BG397" s="23">
        <v>0</v>
      </c>
      <c r="BH397" s="23">
        <v>0</v>
      </c>
      <c r="BI397" s="23">
        <v>0</v>
      </c>
      <c r="BJ397" s="23">
        <v>0</v>
      </c>
      <c r="BK397" s="23">
        <v>0</v>
      </c>
      <c r="BL397" s="23">
        <v>0</v>
      </c>
      <c r="BM397" s="23">
        <v>0</v>
      </c>
      <c r="BN397" s="23">
        <v>0</v>
      </c>
      <c r="BO397" s="23">
        <v>0</v>
      </c>
      <c r="BP397" s="23">
        <f t="shared" si="210"/>
        <v>0</v>
      </c>
      <c r="BQ397" s="23">
        <f t="shared" si="211"/>
        <v>0</v>
      </c>
      <c r="BR397" s="23">
        <f t="shared" si="212"/>
        <v>0</v>
      </c>
      <c r="BS397" s="23">
        <f t="shared" si="213"/>
        <v>0</v>
      </c>
      <c r="BT397" s="23">
        <f t="shared" si="214"/>
        <v>2</v>
      </c>
      <c r="BU397" s="23">
        <f t="shared" si="215"/>
        <v>0</v>
      </c>
      <c r="BV397" s="23">
        <f t="shared" si="216"/>
        <v>0</v>
      </c>
      <c r="BW397" s="23">
        <f t="shared" si="217"/>
        <v>0</v>
      </c>
      <c r="BX397" s="23">
        <f t="shared" si="218"/>
        <v>0</v>
      </c>
      <c r="BY397" s="23">
        <f t="shared" si="219"/>
        <v>0</v>
      </c>
      <c r="BZ397" s="23">
        <f t="shared" si="220"/>
        <v>0</v>
      </c>
      <c r="CA397" s="23">
        <f t="shared" si="221"/>
        <v>0</v>
      </c>
      <c r="CB397" s="23">
        <f t="shared" si="222"/>
        <v>0</v>
      </c>
      <c r="CC397" s="23">
        <f t="shared" si="223"/>
        <v>0</v>
      </c>
      <c r="CD397" s="23">
        <f t="shared" si="224"/>
        <v>0</v>
      </c>
      <c r="CE397" s="23">
        <f t="shared" si="225"/>
        <v>0</v>
      </c>
      <c r="CF397" s="23">
        <f t="shared" si="226"/>
        <v>0</v>
      </c>
      <c r="CG397" s="23">
        <f t="shared" si="227"/>
        <v>0</v>
      </c>
      <c r="CH397" s="23">
        <f t="shared" si="228"/>
        <v>0</v>
      </c>
      <c r="CI397" s="23">
        <f t="shared" si="229"/>
        <v>0</v>
      </c>
      <c r="CJ397" s="23">
        <f t="shared" si="230"/>
        <v>0</v>
      </c>
      <c r="CK397" s="23">
        <f t="shared" si="231"/>
        <v>0</v>
      </c>
      <c r="CL397" s="23">
        <f t="shared" si="232"/>
        <v>0</v>
      </c>
      <c r="CM397" s="23">
        <f t="shared" si="233"/>
        <v>0</v>
      </c>
      <c r="CN397" s="23">
        <f t="shared" si="234"/>
        <v>0</v>
      </c>
      <c r="CO397" s="23">
        <f t="shared" si="235"/>
        <v>0</v>
      </c>
      <c r="CP397" s="23">
        <f t="shared" si="236"/>
        <v>0</v>
      </c>
      <c r="CQ397" s="23">
        <f t="shared" si="237"/>
        <v>0</v>
      </c>
      <c r="CR397" s="23">
        <f t="shared" si="238"/>
        <v>0</v>
      </c>
      <c r="CS397" s="23">
        <f t="shared" si="239"/>
        <v>0</v>
      </c>
      <c r="CT397" s="23">
        <f t="shared" si="240"/>
        <v>0</v>
      </c>
      <c r="CU397" s="23">
        <f t="shared" si="241"/>
        <v>0</v>
      </c>
      <c r="CV397" s="23">
        <f t="shared" si="242"/>
        <v>0</v>
      </c>
    </row>
    <row r="398" spans="1:100" ht="13.5">
      <c r="A398" s="15">
        <v>49</v>
      </c>
      <c r="B398" s="27" t="s">
        <v>745</v>
      </c>
      <c r="C398" t="s">
        <v>635</v>
      </c>
      <c r="D398" t="s">
        <v>724</v>
      </c>
      <c r="E398" t="s">
        <v>715</v>
      </c>
      <c r="F398" t="s">
        <v>638</v>
      </c>
      <c r="G398" t="s">
        <v>715</v>
      </c>
      <c r="H398" t="s">
        <v>716</v>
      </c>
      <c r="I398" s="6" t="s">
        <v>640</v>
      </c>
      <c r="J398" s="6">
        <v>1</v>
      </c>
      <c r="L398" s="15">
        <v>3</v>
      </c>
      <c r="M398" s="7">
        <v>46038</v>
      </c>
      <c r="N398" s="7">
        <v>46066</v>
      </c>
      <c r="O398" s="7">
        <v>46066</v>
      </c>
      <c r="P398" s="7">
        <v>46066</v>
      </c>
      <c r="Q398" s="28" t="str">
        <f t="shared" si="207"/>
        <v>OK</v>
      </c>
      <c r="S398" s="6" t="str">
        <f t="shared" si="208"/>
        <v>LAG001</v>
      </c>
      <c r="T398" s="6">
        <v>3</v>
      </c>
      <c r="U398" s="6" t="s">
        <v>642</v>
      </c>
      <c r="V398" s="6" t="str">
        <f t="shared" si="209"/>
        <v>26/02</v>
      </c>
      <c r="AI398" s="23">
        <v>0</v>
      </c>
      <c r="AJ398" s="23">
        <v>0</v>
      </c>
      <c r="AK398" s="23">
        <v>0</v>
      </c>
      <c r="AL398" s="23">
        <v>0</v>
      </c>
      <c r="AM398" s="23">
        <v>1</v>
      </c>
      <c r="AN398" s="23">
        <v>0</v>
      </c>
      <c r="AO398" s="23">
        <v>0</v>
      </c>
      <c r="AP398" s="23">
        <v>0</v>
      </c>
      <c r="AQ398" s="23">
        <v>0</v>
      </c>
      <c r="AR398" s="23">
        <v>0</v>
      </c>
      <c r="AS398" s="23">
        <v>0</v>
      </c>
      <c r="AT398" s="23">
        <v>0</v>
      </c>
      <c r="AU398" s="23">
        <v>0</v>
      </c>
      <c r="AV398" s="23">
        <v>0</v>
      </c>
      <c r="AW398" s="23">
        <v>0</v>
      </c>
      <c r="AX398" s="23">
        <v>0</v>
      </c>
      <c r="AY398" s="23">
        <v>0</v>
      </c>
      <c r="AZ398" s="23">
        <v>0</v>
      </c>
      <c r="BA398" s="23">
        <v>0</v>
      </c>
      <c r="BB398" s="23">
        <v>0</v>
      </c>
      <c r="BC398" s="23">
        <v>0</v>
      </c>
      <c r="BD398" s="23">
        <v>0</v>
      </c>
      <c r="BE398" s="23">
        <v>0</v>
      </c>
      <c r="BF398" s="23">
        <v>0</v>
      </c>
      <c r="BG398" s="23">
        <v>0</v>
      </c>
      <c r="BH398" s="23">
        <v>0</v>
      </c>
      <c r="BI398" s="23">
        <v>0</v>
      </c>
      <c r="BJ398" s="23">
        <v>0</v>
      </c>
      <c r="BK398" s="23">
        <v>0</v>
      </c>
      <c r="BL398" s="23">
        <v>0</v>
      </c>
      <c r="BM398" s="23">
        <v>0</v>
      </c>
      <c r="BN398" s="23">
        <v>0</v>
      </c>
      <c r="BO398" s="23">
        <v>0</v>
      </c>
      <c r="BP398" s="23">
        <f t="shared" si="210"/>
        <v>0</v>
      </c>
      <c r="BQ398" s="23">
        <f t="shared" si="211"/>
        <v>0</v>
      </c>
      <c r="BR398" s="23">
        <f t="shared" si="212"/>
        <v>0</v>
      </c>
      <c r="BS398" s="23">
        <f t="shared" si="213"/>
        <v>0</v>
      </c>
      <c r="BT398" s="23">
        <f t="shared" si="214"/>
        <v>3</v>
      </c>
      <c r="BU398" s="23">
        <f t="shared" si="215"/>
        <v>0</v>
      </c>
      <c r="BV398" s="23">
        <f t="shared" si="216"/>
        <v>0</v>
      </c>
      <c r="BW398" s="23">
        <f t="shared" si="217"/>
        <v>0</v>
      </c>
      <c r="BX398" s="23">
        <f t="shared" si="218"/>
        <v>0</v>
      </c>
      <c r="BY398" s="23">
        <f t="shared" si="219"/>
        <v>0</v>
      </c>
      <c r="BZ398" s="23">
        <f t="shared" si="220"/>
        <v>0</v>
      </c>
      <c r="CA398" s="23">
        <f t="shared" si="221"/>
        <v>0</v>
      </c>
      <c r="CB398" s="23">
        <f t="shared" si="222"/>
        <v>0</v>
      </c>
      <c r="CC398" s="23">
        <f t="shared" si="223"/>
        <v>0</v>
      </c>
      <c r="CD398" s="23">
        <f t="shared" si="224"/>
        <v>0</v>
      </c>
      <c r="CE398" s="23">
        <f t="shared" si="225"/>
        <v>0</v>
      </c>
      <c r="CF398" s="23">
        <f t="shared" si="226"/>
        <v>0</v>
      </c>
      <c r="CG398" s="23">
        <f t="shared" si="227"/>
        <v>0</v>
      </c>
      <c r="CH398" s="23">
        <f t="shared" si="228"/>
        <v>0</v>
      </c>
      <c r="CI398" s="23">
        <f t="shared" si="229"/>
        <v>0</v>
      </c>
      <c r="CJ398" s="23">
        <f t="shared" si="230"/>
        <v>0</v>
      </c>
      <c r="CK398" s="23">
        <f t="shared" si="231"/>
        <v>0</v>
      </c>
      <c r="CL398" s="23">
        <f t="shared" si="232"/>
        <v>0</v>
      </c>
      <c r="CM398" s="23">
        <f t="shared" si="233"/>
        <v>0</v>
      </c>
      <c r="CN398" s="23">
        <f t="shared" si="234"/>
        <v>0</v>
      </c>
      <c r="CO398" s="23">
        <f t="shared" si="235"/>
        <v>0</v>
      </c>
      <c r="CP398" s="23">
        <f t="shared" si="236"/>
        <v>0</v>
      </c>
      <c r="CQ398" s="23">
        <f t="shared" si="237"/>
        <v>0</v>
      </c>
      <c r="CR398" s="23">
        <f t="shared" si="238"/>
        <v>0</v>
      </c>
      <c r="CS398" s="23">
        <f t="shared" si="239"/>
        <v>0</v>
      </c>
      <c r="CT398" s="23">
        <f t="shared" si="240"/>
        <v>0</v>
      </c>
      <c r="CU398" s="23">
        <f t="shared" si="241"/>
        <v>0</v>
      </c>
      <c r="CV398" s="23">
        <f t="shared" si="242"/>
        <v>0</v>
      </c>
    </row>
    <row r="399" spans="1:100" ht="13.5">
      <c r="A399" s="15">
        <v>50</v>
      </c>
      <c r="B399" s="27" t="s">
        <v>746</v>
      </c>
      <c r="C399" t="s">
        <v>635</v>
      </c>
      <c r="D399" t="s">
        <v>724</v>
      </c>
      <c r="E399" t="s">
        <v>715</v>
      </c>
      <c r="F399" t="s">
        <v>638</v>
      </c>
      <c r="G399" t="s">
        <v>715</v>
      </c>
      <c r="H399" t="s">
        <v>716</v>
      </c>
      <c r="I399" s="6" t="s">
        <v>640</v>
      </c>
      <c r="J399" s="6">
        <v>1</v>
      </c>
      <c r="L399" s="15">
        <v>3</v>
      </c>
      <c r="M399" s="7">
        <v>46042</v>
      </c>
      <c r="N399" s="7">
        <v>46069</v>
      </c>
      <c r="O399" s="7">
        <v>46069</v>
      </c>
      <c r="P399" s="7">
        <v>46069</v>
      </c>
      <c r="Q399" s="28" t="str">
        <f t="shared" si="207"/>
        <v>OK</v>
      </c>
      <c r="S399" s="6" t="str">
        <f t="shared" si="208"/>
        <v>LAG001</v>
      </c>
      <c r="T399" s="6">
        <v>3</v>
      </c>
      <c r="U399" s="6" t="s">
        <v>642</v>
      </c>
      <c r="V399" s="6" t="str">
        <f t="shared" si="209"/>
        <v>26/02</v>
      </c>
      <c r="AI399" s="23">
        <v>0</v>
      </c>
      <c r="AJ399" s="23">
        <v>0</v>
      </c>
      <c r="AK399" s="23">
        <v>0</v>
      </c>
      <c r="AL399" s="23">
        <v>0</v>
      </c>
      <c r="AM399" s="23">
        <v>1</v>
      </c>
      <c r="AN399" s="23">
        <v>0</v>
      </c>
      <c r="AO399" s="23">
        <v>0</v>
      </c>
      <c r="AP399" s="23">
        <v>0</v>
      </c>
      <c r="AQ399" s="23">
        <v>0</v>
      </c>
      <c r="AR399" s="23">
        <v>0</v>
      </c>
      <c r="AS399" s="23">
        <v>0</v>
      </c>
      <c r="AT399" s="23">
        <v>0</v>
      </c>
      <c r="AU399" s="23">
        <v>0</v>
      </c>
      <c r="AV399" s="23">
        <v>0</v>
      </c>
      <c r="AW399" s="23">
        <v>0</v>
      </c>
      <c r="AX399" s="23">
        <v>0</v>
      </c>
      <c r="AY399" s="23">
        <v>0</v>
      </c>
      <c r="AZ399" s="23">
        <v>0</v>
      </c>
      <c r="BA399" s="23">
        <v>0</v>
      </c>
      <c r="BB399" s="23">
        <v>0</v>
      </c>
      <c r="BC399" s="23">
        <v>0</v>
      </c>
      <c r="BD399" s="23">
        <v>0</v>
      </c>
      <c r="BE399" s="23">
        <v>0</v>
      </c>
      <c r="BF399" s="23">
        <v>0</v>
      </c>
      <c r="BG399" s="23">
        <v>0</v>
      </c>
      <c r="BH399" s="23">
        <v>0</v>
      </c>
      <c r="BI399" s="23">
        <v>0</v>
      </c>
      <c r="BJ399" s="23">
        <v>0</v>
      </c>
      <c r="BK399" s="23">
        <v>0</v>
      </c>
      <c r="BL399" s="23">
        <v>0</v>
      </c>
      <c r="BM399" s="23">
        <v>0</v>
      </c>
      <c r="BN399" s="23">
        <v>0</v>
      </c>
      <c r="BO399" s="23">
        <v>0</v>
      </c>
      <c r="BP399" s="23">
        <f t="shared" si="210"/>
        <v>0</v>
      </c>
      <c r="BQ399" s="23">
        <f t="shared" si="211"/>
        <v>0</v>
      </c>
      <c r="BR399" s="23">
        <f t="shared" si="212"/>
        <v>0</v>
      </c>
      <c r="BS399" s="23">
        <f t="shared" si="213"/>
        <v>0</v>
      </c>
      <c r="BT399" s="23">
        <f t="shared" si="214"/>
        <v>3</v>
      </c>
      <c r="BU399" s="23">
        <f t="shared" si="215"/>
        <v>0</v>
      </c>
      <c r="BV399" s="23">
        <f t="shared" si="216"/>
        <v>0</v>
      </c>
      <c r="BW399" s="23">
        <f t="shared" si="217"/>
        <v>0</v>
      </c>
      <c r="BX399" s="23">
        <f t="shared" si="218"/>
        <v>0</v>
      </c>
      <c r="BY399" s="23">
        <f t="shared" si="219"/>
        <v>0</v>
      </c>
      <c r="BZ399" s="23">
        <f t="shared" si="220"/>
        <v>0</v>
      </c>
      <c r="CA399" s="23">
        <f t="shared" si="221"/>
        <v>0</v>
      </c>
      <c r="CB399" s="23">
        <f t="shared" si="222"/>
        <v>0</v>
      </c>
      <c r="CC399" s="23">
        <f t="shared" si="223"/>
        <v>0</v>
      </c>
      <c r="CD399" s="23">
        <f t="shared" si="224"/>
        <v>0</v>
      </c>
      <c r="CE399" s="23">
        <f t="shared" si="225"/>
        <v>0</v>
      </c>
      <c r="CF399" s="23">
        <f t="shared" si="226"/>
        <v>0</v>
      </c>
      <c r="CG399" s="23">
        <f t="shared" si="227"/>
        <v>0</v>
      </c>
      <c r="CH399" s="23">
        <f t="shared" si="228"/>
        <v>0</v>
      </c>
      <c r="CI399" s="23">
        <f t="shared" si="229"/>
        <v>0</v>
      </c>
      <c r="CJ399" s="23">
        <f t="shared" si="230"/>
        <v>0</v>
      </c>
      <c r="CK399" s="23">
        <f t="shared" si="231"/>
        <v>0</v>
      </c>
      <c r="CL399" s="23">
        <f t="shared" si="232"/>
        <v>0</v>
      </c>
      <c r="CM399" s="23">
        <f t="shared" si="233"/>
        <v>0</v>
      </c>
      <c r="CN399" s="23">
        <f t="shared" si="234"/>
        <v>0</v>
      </c>
      <c r="CO399" s="23">
        <f t="shared" si="235"/>
        <v>0</v>
      </c>
      <c r="CP399" s="23">
        <f t="shared" si="236"/>
        <v>0</v>
      </c>
      <c r="CQ399" s="23">
        <f t="shared" si="237"/>
        <v>0</v>
      </c>
      <c r="CR399" s="23">
        <f t="shared" si="238"/>
        <v>0</v>
      </c>
      <c r="CS399" s="23">
        <f t="shared" si="239"/>
        <v>0</v>
      </c>
      <c r="CT399" s="23">
        <f t="shared" si="240"/>
        <v>0</v>
      </c>
      <c r="CU399" s="23">
        <f t="shared" si="241"/>
        <v>0</v>
      </c>
      <c r="CV399" s="23">
        <f t="shared" si="242"/>
        <v>0</v>
      </c>
    </row>
    <row r="400" spans="1:100" ht="13.5">
      <c r="A400" s="15">
        <v>52</v>
      </c>
      <c r="B400" s="27" t="s">
        <v>747</v>
      </c>
      <c r="C400" t="s">
        <v>679</v>
      </c>
      <c r="D400" t="s">
        <v>714</v>
      </c>
      <c r="E400" t="s">
        <v>715</v>
      </c>
      <c r="F400" t="s">
        <v>638</v>
      </c>
      <c r="G400" t="s">
        <v>715</v>
      </c>
      <c r="H400" t="s">
        <v>716</v>
      </c>
      <c r="I400" s="6" t="s">
        <v>640</v>
      </c>
      <c r="J400" s="6">
        <v>0</v>
      </c>
      <c r="L400" s="15">
        <v>2</v>
      </c>
      <c r="M400" s="7">
        <v>46042</v>
      </c>
      <c r="N400" s="7">
        <v>46069</v>
      </c>
      <c r="O400" s="7">
        <v>46069</v>
      </c>
      <c r="P400" s="7">
        <v>46069</v>
      </c>
      <c r="Q400" s="28" t="str">
        <f t="shared" si="207"/>
        <v>OK</v>
      </c>
      <c r="S400" s="6" t="str">
        <f t="shared" si="208"/>
        <v>LAG001</v>
      </c>
      <c r="T400" s="6">
        <v>2</v>
      </c>
      <c r="U400" s="6" t="s">
        <v>642</v>
      </c>
      <c r="V400" s="6" t="str">
        <f t="shared" si="209"/>
        <v>26/02</v>
      </c>
      <c r="AI400" s="23">
        <v>0</v>
      </c>
      <c r="AJ400" s="23">
        <v>0</v>
      </c>
      <c r="AK400" s="23">
        <v>0</v>
      </c>
      <c r="AL400" s="23">
        <v>0</v>
      </c>
      <c r="AM400" s="23">
        <v>1</v>
      </c>
      <c r="AN400" s="23">
        <v>0</v>
      </c>
      <c r="AO400" s="23">
        <v>0</v>
      </c>
      <c r="AP400" s="23">
        <v>0</v>
      </c>
      <c r="AQ400" s="23">
        <v>0</v>
      </c>
      <c r="AR400" s="23">
        <v>0</v>
      </c>
      <c r="AS400" s="23">
        <v>0</v>
      </c>
      <c r="AT400" s="23">
        <v>0</v>
      </c>
      <c r="AU400" s="23">
        <v>0</v>
      </c>
      <c r="AV400" s="23">
        <v>0</v>
      </c>
      <c r="AW400" s="23">
        <v>0</v>
      </c>
      <c r="AX400" s="23">
        <v>0</v>
      </c>
      <c r="AY400" s="23">
        <v>0</v>
      </c>
      <c r="AZ400" s="23">
        <v>0</v>
      </c>
      <c r="BA400" s="23">
        <v>0</v>
      </c>
      <c r="BB400" s="23">
        <v>0</v>
      </c>
      <c r="BC400" s="23">
        <v>0</v>
      </c>
      <c r="BD400" s="23">
        <v>0</v>
      </c>
      <c r="BE400" s="23">
        <v>0</v>
      </c>
      <c r="BF400" s="23">
        <v>0</v>
      </c>
      <c r="BG400" s="23">
        <v>0</v>
      </c>
      <c r="BH400" s="23">
        <v>0</v>
      </c>
      <c r="BI400" s="23">
        <v>0</v>
      </c>
      <c r="BJ400" s="23">
        <v>0</v>
      </c>
      <c r="BK400" s="23">
        <v>0</v>
      </c>
      <c r="BL400" s="23">
        <v>0</v>
      </c>
      <c r="BM400" s="23">
        <v>0</v>
      </c>
      <c r="BN400" s="23">
        <v>0</v>
      </c>
      <c r="BO400" s="23">
        <v>0</v>
      </c>
      <c r="BP400" s="23">
        <f t="shared" si="210"/>
        <v>0</v>
      </c>
      <c r="BQ400" s="23">
        <f t="shared" si="211"/>
        <v>0</v>
      </c>
      <c r="BR400" s="23">
        <f t="shared" si="212"/>
        <v>0</v>
      </c>
      <c r="BS400" s="23">
        <f t="shared" si="213"/>
        <v>0</v>
      </c>
      <c r="BT400" s="23">
        <f t="shared" si="214"/>
        <v>2</v>
      </c>
      <c r="BU400" s="23">
        <f t="shared" si="215"/>
        <v>0</v>
      </c>
      <c r="BV400" s="23">
        <f t="shared" si="216"/>
        <v>0</v>
      </c>
      <c r="BW400" s="23">
        <f t="shared" si="217"/>
        <v>0</v>
      </c>
      <c r="BX400" s="23">
        <f t="shared" si="218"/>
        <v>0</v>
      </c>
      <c r="BY400" s="23">
        <f t="shared" si="219"/>
        <v>0</v>
      </c>
      <c r="BZ400" s="23">
        <f t="shared" si="220"/>
        <v>0</v>
      </c>
      <c r="CA400" s="23">
        <f t="shared" si="221"/>
        <v>0</v>
      </c>
      <c r="CB400" s="23">
        <f t="shared" si="222"/>
        <v>0</v>
      </c>
      <c r="CC400" s="23">
        <f t="shared" si="223"/>
        <v>0</v>
      </c>
      <c r="CD400" s="23">
        <f t="shared" si="224"/>
        <v>0</v>
      </c>
      <c r="CE400" s="23">
        <f t="shared" si="225"/>
        <v>0</v>
      </c>
      <c r="CF400" s="23">
        <f t="shared" si="226"/>
        <v>0</v>
      </c>
      <c r="CG400" s="23">
        <f t="shared" si="227"/>
        <v>0</v>
      </c>
      <c r="CH400" s="23">
        <f t="shared" si="228"/>
        <v>0</v>
      </c>
      <c r="CI400" s="23">
        <f t="shared" si="229"/>
        <v>0</v>
      </c>
      <c r="CJ400" s="23">
        <f t="shared" si="230"/>
        <v>0</v>
      </c>
      <c r="CK400" s="23">
        <f t="shared" si="231"/>
        <v>0</v>
      </c>
      <c r="CL400" s="23">
        <f t="shared" si="232"/>
        <v>0</v>
      </c>
      <c r="CM400" s="23">
        <f t="shared" si="233"/>
        <v>0</v>
      </c>
      <c r="CN400" s="23">
        <f t="shared" si="234"/>
        <v>0</v>
      </c>
      <c r="CO400" s="23">
        <f t="shared" si="235"/>
        <v>0</v>
      </c>
      <c r="CP400" s="23">
        <f t="shared" si="236"/>
        <v>0</v>
      </c>
      <c r="CQ400" s="23">
        <f t="shared" si="237"/>
        <v>0</v>
      </c>
      <c r="CR400" s="23">
        <f t="shared" si="238"/>
        <v>0</v>
      </c>
      <c r="CS400" s="23">
        <f t="shared" si="239"/>
        <v>0</v>
      </c>
      <c r="CT400" s="23">
        <f t="shared" si="240"/>
        <v>0</v>
      </c>
      <c r="CU400" s="23">
        <f t="shared" si="241"/>
        <v>0</v>
      </c>
      <c r="CV400" s="23">
        <f t="shared" si="242"/>
        <v>0</v>
      </c>
    </row>
    <row r="401" spans="1:100" ht="13.5">
      <c r="A401" s="15">
        <v>54</v>
      </c>
      <c r="B401" s="27" t="s">
        <v>748</v>
      </c>
      <c r="C401" t="s">
        <v>635</v>
      </c>
      <c r="D401" t="s">
        <v>714</v>
      </c>
      <c r="E401" t="s">
        <v>715</v>
      </c>
      <c r="F401" t="s">
        <v>638</v>
      </c>
      <c r="G401" t="s">
        <v>715</v>
      </c>
      <c r="H401" t="s">
        <v>716</v>
      </c>
      <c r="I401" s="6" t="s">
        <v>640</v>
      </c>
      <c r="J401" s="6">
        <v>1</v>
      </c>
      <c r="L401" s="15">
        <v>5</v>
      </c>
      <c r="M401" s="7">
        <v>46044</v>
      </c>
      <c r="N401" s="7">
        <v>46071</v>
      </c>
      <c r="O401" s="7">
        <v>46071</v>
      </c>
      <c r="P401" s="7">
        <v>46071</v>
      </c>
      <c r="Q401" s="28" t="str">
        <f t="shared" si="207"/>
        <v>OK</v>
      </c>
      <c r="S401" s="6" t="str">
        <f t="shared" si="208"/>
        <v>LAG001</v>
      </c>
      <c r="T401" s="6">
        <v>5</v>
      </c>
      <c r="U401" s="6" t="s">
        <v>642</v>
      </c>
      <c r="V401" s="6" t="str">
        <f t="shared" si="209"/>
        <v>26/02</v>
      </c>
      <c r="AI401" s="23">
        <v>0</v>
      </c>
      <c r="AJ401" s="23">
        <v>0</v>
      </c>
      <c r="AK401" s="23">
        <v>0</v>
      </c>
      <c r="AL401" s="23">
        <v>0</v>
      </c>
      <c r="AM401" s="23">
        <v>1</v>
      </c>
      <c r="AN401" s="23">
        <v>0</v>
      </c>
      <c r="AO401" s="23">
        <v>0</v>
      </c>
      <c r="AP401" s="23">
        <v>0</v>
      </c>
      <c r="AQ401" s="23">
        <v>0</v>
      </c>
      <c r="AR401" s="23">
        <v>0</v>
      </c>
      <c r="AS401" s="23">
        <v>0</v>
      </c>
      <c r="AT401" s="23">
        <v>0</v>
      </c>
      <c r="AU401" s="23">
        <v>0</v>
      </c>
      <c r="AV401" s="23">
        <v>0</v>
      </c>
      <c r="AW401" s="23">
        <v>0</v>
      </c>
      <c r="AX401" s="23">
        <v>0</v>
      </c>
      <c r="AY401" s="23">
        <v>0</v>
      </c>
      <c r="AZ401" s="23">
        <v>0</v>
      </c>
      <c r="BA401" s="23">
        <v>0</v>
      </c>
      <c r="BB401" s="23">
        <v>0</v>
      </c>
      <c r="BC401" s="23">
        <v>0</v>
      </c>
      <c r="BD401" s="23">
        <v>0</v>
      </c>
      <c r="BE401" s="23">
        <v>0</v>
      </c>
      <c r="BF401" s="23">
        <v>0</v>
      </c>
      <c r="BG401" s="23">
        <v>0</v>
      </c>
      <c r="BH401" s="23">
        <v>0</v>
      </c>
      <c r="BI401" s="23">
        <v>0</v>
      </c>
      <c r="BJ401" s="23">
        <v>0</v>
      </c>
      <c r="BK401" s="23">
        <v>0</v>
      </c>
      <c r="BL401" s="23">
        <v>0</v>
      </c>
      <c r="BM401" s="23">
        <v>0</v>
      </c>
      <c r="BN401" s="23">
        <v>0</v>
      </c>
      <c r="BO401" s="23">
        <v>0</v>
      </c>
      <c r="BP401" s="23">
        <f t="shared" si="210"/>
        <v>0</v>
      </c>
      <c r="BQ401" s="23">
        <f t="shared" si="211"/>
        <v>0</v>
      </c>
      <c r="BR401" s="23">
        <f t="shared" si="212"/>
        <v>0</v>
      </c>
      <c r="BS401" s="23">
        <f t="shared" si="213"/>
        <v>0</v>
      </c>
      <c r="BT401" s="23">
        <f t="shared" si="214"/>
        <v>5</v>
      </c>
      <c r="BU401" s="23">
        <f t="shared" si="215"/>
        <v>0</v>
      </c>
      <c r="BV401" s="23">
        <f t="shared" si="216"/>
        <v>0</v>
      </c>
      <c r="BW401" s="23">
        <f t="shared" si="217"/>
        <v>0</v>
      </c>
      <c r="BX401" s="23">
        <f t="shared" si="218"/>
        <v>0</v>
      </c>
      <c r="BY401" s="23">
        <f t="shared" si="219"/>
        <v>0</v>
      </c>
      <c r="BZ401" s="23">
        <f t="shared" si="220"/>
        <v>0</v>
      </c>
      <c r="CA401" s="23">
        <f t="shared" si="221"/>
        <v>0</v>
      </c>
      <c r="CB401" s="23">
        <f t="shared" si="222"/>
        <v>0</v>
      </c>
      <c r="CC401" s="23">
        <f t="shared" si="223"/>
        <v>0</v>
      </c>
      <c r="CD401" s="23">
        <f t="shared" si="224"/>
        <v>0</v>
      </c>
      <c r="CE401" s="23">
        <f t="shared" si="225"/>
        <v>0</v>
      </c>
      <c r="CF401" s="23">
        <f t="shared" si="226"/>
        <v>0</v>
      </c>
      <c r="CG401" s="23">
        <f t="shared" si="227"/>
        <v>0</v>
      </c>
      <c r="CH401" s="23">
        <f t="shared" si="228"/>
        <v>0</v>
      </c>
      <c r="CI401" s="23">
        <f t="shared" si="229"/>
        <v>0</v>
      </c>
      <c r="CJ401" s="23">
        <f t="shared" si="230"/>
        <v>0</v>
      </c>
      <c r="CK401" s="23">
        <f t="shared" si="231"/>
        <v>0</v>
      </c>
      <c r="CL401" s="23">
        <f t="shared" si="232"/>
        <v>0</v>
      </c>
      <c r="CM401" s="23">
        <f t="shared" si="233"/>
        <v>0</v>
      </c>
      <c r="CN401" s="23">
        <f t="shared" si="234"/>
        <v>0</v>
      </c>
      <c r="CO401" s="23">
        <f t="shared" si="235"/>
        <v>0</v>
      </c>
      <c r="CP401" s="23">
        <f t="shared" si="236"/>
        <v>0</v>
      </c>
      <c r="CQ401" s="23">
        <f t="shared" si="237"/>
        <v>0</v>
      </c>
      <c r="CR401" s="23">
        <f t="shared" si="238"/>
        <v>0</v>
      </c>
      <c r="CS401" s="23">
        <f t="shared" si="239"/>
        <v>0</v>
      </c>
      <c r="CT401" s="23">
        <f t="shared" si="240"/>
        <v>0</v>
      </c>
      <c r="CU401" s="23">
        <f t="shared" si="241"/>
        <v>0</v>
      </c>
      <c r="CV401" s="23">
        <f t="shared" si="242"/>
        <v>0</v>
      </c>
    </row>
    <row r="402" spans="1:100" ht="14.25" thickBot="1">
      <c r="A402" s="31">
        <v>55</v>
      </c>
      <c r="B402" s="32" t="s">
        <v>749</v>
      </c>
      <c r="C402" s="33" t="s">
        <v>644</v>
      </c>
      <c r="D402" s="33" t="s">
        <v>714</v>
      </c>
      <c r="E402" s="33" t="s">
        <v>715</v>
      </c>
      <c r="F402" s="33" t="s">
        <v>638</v>
      </c>
      <c r="G402" s="33" t="s">
        <v>715</v>
      </c>
      <c r="H402" s="33" t="s">
        <v>716</v>
      </c>
      <c r="I402" s="34" t="s">
        <v>640</v>
      </c>
      <c r="J402" s="34">
        <v>0</v>
      </c>
      <c r="K402" s="33"/>
      <c r="L402" s="31">
        <v>2</v>
      </c>
      <c r="M402" s="35">
        <v>46056</v>
      </c>
      <c r="N402" s="35">
        <v>46084</v>
      </c>
      <c r="O402" s="35">
        <v>46084</v>
      </c>
      <c r="P402" s="35">
        <v>46084</v>
      </c>
      <c r="Q402" s="36" t="str">
        <f t="shared" si="207"/>
        <v>OK</v>
      </c>
      <c r="R402" s="34"/>
      <c r="S402" s="34" t="str">
        <f t="shared" si="208"/>
        <v>LAG001</v>
      </c>
      <c r="T402" s="34">
        <v>2</v>
      </c>
      <c r="U402" s="34" t="s">
        <v>642</v>
      </c>
      <c r="V402" s="34" t="str">
        <f t="shared" si="209"/>
        <v>26/03</v>
      </c>
      <c r="AI402" s="23">
        <v>0</v>
      </c>
      <c r="AJ402" s="23">
        <v>0</v>
      </c>
      <c r="AK402" s="23">
        <v>0</v>
      </c>
      <c r="AL402" s="23">
        <v>0</v>
      </c>
      <c r="AM402" s="23">
        <v>1</v>
      </c>
      <c r="AN402" s="23">
        <v>0</v>
      </c>
      <c r="AO402" s="23">
        <v>0</v>
      </c>
      <c r="AP402" s="23">
        <v>0</v>
      </c>
      <c r="AQ402" s="23">
        <v>0</v>
      </c>
      <c r="AR402" s="23">
        <v>0</v>
      </c>
      <c r="AS402" s="23">
        <v>0</v>
      </c>
      <c r="AT402" s="23">
        <v>0</v>
      </c>
      <c r="AU402" s="23">
        <v>0</v>
      </c>
      <c r="AV402" s="23">
        <v>0</v>
      </c>
      <c r="AW402" s="23">
        <v>0</v>
      </c>
      <c r="AX402" s="23">
        <v>0</v>
      </c>
      <c r="AY402" s="23">
        <v>0</v>
      </c>
      <c r="AZ402" s="23">
        <v>0</v>
      </c>
      <c r="BA402" s="23">
        <v>0</v>
      </c>
      <c r="BB402" s="23">
        <v>0</v>
      </c>
      <c r="BC402" s="23">
        <v>0</v>
      </c>
      <c r="BD402" s="23">
        <v>0</v>
      </c>
      <c r="BE402" s="23">
        <v>0</v>
      </c>
      <c r="BF402" s="23">
        <v>0</v>
      </c>
      <c r="BG402" s="23">
        <v>0</v>
      </c>
      <c r="BH402" s="23">
        <v>0</v>
      </c>
      <c r="BI402" s="23">
        <v>0</v>
      </c>
      <c r="BJ402" s="23">
        <v>0</v>
      </c>
      <c r="BK402" s="23">
        <v>0</v>
      </c>
      <c r="BL402" s="23">
        <v>0</v>
      </c>
      <c r="BM402" s="23">
        <v>0</v>
      </c>
      <c r="BN402" s="23">
        <v>0</v>
      </c>
      <c r="BO402" s="23">
        <v>0</v>
      </c>
      <c r="BP402" s="23">
        <f t="shared" si="210"/>
        <v>0</v>
      </c>
      <c r="BQ402" s="23">
        <f t="shared" si="211"/>
        <v>0</v>
      </c>
      <c r="BR402" s="23">
        <f t="shared" si="212"/>
        <v>0</v>
      </c>
      <c r="BS402" s="23">
        <f t="shared" si="213"/>
        <v>0</v>
      </c>
      <c r="BT402" s="23">
        <f t="shared" si="214"/>
        <v>2</v>
      </c>
      <c r="BU402" s="23">
        <f t="shared" si="215"/>
        <v>0</v>
      </c>
      <c r="BV402" s="23">
        <f t="shared" si="216"/>
        <v>0</v>
      </c>
      <c r="BW402" s="23">
        <f t="shared" si="217"/>
        <v>0</v>
      </c>
      <c r="BX402" s="23">
        <f t="shared" si="218"/>
        <v>0</v>
      </c>
      <c r="BY402" s="23">
        <f t="shared" si="219"/>
        <v>0</v>
      </c>
      <c r="BZ402" s="23">
        <f t="shared" si="220"/>
        <v>0</v>
      </c>
      <c r="CA402" s="23">
        <f t="shared" si="221"/>
        <v>0</v>
      </c>
      <c r="CB402" s="23">
        <f t="shared" si="222"/>
        <v>0</v>
      </c>
      <c r="CC402" s="23">
        <f t="shared" si="223"/>
        <v>0</v>
      </c>
      <c r="CD402" s="23">
        <f t="shared" si="224"/>
        <v>0</v>
      </c>
      <c r="CE402" s="23">
        <f t="shared" si="225"/>
        <v>0</v>
      </c>
      <c r="CF402" s="23">
        <f t="shared" si="226"/>
        <v>0</v>
      </c>
      <c r="CG402" s="23">
        <f t="shared" si="227"/>
        <v>0</v>
      </c>
      <c r="CH402" s="23">
        <f t="shared" si="228"/>
        <v>0</v>
      </c>
      <c r="CI402" s="23">
        <f t="shared" si="229"/>
        <v>0</v>
      </c>
      <c r="CJ402" s="23">
        <f t="shared" si="230"/>
        <v>0</v>
      </c>
      <c r="CK402" s="23">
        <f t="shared" si="231"/>
        <v>0</v>
      </c>
      <c r="CL402" s="23">
        <f t="shared" si="232"/>
        <v>0</v>
      </c>
      <c r="CM402" s="23">
        <f t="shared" si="233"/>
        <v>0</v>
      </c>
      <c r="CN402" s="23">
        <f t="shared" si="234"/>
        <v>0</v>
      </c>
      <c r="CO402" s="23">
        <f t="shared" si="235"/>
        <v>0</v>
      </c>
      <c r="CP402" s="23">
        <f t="shared" si="236"/>
        <v>0</v>
      </c>
      <c r="CQ402" s="23">
        <f t="shared" si="237"/>
        <v>0</v>
      </c>
      <c r="CR402" s="23">
        <f t="shared" si="238"/>
        <v>0</v>
      </c>
      <c r="CS402" s="23">
        <f t="shared" si="239"/>
        <v>0</v>
      </c>
      <c r="CT402" s="23">
        <f t="shared" si="240"/>
        <v>0</v>
      </c>
      <c r="CU402" s="23">
        <f t="shared" si="241"/>
        <v>0</v>
      </c>
      <c r="CV402" s="23">
        <f t="shared" si="242"/>
        <v>0</v>
      </c>
    </row>
    <row r="403" spans="1:100" ht="15" thickTop="1" thickBot="1">
      <c r="A403" s="31">
        <v>53</v>
      </c>
      <c r="B403" s="32" t="s">
        <v>750</v>
      </c>
      <c r="C403" s="33" t="s">
        <v>635</v>
      </c>
      <c r="D403" s="33" t="s">
        <v>751</v>
      </c>
      <c r="E403" s="33" t="s">
        <v>752</v>
      </c>
      <c r="F403" s="33" t="s">
        <v>638</v>
      </c>
      <c r="G403" s="33" t="s">
        <v>752</v>
      </c>
      <c r="H403" s="33" t="s">
        <v>753</v>
      </c>
      <c r="I403" s="34" t="s">
        <v>640</v>
      </c>
      <c r="J403" s="34">
        <v>1</v>
      </c>
      <c r="K403" s="33"/>
      <c r="L403" s="31">
        <v>5</v>
      </c>
      <c r="M403" s="35">
        <v>46042</v>
      </c>
      <c r="N403" s="35">
        <v>46070</v>
      </c>
      <c r="O403" s="35">
        <v>46070</v>
      </c>
      <c r="P403" s="35">
        <v>46070</v>
      </c>
      <c r="Q403" s="36" t="str">
        <f t="shared" si="207"/>
        <v>OK</v>
      </c>
      <c r="R403" s="34"/>
      <c r="S403" s="34" t="str">
        <f t="shared" si="208"/>
        <v>LBL002</v>
      </c>
      <c r="T403" s="34">
        <v>5</v>
      </c>
      <c r="U403" s="34" t="s">
        <v>642</v>
      </c>
      <c r="V403" s="34" t="str">
        <f t="shared" si="209"/>
        <v>26/02</v>
      </c>
      <c r="AI403" s="23">
        <v>0</v>
      </c>
      <c r="AJ403" s="23">
        <v>0</v>
      </c>
      <c r="AK403" s="23">
        <v>0</v>
      </c>
      <c r="AL403" s="23">
        <v>0</v>
      </c>
      <c r="AM403" s="23">
        <v>0</v>
      </c>
      <c r="AN403" s="23">
        <v>0</v>
      </c>
      <c r="AO403" s="23">
        <v>0</v>
      </c>
      <c r="AP403" s="23">
        <v>0</v>
      </c>
      <c r="AQ403" s="23">
        <v>0</v>
      </c>
      <c r="AR403" s="23">
        <v>0</v>
      </c>
      <c r="AS403" s="23">
        <v>1</v>
      </c>
      <c r="AT403" s="23">
        <v>0</v>
      </c>
      <c r="AU403" s="23">
        <v>0</v>
      </c>
      <c r="AV403" s="23">
        <v>0</v>
      </c>
      <c r="AW403" s="23">
        <v>0</v>
      </c>
      <c r="AX403" s="23">
        <v>0</v>
      </c>
      <c r="AY403" s="23">
        <v>0</v>
      </c>
      <c r="AZ403" s="23">
        <v>0</v>
      </c>
      <c r="BA403" s="23">
        <v>0</v>
      </c>
      <c r="BB403" s="23">
        <v>0</v>
      </c>
      <c r="BC403" s="23">
        <v>0</v>
      </c>
      <c r="BD403" s="23">
        <v>0</v>
      </c>
      <c r="BE403" s="23">
        <v>0</v>
      </c>
      <c r="BF403" s="23">
        <v>0</v>
      </c>
      <c r="BG403" s="23">
        <v>0</v>
      </c>
      <c r="BH403" s="23">
        <v>0</v>
      </c>
      <c r="BI403" s="23">
        <v>0</v>
      </c>
      <c r="BJ403" s="23">
        <v>0</v>
      </c>
      <c r="BK403" s="23">
        <v>0</v>
      </c>
      <c r="BL403" s="23">
        <v>0</v>
      </c>
      <c r="BM403" s="23">
        <v>0</v>
      </c>
      <c r="BN403" s="23">
        <v>0</v>
      </c>
      <c r="BO403" s="23">
        <v>0</v>
      </c>
      <c r="BP403" s="23">
        <f t="shared" si="210"/>
        <v>0</v>
      </c>
      <c r="BQ403" s="23">
        <f t="shared" si="211"/>
        <v>0</v>
      </c>
      <c r="BR403" s="23">
        <f t="shared" si="212"/>
        <v>0</v>
      </c>
      <c r="BS403" s="23">
        <f t="shared" si="213"/>
        <v>0</v>
      </c>
      <c r="BT403" s="23">
        <f t="shared" si="214"/>
        <v>0</v>
      </c>
      <c r="BU403" s="23">
        <f t="shared" si="215"/>
        <v>0</v>
      </c>
      <c r="BV403" s="23">
        <f t="shared" si="216"/>
        <v>0</v>
      </c>
      <c r="BW403" s="23">
        <f t="shared" si="217"/>
        <v>0</v>
      </c>
      <c r="BX403" s="23">
        <f t="shared" si="218"/>
        <v>0</v>
      </c>
      <c r="BY403" s="23">
        <f t="shared" si="219"/>
        <v>0</v>
      </c>
      <c r="BZ403" s="23">
        <f t="shared" si="220"/>
        <v>5</v>
      </c>
      <c r="CA403" s="23">
        <f t="shared" si="221"/>
        <v>0</v>
      </c>
      <c r="CB403" s="23">
        <f t="shared" si="222"/>
        <v>0</v>
      </c>
      <c r="CC403" s="23">
        <f t="shared" si="223"/>
        <v>0</v>
      </c>
      <c r="CD403" s="23">
        <f t="shared" si="224"/>
        <v>0</v>
      </c>
      <c r="CE403" s="23">
        <f t="shared" si="225"/>
        <v>0</v>
      </c>
      <c r="CF403" s="23">
        <f t="shared" si="226"/>
        <v>0</v>
      </c>
      <c r="CG403" s="23">
        <f t="shared" si="227"/>
        <v>0</v>
      </c>
      <c r="CH403" s="23">
        <f t="shared" si="228"/>
        <v>0</v>
      </c>
      <c r="CI403" s="23">
        <f t="shared" si="229"/>
        <v>0</v>
      </c>
      <c r="CJ403" s="23">
        <f t="shared" si="230"/>
        <v>0</v>
      </c>
      <c r="CK403" s="23">
        <f t="shared" si="231"/>
        <v>0</v>
      </c>
      <c r="CL403" s="23">
        <f t="shared" si="232"/>
        <v>0</v>
      </c>
      <c r="CM403" s="23">
        <f t="shared" si="233"/>
        <v>0</v>
      </c>
      <c r="CN403" s="23">
        <f t="shared" si="234"/>
        <v>0</v>
      </c>
      <c r="CO403" s="23">
        <f t="shared" si="235"/>
        <v>0</v>
      </c>
      <c r="CP403" s="23">
        <f t="shared" si="236"/>
        <v>0</v>
      </c>
      <c r="CQ403" s="23">
        <f t="shared" si="237"/>
        <v>0</v>
      </c>
      <c r="CR403" s="23">
        <f t="shared" si="238"/>
        <v>0</v>
      </c>
      <c r="CS403" s="23">
        <f t="shared" si="239"/>
        <v>0</v>
      </c>
      <c r="CT403" s="23">
        <f t="shared" si="240"/>
        <v>0</v>
      </c>
      <c r="CU403" s="23">
        <f t="shared" si="241"/>
        <v>0</v>
      </c>
      <c r="CV403" s="23">
        <f t="shared" si="242"/>
        <v>0</v>
      </c>
    </row>
    <row r="404" spans="1:100" ht="14.25" thickTop="1">
      <c r="A404" s="15">
        <v>1</v>
      </c>
      <c r="B404" s="27" t="s">
        <v>754</v>
      </c>
      <c r="C404" t="s">
        <v>635</v>
      </c>
      <c r="D404" t="s">
        <v>755</v>
      </c>
      <c r="E404" t="s">
        <v>756</v>
      </c>
      <c r="F404" t="s">
        <v>638</v>
      </c>
      <c r="G404" t="s">
        <v>756</v>
      </c>
      <c r="H404" t="s">
        <v>757</v>
      </c>
      <c r="I404" s="6" t="s">
        <v>640</v>
      </c>
      <c r="J404" s="6">
        <v>0</v>
      </c>
      <c r="L404" s="15">
        <v>3</v>
      </c>
      <c r="M404" s="7">
        <v>46010</v>
      </c>
      <c r="N404" s="7">
        <v>46044</v>
      </c>
      <c r="O404" s="7">
        <v>46044</v>
      </c>
      <c r="P404" s="7">
        <v>46044</v>
      </c>
      <c r="Q404" s="28" t="str">
        <f t="shared" si="207"/>
        <v>OK</v>
      </c>
      <c r="R404" s="6" t="s">
        <v>758</v>
      </c>
      <c r="S404" s="6" t="str">
        <f t="shared" si="208"/>
        <v>LAN001</v>
      </c>
      <c r="T404" s="6">
        <v>3</v>
      </c>
      <c r="U404" s="6" t="s">
        <v>759</v>
      </c>
      <c r="V404" s="6" t="str">
        <f t="shared" si="209"/>
        <v>26/01</v>
      </c>
      <c r="AI404" s="23">
        <v>0</v>
      </c>
      <c r="AJ404" s="23">
        <v>0</v>
      </c>
      <c r="AK404" s="23">
        <v>0</v>
      </c>
      <c r="AL404" s="23">
        <v>0</v>
      </c>
      <c r="AM404" s="23">
        <v>0</v>
      </c>
      <c r="AN404" s="23">
        <v>0</v>
      </c>
      <c r="AO404" s="23">
        <v>0</v>
      </c>
      <c r="AP404" s="23">
        <v>0</v>
      </c>
      <c r="AQ404" s="23">
        <v>0</v>
      </c>
      <c r="AR404" s="23">
        <v>0</v>
      </c>
      <c r="AS404" s="23">
        <v>0</v>
      </c>
      <c r="AT404" s="23">
        <v>0</v>
      </c>
      <c r="AU404" s="23">
        <v>0</v>
      </c>
      <c r="AV404" s="23">
        <v>0</v>
      </c>
      <c r="AW404" s="23">
        <v>0</v>
      </c>
      <c r="AX404" s="23">
        <v>0</v>
      </c>
      <c r="AY404" s="23">
        <v>0</v>
      </c>
      <c r="AZ404" s="23">
        <v>0</v>
      </c>
      <c r="BA404" s="23">
        <v>0</v>
      </c>
      <c r="BB404" s="23">
        <v>0</v>
      </c>
      <c r="BC404" s="23">
        <v>0</v>
      </c>
      <c r="BD404" s="23">
        <v>0</v>
      </c>
      <c r="BE404" s="23">
        <v>0</v>
      </c>
      <c r="BF404" s="23">
        <v>0</v>
      </c>
      <c r="BG404" s="23">
        <v>0</v>
      </c>
      <c r="BH404" s="23">
        <v>0</v>
      </c>
      <c r="BI404" s="23">
        <v>0</v>
      </c>
      <c r="BJ404" s="23">
        <v>0</v>
      </c>
      <c r="BK404" s="23">
        <v>0</v>
      </c>
      <c r="BL404" s="23">
        <v>1</v>
      </c>
      <c r="BM404" s="23">
        <v>0</v>
      </c>
      <c r="BN404" s="23">
        <v>0</v>
      </c>
      <c r="BO404" s="23">
        <v>0</v>
      </c>
      <c r="BP404" s="23">
        <f t="shared" si="210"/>
        <v>0</v>
      </c>
      <c r="BQ404" s="23">
        <f t="shared" si="211"/>
        <v>0</v>
      </c>
      <c r="BR404" s="23">
        <f t="shared" si="212"/>
        <v>0</v>
      </c>
      <c r="BS404" s="23">
        <f t="shared" si="213"/>
        <v>0</v>
      </c>
      <c r="BT404" s="23">
        <f t="shared" si="214"/>
        <v>0</v>
      </c>
      <c r="BU404" s="23">
        <f t="shared" si="215"/>
        <v>0</v>
      </c>
      <c r="BV404" s="23">
        <f t="shared" si="216"/>
        <v>0</v>
      </c>
      <c r="BW404" s="23">
        <f t="shared" si="217"/>
        <v>0</v>
      </c>
      <c r="BX404" s="23">
        <f t="shared" si="218"/>
        <v>0</v>
      </c>
      <c r="BY404" s="23">
        <f t="shared" si="219"/>
        <v>0</v>
      </c>
      <c r="BZ404" s="23">
        <f t="shared" si="220"/>
        <v>0</v>
      </c>
      <c r="CA404" s="23">
        <f t="shared" si="221"/>
        <v>0</v>
      </c>
      <c r="CB404" s="23">
        <f t="shared" si="222"/>
        <v>0</v>
      </c>
      <c r="CC404" s="23">
        <f t="shared" si="223"/>
        <v>0</v>
      </c>
      <c r="CD404" s="23">
        <f t="shared" si="224"/>
        <v>0</v>
      </c>
      <c r="CE404" s="23">
        <f t="shared" si="225"/>
        <v>0</v>
      </c>
      <c r="CF404" s="23">
        <f t="shared" si="226"/>
        <v>0</v>
      </c>
      <c r="CG404" s="23">
        <f t="shared" si="227"/>
        <v>0</v>
      </c>
      <c r="CH404" s="23">
        <f t="shared" si="228"/>
        <v>0</v>
      </c>
      <c r="CI404" s="23">
        <f t="shared" si="229"/>
        <v>0</v>
      </c>
      <c r="CJ404" s="23">
        <f t="shared" si="230"/>
        <v>0</v>
      </c>
      <c r="CK404" s="23">
        <f t="shared" si="231"/>
        <v>0</v>
      </c>
      <c r="CL404" s="23">
        <f t="shared" si="232"/>
        <v>0</v>
      </c>
      <c r="CM404" s="23">
        <f t="shared" si="233"/>
        <v>0</v>
      </c>
      <c r="CN404" s="23">
        <f t="shared" si="234"/>
        <v>0</v>
      </c>
      <c r="CO404" s="23">
        <f t="shared" si="235"/>
        <v>0</v>
      </c>
      <c r="CP404" s="23">
        <f t="shared" si="236"/>
        <v>0</v>
      </c>
      <c r="CQ404" s="23">
        <f t="shared" si="237"/>
        <v>0</v>
      </c>
      <c r="CR404" s="23">
        <f t="shared" si="238"/>
        <v>0</v>
      </c>
      <c r="CS404" s="23">
        <f t="shared" si="239"/>
        <v>3</v>
      </c>
      <c r="CT404" s="23">
        <f t="shared" si="240"/>
        <v>0</v>
      </c>
      <c r="CU404" s="23">
        <f t="shared" si="241"/>
        <v>0</v>
      </c>
      <c r="CV404" s="23">
        <f t="shared" si="242"/>
        <v>0</v>
      </c>
    </row>
    <row r="405" spans="1:100" ht="13.5">
      <c r="A405" s="15">
        <v>3</v>
      </c>
      <c r="B405" s="27" t="s">
        <v>760</v>
      </c>
      <c r="C405" t="s">
        <v>761</v>
      </c>
      <c r="D405" t="s">
        <v>762</v>
      </c>
      <c r="E405" t="s">
        <v>756</v>
      </c>
      <c r="F405" t="s">
        <v>638</v>
      </c>
      <c r="G405" t="s">
        <v>756</v>
      </c>
      <c r="H405" t="s">
        <v>757</v>
      </c>
      <c r="I405" s="6" t="s">
        <v>640</v>
      </c>
      <c r="J405" s="6">
        <v>0</v>
      </c>
      <c r="L405" s="15">
        <v>5</v>
      </c>
      <c r="M405" s="7">
        <v>46048</v>
      </c>
      <c r="N405" s="7">
        <v>46073</v>
      </c>
      <c r="O405" s="7">
        <v>46073</v>
      </c>
      <c r="P405" s="7">
        <v>46073</v>
      </c>
      <c r="Q405" s="28" t="str">
        <f t="shared" si="207"/>
        <v>OK</v>
      </c>
      <c r="S405" s="6" t="str">
        <f t="shared" si="208"/>
        <v>LAN001</v>
      </c>
      <c r="T405" s="6">
        <v>5</v>
      </c>
      <c r="U405" s="6" t="s">
        <v>759</v>
      </c>
      <c r="V405" s="6" t="str">
        <f t="shared" si="209"/>
        <v>26/02</v>
      </c>
      <c r="AI405" s="23">
        <v>0</v>
      </c>
      <c r="AJ405" s="23">
        <v>0</v>
      </c>
      <c r="AK405" s="23">
        <v>0</v>
      </c>
      <c r="AL405" s="23">
        <v>0</v>
      </c>
      <c r="AM405" s="23">
        <v>0</v>
      </c>
      <c r="AN405" s="23">
        <v>0</v>
      </c>
      <c r="AO405" s="23">
        <v>0</v>
      </c>
      <c r="AP405" s="23">
        <v>0</v>
      </c>
      <c r="AQ405" s="23">
        <v>0</v>
      </c>
      <c r="AR405" s="23">
        <v>0</v>
      </c>
      <c r="AS405" s="23">
        <v>0</v>
      </c>
      <c r="AT405" s="23">
        <v>0</v>
      </c>
      <c r="AU405" s="23">
        <v>0</v>
      </c>
      <c r="AV405" s="23">
        <v>0</v>
      </c>
      <c r="AW405" s="23">
        <v>0</v>
      </c>
      <c r="AX405" s="23">
        <v>0</v>
      </c>
      <c r="AY405" s="23">
        <v>0</v>
      </c>
      <c r="AZ405" s="23">
        <v>0</v>
      </c>
      <c r="BA405" s="23">
        <v>0</v>
      </c>
      <c r="BB405" s="23">
        <v>0</v>
      </c>
      <c r="BC405" s="23">
        <v>0</v>
      </c>
      <c r="BD405" s="23">
        <v>0</v>
      </c>
      <c r="BE405" s="23">
        <v>0</v>
      </c>
      <c r="BF405" s="23">
        <v>0</v>
      </c>
      <c r="BG405" s="23">
        <v>0</v>
      </c>
      <c r="BH405" s="23">
        <v>0</v>
      </c>
      <c r="BI405" s="23">
        <v>0</v>
      </c>
      <c r="BJ405" s="23">
        <v>0</v>
      </c>
      <c r="BK405" s="23">
        <v>0</v>
      </c>
      <c r="BL405" s="23">
        <v>1</v>
      </c>
      <c r="BM405" s="23">
        <v>0</v>
      </c>
      <c r="BN405" s="23">
        <v>0</v>
      </c>
      <c r="BO405" s="23">
        <v>0</v>
      </c>
      <c r="BP405" s="23">
        <f t="shared" si="210"/>
        <v>0</v>
      </c>
      <c r="BQ405" s="23">
        <f t="shared" si="211"/>
        <v>0</v>
      </c>
      <c r="BR405" s="23">
        <f t="shared" si="212"/>
        <v>0</v>
      </c>
      <c r="BS405" s="23">
        <f t="shared" si="213"/>
        <v>0</v>
      </c>
      <c r="BT405" s="23">
        <f t="shared" si="214"/>
        <v>0</v>
      </c>
      <c r="BU405" s="23">
        <f t="shared" si="215"/>
        <v>0</v>
      </c>
      <c r="BV405" s="23">
        <f t="shared" si="216"/>
        <v>0</v>
      </c>
      <c r="BW405" s="23">
        <f t="shared" si="217"/>
        <v>0</v>
      </c>
      <c r="BX405" s="23">
        <f t="shared" si="218"/>
        <v>0</v>
      </c>
      <c r="BY405" s="23">
        <f t="shared" si="219"/>
        <v>0</v>
      </c>
      <c r="BZ405" s="23">
        <f t="shared" si="220"/>
        <v>0</v>
      </c>
      <c r="CA405" s="23">
        <f t="shared" si="221"/>
        <v>0</v>
      </c>
      <c r="CB405" s="23">
        <f t="shared" si="222"/>
        <v>0</v>
      </c>
      <c r="CC405" s="23">
        <f t="shared" si="223"/>
        <v>0</v>
      </c>
      <c r="CD405" s="23">
        <f t="shared" si="224"/>
        <v>0</v>
      </c>
      <c r="CE405" s="23">
        <f t="shared" si="225"/>
        <v>0</v>
      </c>
      <c r="CF405" s="23">
        <f t="shared" si="226"/>
        <v>0</v>
      </c>
      <c r="CG405" s="23">
        <f t="shared" si="227"/>
        <v>0</v>
      </c>
      <c r="CH405" s="23">
        <f t="shared" si="228"/>
        <v>0</v>
      </c>
      <c r="CI405" s="23">
        <f t="shared" si="229"/>
        <v>0</v>
      </c>
      <c r="CJ405" s="23">
        <f t="shared" si="230"/>
        <v>0</v>
      </c>
      <c r="CK405" s="23">
        <f t="shared" si="231"/>
        <v>0</v>
      </c>
      <c r="CL405" s="23">
        <f t="shared" si="232"/>
        <v>0</v>
      </c>
      <c r="CM405" s="23">
        <f t="shared" si="233"/>
        <v>0</v>
      </c>
      <c r="CN405" s="23">
        <f t="shared" si="234"/>
        <v>0</v>
      </c>
      <c r="CO405" s="23">
        <f t="shared" si="235"/>
        <v>0</v>
      </c>
      <c r="CP405" s="23">
        <f t="shared" si="236"/>
        <v>0</v>
      </c>
      <c r="CQ405" s="23">
        <f t="shared" si="237"/>
        <v>0</v>
      </c>
      <c r="CR405" s="23">
        <f t="shared" si="238"/>
        <v>0</v>
      </c>
      <c r="CS405" s="23">
        <f t="shared" si="239"/>
        <v>5</v>
      </c>
      <c r="CT405" s="23">
        <f t="shared" si="240"/>
        <v>0</v>
      </c>
      <c r="CU405" s="23">
        <f t="shared" si="241"/>
        <v>0</v>
      </c>
      <c r="CV405" s="23">
        <f t="shared" si="242"/>
        <v>0</v>
      </c>
    </row>
    <row r="406" spans="1:100" ht="14.25" thickBot="1">
      <c r="A406" s="31">
        <v>7</v>
      </c>
      <c r="B406" s="32" t="s">
        <v>763</v>
      </c>
      <c r="C406" s="33" t="s">
        <v>635</v>
      </c>
      <c r="D406" s="33" t="s">
        <v>755</v>
      </c>
      <c r="E406" s="33" t="s">
        <v>756</v>
      </c>
      <c r="F406" s="33" t="s">
        <v>638</v>
      </c>
      <c r="G406" s="33" t="s">
        <v>756</v>
      </c>
      <c r="H406" s="33" t="s">
        <v>757</v>
      </c>
      <c r="I406" s="34" t="s">
        <v>640</v>
      </c>
      <c r="J406" s="34">
        <v>1</v>
      </c>
      <c r="K406" s="33"/>
      <c r="L406" s="31">
        <v>1</v>
      </c>
      <c r="M406" s="35">
        <v>46050</v>
      </c>
      <c r="N406" s="35">
        <v>46078</v>
      </c>
      <c r="O406" s="35">
        <v>46078</v>
      </c>
      <c r="P406" s="35">
        <v>46078</v>
      </c>
      <c r="Q406" s="36" t="str">
        <f t="shared" si="207"/>
        <v>OK</v>
      </c>
      <c r="R406" s="34"/>
      <c r="S406" s="34" t="str">
        <f t="shared" si="208"/>
        <v>LAN001</v>
      </c>
      <c r="T406" s="34">
        <v>1</v>
      </c>
      <c r="U406" s="34" t="s">
        <v>759</v>
      </c>
      <c r="V406" s="34" t="str">
        <f t="shared" si="209"/>
        <v>26/02</v>
      </c>
      <c r="AI406" s="23">
        <v>0</v>
      </c>
      <c r="AJ406" s="23">
        <v>0</v>
      </c>
      <c r="AK406" s="23">
        <v>0</v>
      </c>
      <c r="AL406" s="23">
        <v>0</v>
      </c>
      <c r="AM406" s="23">
        <v>0</v>
      </c>
      <c r="AN406" s="23">
        <v>0</v>
      </c>
      <c r="AO406" s="23">
        <v>0</v>
      </c>
      <c r="AP406" s="23">
        <v>0</v>
      </c>
      <c r="AQ406" s="23">
        <v>0</v>
      </c>
      <c r="AR406" s="23">
        <v>0</v>
      </c>
      <c r="AS406" s="23">
        <v>0</v>
      </c>
      <c r="AT406" s="23">
        <v>0</v>
      </c>
      <c r="AU406" s="23">
        <v>0</v>
      </c>
      <c r="AV406" s="23">
        <v>0</v>
      </c>
      <c r="AW406" s="23">
        <v>0</v>
      </c>
      <c r="AX406" s="23">
        <v>0</v>
      </c>
      <c r="AY406" s="23">
        <v>0</v>
      </c>
      <c r="AZ406" s="23">
        <v>0</v>
      </c>
      <c r="BA406" s="23">
        <v>0</v>
      </c>
      <c r="BB406" s="23">
        <v>0</v>
      </c>
      <c r="BC406" s="23">
        <v>0</v>
      </c>
      <c r="BD406" s="23">
        <v>0</v>
      </c>
      <c r="BE406" s="23">
        <v>0</v>
      </c>
      <c r="BF406" s="23">
        <v>0</v>
      </c>
      <c r="BG406" s="23">
        <v>0</v>
      </c>
      <c r="BH406" s="23">
        <v>0</v>
      </c>
      <c r="BI406" s="23">
        <v>0</v>
      </c>
      <c r="BJ406" s="23">
        <v>0</v>
      </c>
      <c r="BK406" s="23">
        <v>0</v>
      </c>
      <c r="BL406" s="23">
        <v>1</v>
      </c>
      <c r="BM406" s="23">
        <v>0</v>
      </c>
      <c r="BN406" s="23">
        <v>0</v>
      </c>
      <c r="BO406" s="23">
        <v>0</v>
      </c>
      <c r="BP406" s="23">
        <f t="shared" si="210"/>
        <v>0</v>
      </c>
      <c r="BQ406" s="23">
        <f t="shared" si="211"/>
        <v>0</v>
      </c>
      <c r="BR406" s="23">
        <f t="shared" si="212"/>
        <v>0</v>
      </c>
      <c r="BS406" s="23">
        <f t="shared" si="213"/>
        <v>0</v>
      </c>
      <c r="BT406" s="23">
        <f t="shared" si="214"/>
        <v>0</v>
      </c>
      <c r="BU406" s="23">
        <f t="shared" si="215"/>
        <v>0</v>
      </c>
      <c r="BV406" s="23">
        <f t="shared" si="216"/>
        <v>0</v>
      </c>
      <c r="BW406" s="23">
        <f t="shared" si="217"/>
        <v>0</v>
      </c>
      <c r="BX406" s="23">
        <f t="shared" si="218"/>
        <v>0</v>
      </c>
      <c r="BY406" s="23">
        <f t="shared" si="219"/>
        <v>0</v>
      </c>
      <c r="BZ406" s="23">
        <f t="shared" si="220"/>
        <v>0</v>
      </c>
      <c r="CA406" s="23">
        <f t="shared" si="221"/>
        <v>0</v>
      </c>
      <c r="CB406" s="23">
        <f t="shared" si="222"/>
        <v>0</v>
      </c>
      <c r="CC406" s="23">
        <f t="shared" si="223"/>
        <v>0</v>
      </c>
      <c r="CD406" s="23">
        <f t="shared" si="224"/>
        <v>0</v>
      </c>
      <c r="CE406" s="23">
        <f t="shared" si="225"/>
        <v>0</v>
      </c>
      <c r="CF406" s="23">
        <f t="shared" si="226"/>
        <v>0</v>
      </c>
      <c r="CG406" s="23">
        <f t="shared" si="227"/>
        <v>0</v>
      </c>
      <c r="CH406" s="23">
        <f t="shared" si="228"/>
        <v>0</v>
      </c>
      <c r="CI406" s="23">
        <f t="shared" si="229"/>
        <v>0</v>
      </c>
      <c r="CJ406" s="23">
        <f t="shared" si="230"/>
        <v>0</v>
      </c>
      <c r="CK406" s="23">
        <f t="shared" si="231"/>
        <v>0</v>
      </c>
      <c r="CL406" s="23">
        <f t="shared" si="232"/>
        <v>0</v>
      </c>
      <c r="CM406" s="23">
        <f t="shared" si="233"/>
        <v>0</v>
      </c>
      <c r="CN406" s="23">
        <f t="shared" si="234"/>
        <v>0</v>
      </c>
      <c r="CO406" s="23">
        <f t="shared" si="235"/>
        <v>0</v>
      </c>
      <c r="CP406" s="23">
        <f t="shared" si="236"/>
        <v>0</v>
      </c>
      <c r="CQ406" s="23">
        <f t="shared" si="237"/>
        <v>0</v>
      </c>
      <c r="CR406" s="23">
        <f t="shared" si="238"/>
        <v>0</v>
      </c>
      <c r="CS406" s="23">
        <f t="shared" si="239"/>
        <v>1</v>
      </c>
      <c r="CT406" s="23">
        <f t="shared" si="240"/>
        <v>0</v>
      </c>
      <c r="CU406" s="23">
        <f t="shared" si="241"/>
        <v>0</v>
      </c>
      <c r="CV406" s="23">
        <f t="shared" si="242"/>
        <v>0</v>
      </c>
    </row>
    <row r="407" spans="1:100" ht="14.25" thickTop="1">
      <c r="A407" s="15">
        <v>2</v>
      </c>
      <c r="B407" s="27" t="s">
        <v>764</v>
      </c>
      <c r="C407" t="s">
        <v>761</v>
      </c>
      <c r="D407" t="s">
        <v>762</v>
      </c>
      <c r="E407" t="s">
        <v>765</v>
      </c>
      <c r="F407" t="s">
        <v>638</v>
      </c>
      <c r="G407" t="s">
        <v>765</v>
      </c>
      <c r="H407" t="s">
        <v>766</v>
      </c>
      <c r="I407" s="6" t="s">
        <v>640</v>
      </c>
      <c r="J407" s="6">
        <v>0</v>
      </c>
      <c r="L407" s="15">
        <v>4</v>
      </c>
      <c r="M407" s="7">
        <v>46045</v>
      </c>
      <c r="N407" s="7">
        <v>46072</v>
      </c>
      <c r="O407" s="7">
        <v>46072</v>
      </c>
      <c r="P407" s="7">
        <v>46072</v>
      </c>
      <c r="Q407" s="28" t="str">
        <f t="shared" si="207"/>
        <v>OK</v>
      </c>
      <c r="S407" s="6" t="str">
        <f t="shared" si="208"/>
        <v>LAC001</v>
      </c>
      <c r="T407" s="6">
        <v>4</v>
      </c>
      <c r="U407" s="6" t="s">
        <v>759</v>
      </c>
      <c r="V407" s="6" t="str">
        <f t="shared" si="209"/>
        <v>26/02</v>
      </c>
      <c r="AI407" s="23">
        <v>0</v>
      </c>
      <c r="AJ407" s="23">
        <v>0</v>
      </c>
      <c r="AK407" s="23">
        <v>0</v>
      </c>
      <c r="AL407" s="23">
        <v>0</v>
      </c>
      <c r="AM407" s="23">
        <v>0</v>
      </c>
      <c r="AN407" s="23">
        <v>0</v>
      </c>
      <c r="AO407" s="23">
        <v>0</v>
      </c>
      <c r="AP407" s="23">
        <v>0</v>
      </c>
      <c r="AQ407" s="23">
        <v>0</v>
      </c>
      <c r="AR407" s="23">
        <v>0</v>
      </c>
      <c r="AS407" s="23">
        <v>0</v>
      </c>
      <c r="AT407" s="23">
        <v>0</v>
      </c>
      <c r="AU407" s="23">
        <v>0</v>
      </c>
      <c r="AV407" s="23">
        <v>0</v>
      </c>
      <c r="AW407" s="23">
        <v>0</v>
      </c>
      <c r="AX407" s="23">
        <v>0</v>
      </c>
      <c r="AY407" s="23">
        <v>0</v>
      </c>
      <c r="AZ407" s="23">
        <v>0</v>
      </c>
      <c r="BA407" s="23">
        <v>0</v>
      </c>
      <c r="BB407" s="23">
        <v>0</v>
      </c>
      <c r="BC407" s="23">
        <v>0</v>
      </c>
      <c r="BD407" s="23">
        <v>0</v>
      </c>
      <c r="BE407" s="23">
        <v>0</v>
      </c>
      <c r="BF407" s="23">
        <v>0</v>
      </c>
      <c r="BG407" s="23">
        <v>0</v>
      </c>
      <c r="BH407" s="23">
        <v>0</v>
      </c>
      <c r="BI407" s="23">
        <v>0</v>
      </c>
      <c r="BJ407" s="23">
        <v>0</v>
      </c>
      <c r="BK407" s="23">
        <v>0</v>
      </c>
      <c r="BL407" s="23">
        <v>0</v>
      </c>
      <c r="BM407" s="23">
        <v>1</v>
      </c>
      <c r="BN407" s="23">
        <v>0</v>
      </c>
      <c r="BO407" s="23">
        <v>0</v>
      </c>
      <c r="BP407" s="23">
        <f t="shared" si="210"/>
        <v>0</v>
      </c>
      <c r="BQ407" s="23">
        <f t="shared" si="211"/>
        <v>0</v>
      </c>
      <c r="BR407" s="23">
        <f t="shared" si="212"/>
        <v>0</v>
      </c>
      <c r="BS407" s="23">
        <f t="shared" si="213"/>
        <v>0</v>
      </c>
      <c r="BT407" s="23">
        <f t="shared" si="214"/>
        <v>0</v>
      </c>
      <c r="BU407" s="23">
        <f t="shared" si="215"/>
        <v>0</v>
      </c>
      <c r="BV407" s="23">
        <f t="shared" si="216"/>
        <v>0</v>
      </c>
      <c r="BW407" s="23">
        <f t="shared" si="217"/>
        <v>0</v>
      </c>
      <c r="BX407" s="23">
        <f t="shared" si="218"/>
        <v>0</v>
      </c>
      <c r="BY407" s="23">
        <f t="shared" si="219"/>
        <v>0</v>
      </c>
      <c r="BZ407" s="23">
        <f t="shared" si="220"/>
        <v>0</v>
      </c>
      <c r="CA407" s="23">
        <f t="shared" si="221"/>
        <v>0</v>
      </c>
      <c r="CB407" s="23">
        <f t="shared" si="222"/>
        <v>0</v>
      </c>
      <c r="CC407" s="23">
        <f t="shared" si="223"/>
        <v>0</v>
      </c>
      <c r="CD407" s="23">
        <f t="shared" si="224"/>
        <v>0</v>
      </c>
      <c r="CE407" s="23">
        <f t="shared" si="225"/>
        <v>0</v>
      </c>
      <c r="CF407" s="23">
        <f t="shared" si="226"/>
        <v>0</v>
      </c>
      <c r="CG407" s="23">
        <f t="shared" si="227"/>
        <v>0</v>
      </c>
      <c r="CH407" s="23">
        <f t="shared" si="228"/>
        <v>0</v>
      </c>
      <c r="CI407" s="23">
        <f t="shared" si="229"/>
        <v>0</v>
      </c>
      <c r="CJ407" s="23">
        <f t="shared" si="230"/>
        <v>0</v>
      </c>
      <c r="CK407" s="23">
        <f t="shared" si="231"/>
        <v>0</v>
      </c>
      <c r="CL407" s="23">
        <f t="shared" si="232"/>
        <v>0</v>
      </c>
      <c r="CM407" s="23">
        <f t="shared" si="233"/>
        <v>0</v>
      </c>
      <c r="CN407" s="23">
        <f t="shared" si="234"/>
        <v>0</v>
      </c>
      <c r="CO407" s="23">
        <f t="shared" si="235"/>
        <v>0</v>
      </c>
      <c r="CP407" s="23">
        <f t="shared" si="236"/>
        <v>0</v>
      </c>
      <c r="CQ407" s="23">
        <f t="shared" si="237"/>
        <v>0</v>
      </c>
      <c r="CR407" s="23">
        <f t="shared" si="238"/>
        <v>0</v>
      </c>
      <c r="CS407" s="23">
        <f t="shared" si="239"/>
        <v>0</v>
      </c>
      <c r="CT407" s="23">
        <f t="shared" si="240"/>
        <v>4</v>
      </c>
      <c r="CU407" s="23">
        <f t="shared" si="241"/>
        <v>0</v>
      </c>
      <c r="CV407" s="23">
        <f t="shared" si="242"/>
        <v>0</v>
      </c>
    </row>
    <row r="408" spans="1:100" ht="14.25" thickBot="1">
      <c r="A408" s="31">
        <v>4</v>
      </c>
      <c r="B408" s="32" t="s">
        <v>767</v>
      </c>
      <c r="C408" s="33" t="s">
        <v>761</v>
      </c>
      <c r="D408" s="33" t="s">
        <v>762</v>
      </c>
      <c r="E408" s="33" t="s">
        <v>765</v>
      </c>
      <c r="F408" s="33" t="s">
        <v>638</v>
      </c>
      <c r="G408" s="33" t="s">
        <v>765</v>
      </c>
      <c r="H408" s="33" t="s">
        <v>766</v>
      </c>
      <c r="I408" s="34" t="s">
        <v>640</v>
      </c>
      <c r="J408" s="34">
        <v>0</v>
      </c>
      <c r="K408" s="33"/>
      <c r="L408" s="31">
        <v>4</v>
      </c>
      <c r="M408" s="35">
        <v>46048</v>
      </c>
      <c r="N408" s="35">
        <v>46073</v>
      </c>
      <c r="O408" s="35">
        <v>46073</v>
      </c>
      <c r="P408" s="35">
        <v>46073</v>
      </c>
      <c r="Q408" s="36" t="str">
        <f t="shared" si="207"/>
        <v>OK</v>
      </c>
      <c r="R408" s="34"/>
      <c r="S408" s="34" t="str">
        <f t="shared" si="208"/>
        <v>LAC001</v>
      </c>
      <c r="T408" s="34">
        <v>4</v>
      </c>
      <c r="U408" s="34" t="s">
        <v>759</v>
      </c>
      <c r="V408" s="34" t="str">
        <f t="shared" si="209"/>
        <v>26/02</v>
      </c>
      <c r="AI408" s="23">
        <v>0</v>
      </c>
      <c r="AJ408" s="23">
        <v>0</v>
      </c>
      <c r="AK408" s="23">
        <v>0</v>
      </c>
      <c r="AL408" s="23">
        <v>0</v>
      </c>
      <c r="AM408" s="23">
        <v>0</v>
      </c>
      <c r="AN408" s="23">
        <v>0</v>
      </c>
      <c r="AO408" s="23">
        <v>0</v>
      </c>
      <c r="AP408" s="23">
        <v>0</v>
      </c>
      <c r="AQ408" s="23">
        <v>0</v>
      </c>
      <c r="AR408" s="23">
        <v>0</v>
      </c>
      <c r="AS408" s="23">
        <v>0</v>
      </c>
      <c r="AT408" s="23">
        <v>0</v>
      </c>
      <c r="AU408" s="23">
        <v>0</v>
      </c>
      <c r="AV408" s="23">
        <v>0</v>
      </c>
      <c r="AW408" s="23">
        <v>0</v>
      </c>
      <c r="AX408" s="23">
        <v>0</v>
      </c>
      <c r="AY408" s="23">
        <v>0</v>
      </c>
      <c r="AZ408" s="23">
        <v>0</v>
      </c>
      <c r="BA408" s="23">
        <v>0</v>
      </c>
      <c r="BB408" s="23">
        <v>0</v>
      </c>
      <c r="BC408" s="23">
        <v>0</v>
      </c>
      <c r="BD408" s="23">
        <v>0</v>
      </c>
      <c r="BE408" s="23">
        <v>0</v>
      </c>
      <c r="BF408" s="23">
        <v>0</v>
      </c>
      <c r="BG408" s="23">
        <v>0</v>
      </c>
      <c r="BH408" s="23">
        <v>0</v>
      </c>
      <c r="BI408" s="23">
        <v>0</v>
      </c>
      <c r="BJ408" s="23">
        <v>0</v>
      </c>
      <c r="BK408" s="23">
        <v>0</v>
      </c>
      <c r="BL408" s="23">
        <v>0</v>
      </c>
      <c r="BM408" s="23">
        <v>1</v>
      </c>
      <c r="BN408" s="23">
        <v>0</v>
      </c>
      <c r="BO408" s="23">
        <v>0</v>
      </c>
      <c r="BP408" s="23">
        <f t="shared" si="210"/>
        <v>0</v>
      </c>
      <c r="BQ408" s="23">
        <f t="shared" si="211"/>
        <v>0</v>
      </c>
      <c r="BR408" s="23">
        <f t="shared" si="212"/>
        <v>0</v>
      </c>
      <c r="BS408" s="23">
        <f t="shared" si="213"/>
        <v>0</v>
      </c>
      <c r="BT408" s="23">
        <f t="shared" si="214"/>
        <v>0</v>
      </c>
      <c r="BU408" s="23">
        <f t="shared" si="215"/>
        <v>0</v>
      </c>
      <c r="BV408" s="23">
        <f t="shared" si="216"/>
        <v>0</v>
      </c>
      <c r="BW408" s="23">
        <f t="shared" si="217"/>
        <v>0</v>
      </c>
      <c r="BX408" s="23">
        <f t="shared" si="218"/>
        <v>0</v>
      </c>
      <c r="BY408" s="23">
        <f t="shared" si="219"/>
        <v>0</v>
      </c>
      <c r="BZ408" s="23">
        <f t="shared" si="220"/>
        <v>0</v>
      </c>
      <c r="CA408" s="23">
        <f t="shared" si="221"/>
        <v>0</v>
      </c>
      <c r="CB408" s="23">
        <f t="shared" si="222"/>
        <v>0</v>
      </c>
      <c r="CC408" s="23">
        <f t="shared" si="223"/>
        <v>0</v>
      </c>
      <c r="CD408" s="23">
        <f t="shared" si="224"/>
        <v>0</v>
      </c>
      <c r="CE408" s="23">
        <f t="shared" si="225"/>
        <v>0</v>
      </c>
      <c r="CF408" s="23">
        <f t="shared" si="226"/>
        <v>0</v>
      </c>
      <c r="CG408" s="23">
        <f t="shared" si="227"/>
        <v>0</v>
      </c>
      <c r="CH408" s="23">
        <f t="shared" si="228"/>
        <v>0</v>
      </c>
      <c r="CI408" s="23">
        <f t="shared" si="229"/>
        <v>0</v>
      </c>
      <c r="CJ408" s="23">
        <f t="shared" si="230"/>
        <v>0</v>
      </c>
      <c r="CK408" s="23">
        <f t="shared" si="231"/>
        <v>0</v>
      </c>
      <c r="CL408" s="23">
        <f t="shared" si="232"/>
        <v>0</v>
      </c>
      <c r="CM408" s="23">
        <f t="shared" si="233"/>
        <v>0</v>
      </c>
      <c r="CN408" s="23">
        <f t="shared" si="234"/>
        <v>0</v>
      </c>
      <c r="CO408" s="23">
        <f t="shared" si="235"/>
        <v>0</v>
      </c>
      <c r="CP408" s="23">
        <f t="shared" si="236"/>
        <v>0</v>
      </c>
      <c r="CQ408" s="23">
        <f t="shared" si="237"/>
        <v>0</v>
      </c>
      <c r="CR408" s="23">
        <f t="shared" si="238"/>
        <v>0</v>
      </c>
      <c r="CS408" s="23">
        <f t="shared" si="239"/>
        <v>0</v>
      </c>
      <c r="CT408" s="23">
        <f t="shared" si="240"/>
        <v>4</v>
      </c>
      <c r="CU408" s="23">
        <f t="shared" si="241"/>
        <v>0</v>
      </c>
      <c r="CV408" s="23">
        <f t="shared" si="242"/>
        <v>0</v>
      </c>
    </row>
    <row r="409" spans="1:100" ht="15" thickTop="1" thickBot="1">
      <c r="A409" s="31">
        <v>5</v>
      </c>
      <c r="B409" s="32" t="s">
        <v>768</v>
      </c>
      <c r="C409" s="33" t="s">
        <v>761</v>
      </c>
      <c r="D409" s="33" t="s">
        <v>762</v>
      </c>
      <c r="E409" s="33" t="s">
        <v>769</v>
      </c>
      <c r="F409" s="33" t="s">
        <v>638</v>
      </c>
      <c r="G409" s="33" t="s">
        <v>769</v>
      </c>
      <c r="H409" s="33" t="s">
        <v>770</v>
      </c>
      <c r="I409" s="34" t="s">
        <v>640</v>
      </c>
      <c r="J409" s="34">
        <v>0</v>
      </c>
      <c r="K409" s="33"/>
      <c r="L409" s="31">
        <v>5</v>
      </c>
      <c r="M409" s="35">
        <v>46048</v>
      </c>
      <c r="N409" s="35">
        <v>46073</v>
      </c>
      <c r="O409" s="35">
        <v>46073</v>
      </c>
      <c r="P409" s="35">
        <v>46073</v>
      </c>
      <c r="Q409" s="36" t="str">
        <f t="shared" si="207"/>
        <v>OK</v>
      </c>
      <c r="R409" s="34"/>
      <c r="S409" s="34" t="str">
        <f t="shared" si="208"/>
        <v>LAD001</v>
      </c>
      <c r="T409" s="34">
        <v>5</v>
      </c>
      <c r="U409" s="34" t="s">
        <v>759</v>
      </c>
      <c r="V409" s="34" t="str">
        <f t="shared" si="209"/>
        <v>26/02</v>
      </c>
      <c r="AI409" s="23">
        <v>0</v>
      </c>
      <c r="AJ409" s="23">
        <v>0</v>
      </c>
      <c r="AK409" s="23">
        <v>0</v>
      </c>
      <c r="AL409" s="23">
        <v>0</v>
      </c>
      <c r="AM409" s="23">
        <v>0</v>
      </c>
      <c r="AN409" s="23">
        <v>0</v>
      </c>
      <c r="AO409" s="23">
        <v>0</v>
      </c>
      <c r="AP409" s="23">
        <v>0</v>
      </c>
      <c r="AQ409" s="23">
        <v>0</v>
      </c>
      <c r="AR409" s="23">
        <v>0</v>
      </c>
      <c r="AS409" s="23">
        <v>0</v>
      </c>
      <c r="AT409" s="23">
        <v>0</v>
      </c>
      <c r="AU409" s="23">
        <v>0</v>
      </c>
      <c r="AV409" s="23">
        <v>0</v>
      </c>
      <c r="AW409" s="23">
        <v>0</v>
      </c>
      <c r="AX409" s="23">
        <v>0</v>
      </c>
      <c r="AY409" s="23">
        <v>0</v>
      </c>
      <c r="AZ409" s="23">
        <v>0</v>
      </c>
      <c r="BA409" s="23">
        <v>0</v>
      </c>
      <c r="BB409" s="23">
        <v>0</v>
      </c>
      <c r="BC409" s="23">
        <v>0</v>
      </c>
      <c r="BD409" s="23">
        <v>0</v>
      </c>
      <c r="BE409" s="23">
        <v>0</v>
      </c>
      <c r="BF409" s="23">
        <v>0</v>
      </c>
      <c r="BG409" s="23">
        <v>0</v>
      </c>
      <c r="BH409" s="23">
        <v>0</v>
      </c>
      <c r="BI409" s="23">
        <v>0</v>
      </c>
      <c r="BJ409" s="23">
        <v>0</v>
      </c>
      <c r="BK409" s="23">
        <v>0</v>
      </c>
      <c r="BL409" s="23">
        <v>0</v>
      </c>
      <c r="BM409" s="23">
        <v>0</v>
      </c>
      <c r="BN409" s="23">
        <v>1</v>
      </c>
      <c r="BO409" s="23">
        <v>0</v>
      </c>
      <c r="BP409" s="23">
        <f t="shared" si="210"/>
        <v>0</v>
      </c>
      <c r="BQ409" s="23">
        <f t="shared" si="211"/>
        <v>0</v>
      </c>
      <c r="BR409" s="23">
        <f t="shared" si="212"/>
        <v>0</v>
      </c>
      <c r="BS409" s="23">
        <f t="shared" si="213"/>
        <v>0</v>
      </c>
      <c r="BT409" s="23">
        <f t="shared" si="214"/>
        <v>0</v>
      </c>
      <c r="BU409" s="23">
        <f t="shared" si="215"/>
        <v>0</v>
      </c>
      <c r="BV409" s="23">
        <f t="shared" si="216"/>
        <v>0</v>
      </c>
      <c r="BW409" s="23">
        <f t="shared" si="217"/>
        <v>0</v>
      </c>
      <c r="BX409" s="23">
        <f t="shared" si="218"/>
        <v>0</v>
      </c>
      <c r="BY409" s="23">
        <f t="shared" si="219"/>
        <v>0</v>
      </c>
      <c r="BZ409" s="23">
        <f t="shared" si="220"/>
        <v>0</v>
      </c>
      <c r="CA409" s="23">
        <f t="shared" si="221"/>
        <v>0</v>
      </c>
      <c r="CB409" s="23">
        <f t="shared" si="222"/>
        <v>0</v>
      </c>
      <c r="CC409" s="23">
        <f t="shared" si="223"/>
        <v>0</v>
      </c>
      <c r="CD409" s="23">
        <f t="shared" si="224"/>
        <v>0</v>
      </c>
      <c r="CE409" s="23">
        <f t="shared" si="225"/>
        <v>0</v>
      </c>
      <c r="CF409" s="23">
        <f t="shared" si="226"/>
        <v>0</v>
      </c>
      <c r="CG409" s="23">
        <f t="shared" si="227"/>
        <v>0</v>
      </c>
      <c r="CH409" s="23">
        <f t="shared" si="228"/>
        <v>0</v>
      </c>
      <c r="CI409" s="23">
        <f t="shared" si="229"/>
        <v>0</v>
      </c>
      <c r="CJ409" s="23">
        <f t="shared" si="230"/>
        <v>0</v>
      </c>
      <c r="CK409" s="23">
        <f t="shared" si="231"/>
        <v>0</v>
      </c>
      <c r="CL409" s="23">
        <f t="shared" si="232"/>
        <v>0</v>
      </c>
      <c r="CM409" s="23">
        <f t="shared" si="233"/>
        <v>0</v>
      </c>
      <c r="CN409" s="23">
        <f t="shared" si="234"/>
        <v>0</v>
      </c>
      <c r="CO409" s="23">
        <f t="shared" si="235"/>
        <v>0</v>
      </c>
      <c r="CP409" s="23">
        <f t="shared" si="236"/>
        <v>0</v>
      </c>
      <c r="CQ409" s="23">
        <f t="shared" si="237"/>
        <v>0</v>
      </c>
      <c r="CR409" s="23">
        <f t="shared" si="238"/>
        <v>0</v>
      </c>
      <c r="CS409" s="23">
        <f t="shared" si="239"/>
        <v>0</v>
      </c>
      <c r="CT409" s="23">
        <f t="shared" si="240"/>
        <v>0</v>
      </c>
      <c r="CU409" s="23">
        <f t="shared" si="241"/>
        <v>5</v>
      </c>
      <c r="CV409" s="23">
        <f t="shared" si="242"/>
        <v>0</v>
      </c>
    </row>
    <row r="410" spans="1:100" ht="14.25" thickTop="1">
      <c r="A410" s="15">
        <v>6</v>
      </c>
      <c r="B410" s="27" t="s">
        <v>771</v>
      </c>
      <c r="C410" t="s">
        <v>761</v>
      </c>
      <c r="D410" t="s">
        <v>762</v>
      </c>
      <c r="E410" t="s">
        <v>772</v>
      </c>
      <c r="F410" t="s">
        <v>638</v>
      </c>
      <c r="G410" t="s">
        <v>772</v>
      </c>
      <c r="H410" t="s">
        <v>773</v>
      </c>
      <c r="I410" s="6" t="s">
        <v>640</v>
      </c>
      <c r="J410" s="6">
        <v>0</v>
      </c>
      <c r="L410" s="15">
        <v>5</v>
      </c>
      <c r="M410" s="7">
        <v>46048</v>
      </c>
      <c r="N410" s="7">
        <v>46073</v>
      </c>
      <c r="O410" s="7">
        <v>46073</v>
      </c>
      <c r="P410" s="7">
        <v>46073</v>
      </c>
      <c r="Q410" s="28" t="str">
        <f t="shared" si="207"/>
        <v>OK</v>
      </c>
      <c r="S410" s="6" t="str">
        <f t="shared" si="208"/>
        <v>LAF001</v>
      </c>
      <c r="T410" s="6">
        <v>5</v>
      </c>
      <c r="U410" s="6" t="s">
        <v>759</v>
      </c>
      <c r="V410" s="6" t="str">
        <f t="shared" si="209"/>
        <v>26/02</v>
      </c>
      <c r="AI410" s="23">
        <v>0</v>
      </c>
      <c r="AJ410" s="23">
        <v>0</v>
      </c>
      <c r="AK410" s="23">
        <v>0</v>
      </c>
      <c r="AL410" s="23">
        <v>0</v>
      </c>
      <c r="AM410" s="23">
        <v>0</v>
      </c>
      <c r="AN410" s="23">
        <v>0</v>
      </c>
      <c r="AO410" s="23">
        <v>0</v>
      </c>
      <c r="AP410" s="23">
        <v>0</v>
      </c>
      <c r="AQ410" s="23">
        <v>0</v>
      </c>
      <c r="AR410" s="23">
        <v>0</v>
      </c>
      <c r="AS410" s="23">
        <v>0</v>
      </c>
      <c r="AT410" s="23">
        <v>0</v>
      </c>
      <c r="AU410" s="23">
        <v>0</v>
      </c>
      <c r="AV410" s="23">
        <v>0</v>
      </c>
      <c r="AW410" s="23">
        <v>0</v>
      </c>
      <c r="AX410" s="23">
        <v>0</v>
      </c>
      <c r="AY410" s="23">
        <v>0</v>
      </c>
      <c r="AZ410" s="23">
        <v>0</v>
      </c>
      <c r="BA410" s="23">
        <v>0</v>
      </c>
      <c r="BB410" s="23">
        <v>0</v>
      </c>
      <c r="BC410" s="23">
        <v>0</v>
      </c>
      <c r="BD410" s="23">
        <v>0</v>
      </c>
      <c r="BE410" s="23">
        <v>0</v>
      </c>
      <c r="BF410" s="23">
        <v>0</v>
      </c>
      <c r="BG410" s="23">
        <v>0</v>
      </c>
      <c r="BH410" s="23">
        <v>1</v>
      </c>
      <c r="BI410" s="23">
        <v>0</v>
      </c>
      <c r="BJ410" s="23">
        <v>0</v>
      </c>
      <c r="BK410" s="23">
        <v>0</v>
      </c>
      <c r="BL410" s="23">
        <v>0</v>
      </c>
      <c r="BM410" s="23">
        <v>0</v>
      </c>
      <c r="BN410" s="23">
        <v>0</v>
      </c>
      <c r="BO410" s="23">
        <v>0</v>
      </c>
      <c r="BP410" s="23">
        <f t="shared" si="210"/>
        <v>0</v>
      </c>
      <c r="BQ410" s="23">
        <f t="shared" si="211"/>
        <v>0</v>
      </c>
      <c r="BR410" s="23">
        <f t="shared" si="212"/>
        <v>0</v>
      </c>
      <c r="BS410" s="23">
        <f t="shared" si="213"/>
        <v>0</v>
      </c>
      <c r="BT410" s="23">
        <f t="shared" si="214"/>
        <v>0</v>
      </c>
      <c r="BU410" s="23">
        <f t="shared" si="215"/>
        <v>0</v>
      </c>
      <c r="BV410" s="23">
        <f t="shared" si="216"/>
        <v>0</v>
      </c>
      <c r="BW410" s="23">
        <f t="shared" si="217"/>
        <v>0</v>
      </c>
      <c r="BX410" s="23">
        <f t="shared" si="218"/>
        <v>0</v>
      </c>
      <c r="BY410" s="23">
        <f t="shared" si="219"/>
        <v>0</v>
      </c>
      <c r="BZ410" s="23">
        <f t="shared" si="220"/>
        <v>0</v>
      </c>
      <c r="CA410" s="23">
        <f t="shared" si="221"/>
        <v>0</v>
      </c>
      <c r="CB410" s="23">
        <f t="shared" si="222"/>
        <v>0</v>
      </c>
      <c r="CC410" s="23">
        <f t="shared" si="223"/>
        <v>0</v>
      </c>
      <c r="CD410" s="23">
        <f t="shared" si="224"/>
        <v>0</v>
      </c>
      <c r="CE410" s="23">
        <f t="shared" si="225"/>
        <v>0</v>
      </c>
      <c r="CF410" s="23">
        <f t="shared" si="226"/>
        <v>0</v>
      </c>
      <c r="CG410" s="23">
        <f t="shared" si="227"/>
        <v>0</v>
      </c>
      <c r="CH410" s="23">
        <f t="shared" si="228"/>
        <v>0</v>
      </c>
      <c r="CI410" s="23">
        <f t="shared" si="229"/>
        <v>0</v>
      </c>
      <c r="CJ410" s="23">
        <f t="shared" si="230"/>
        <v>0</v>
      </c>
      <c r="CK410" s="23">
        <f t="shared" si="231"/>
        <v>0</v>
      </c>
      <c r="CL410" s="23">
        <f t="shared" si="232"/>
        <v>0</v>
      </c>
      <c r="CM410" s="23">
        <f t="shared" si="233"/>
        <v>0</v>
      </c>
      <c r="CN410" s="23">
        <f t="shared" si="234"/>
        <v>0</v>
      </c>
      <c r="CO410" s="23">
        <f t="shared" si="235"/>
        <v>5</v>
      </c>
      <c r="CP410" s="23">
        <f t="shared" si="236"/>
        <v>0</v>
      </c>
      <c r="CQ410" s="23">
        <f t="shared" si="237"/>
        <v>0</v>
      </c>
      <c r="CR410" s="23">
        <f t="shared" si="238"/>
        <v>0</v>
      </c>
      <c r="CS410" s="23">
        <f t="shared" si="239"/>
        <v>0</v>
      </c>
      <c r="CT410" s="23">
        <f t="shared" si="240"/>
        <v>0</v>
      </c>
      <c r="CU410" s="23">
        <f t="shared" si="241"/>
        <v>0</v>
      </c>
      <c r="CV410" s="23">
        <f t="shared" si="242"/>
        <v>0</v>
      </c>
    </row>
  </sheetData>
  <sheetProtection formatCells="0" formatColumns="0" formatRows="0" insertColumns="0" insertRows="0" insertHyperlinks="0" deleteColumns="0" deleteRows="0" sort="0" autoFilter="0" pivotTables="0"/>
  <autoFilter ref="A4:XDJ410"/>
  <sortState ref="A138:CV350">
    <sortCondition ref="W138:W350"/>
  </sortState>
  <phoneticPr fontId="6"/>
  <pageMargins left="0.51181102362205" right="0.19685039370078999" top="0.47244094488188998" bottom="0.56000000000000005" header="0.31496062992126" footer="0.19685039370078999"/>
  <pageSetup paperSize="8" scale="72" fitToHeight="0" orientation="portrait" r:id="rId1"/>
  <headerFooter alignWithMargins="0">
    <oddFooter>&amp;C&amp;18&amp;P/&amp;N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zoomScale="90" zoomScaleNormal="90"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C45" sqref="C45:Y61"/>
    </sheetView>
  </sheetViews>
  <sheetFormatPr defaultRowHeight="13.5"/>
  <cols>
    <col min="1" max="1" width="9" style="464"/>
    <col min="2" max="2" width="8.375" style="464" bestFit="1" customWidth="1"/>
    <col min="3" max="3" width="8.375" bestFit="1" customWidth="1"/>
    <col min="4" max="6" width="8.25" bestFit="1" customWidth="1"/>
    <col min="7" max="8" width="8.5" bestFit="1" customWidth="1"/>
    <col min="9" max="11" width="8.25" bestFit="1" customWidth="1"/>
    <col min="12" max="13" width="8.375" bestFit="1" customWidth="1"/>
    <col min="14" max="14" width="8.25" bestFit="1" customWidth="1"/>
    <col min="15" max="16" width="8.5" bestFit="1" customWidth="1"/>
    <col min="17" max="17" width="8.625" bestFit="1" customWidth="1"/>
    <col min="18" max="19" width="8.5" bestFit="1" customWidth="1"/>
    <col min="20" max="21" width="8.625" bestFit="1" customWidth="1"/>
    <col min="22" max="23" width="8.5" bestFit="1" customWidth="1"/>
    <col min="24" max="25" width="8.625" bestFit="1" customWidth="1"/>
  </cols>
  <sheetData>
    <row r="1" spans="1:25">
      <c r="C1">
        <v>67</v>
      </c>
      <c r="D1">
        <v>45</v>
      </c>
      <c r="G1">
        <v>106</v>
      </c>
      <c r="I1">
        <v>21</v>
      </c>
      <c r="J1">
        <v>15</v>
      </c>
      <c r="K1">
        <v>10</v>
      </c>
      <c r="L1">
        <v>5</v>
      </c>
      <c r="M1">
        <v>37</v>
      </c>
      <c r="N1">
        <v>15</v>
      </c>
      <c r="O1">
        <v>38</v>
      </c>
      <c r="Q1">
        <v>10</v>
      </c>
      <c r="R1">
        <v>42</v>
      </c>
      <c r="U1">
        <v>10</v>
      </c>
      <c r="V1">
        <v>55</v>
      </c>
      <c r="Y1">
        <v>10</v>
      </c>
    </row>
    <row r="2" spans="1:25">
      <c r="C2">
        <f>SUM(C4:C61)</f>
        <v>67</v>
      </c>
      <c r="D2">
        <f t="shared" ref="D2:Y2" si="0">SUM(D4:D61)</f>
        <v>45</v>
      </c>
      <c r="E2">
        <f t="shared" si="0"/>
        <v>0</v>
      </c>
      <c r="F2">
        <f t="shared" si="0"/>
        <v>0</v>
      </c>
      <c r="G2">
        <f t="shared" si="0"/>
        <v>106</v>
      </c>
      <c r="H2">
        <f t="shared" si="0"/>
        <v>0</v>
      </c>
      <c r="I2">
        <f t="shared" si="0"/>
        <v>21</v>
      </c>
      <c r="J2">
        <f t="shared" si="0"/>
        <v>15</v>
      </c>
      <c r="K2">
        <f t="shared" si="0"/>
        <v>10</v>
      </c>
      <c r="L2">
        <f t="shared" si="0"/>
        <v>5</v>
      </c>
      <c r="M2">
        <f t="shared" si="0"/>
        <v>37</v>
      </c>
      <c r="N2">
        <f t="shared" si="0"/>
        <v>15</v>
      </c>
      <c r="O2">
        <f t="shared" si="0"/>
        <v>38</v>
      </c>
      <c r="P2">
        <f t="shared" si="0"/>
        <v>0</v>
      </c>
      <c r="Q2">
        <f t="shared" si="0"/>
        <v>10</v>
      </c>
      <c r="R2">
        <f t="shared" si="0"/>
        <v>42</v>
      </c>
      <c r="S2">
        <f t="shared" si="0"/>
        <v>0</v>
      </c>
      <c r="T2">
        <f t="shared" si="0"/>
        <v>0</v>
      </c>
      <c r="U2">
        <f t="shared" si="0"/>
        <v>10</v>
      </c>
      <c r="V2">
        <f t="shared" si="0"/>
        <v>55</v>
      </c>
      <c r="W2">
        <f t="shared" si="0"/>
        <v>0</v>
      </c>
      <c r="X2">
        <f t="shared" si="0"/>
        <v>0</v>
      </c>
      <c r="Y2">
        <f t="shared" si="0"/>
        <v>10</v>
      </c>
    </row>
    <row r="3" spans="1:25">
      <c r="B3" s="464" t="s">
        <v>822</v>
      </c>
      <c r="C3" s="465" t="s">
        <v>1244</v>
      </c>
      <c r="D3" t="s">
        <v>1245</v>
      </c>
      <c r="E3" t="s">
        <v>1246</v>
      </c>
      <c r="F3" t="s">
        <v>1247</v>
      </c>
      <c r="G3" t="s">
        <v>1248</v>
      </c>
      <c r="H3" t="s">
        <v>1249</v>
      </c>
      <c r="I3" t="s">
        <v>1250</v>
      </c>
      <c r="J3" t="s">
        <v>1251</v>
      </c>
      <c r="K3" t="s">
        <v>1252</v>
      </c>
      <c r="L3" t="s">
        <v>1253</v>
      </c>
      <c r="M3" t="s">
        <v>1254</v>
      </c>
      <c r="N3" t="s">
        <v>1255</v>
      </c>
      <c r="O3" t="s">
        <v>1256</v>
      </c>
      <c r="P3" t="s">
        <v>1257</v>
      </c>
      <c r="Q3" t="s">
        <v>1258</v>
      </c>
      <c r="R3" t="s">
        <v>1259</v>
      </c>
      <c r="S3" t="s">
        <v>1260</v>
      </c>
      <c r="T3" t="s">
        <v>1261</v>
      </c>
      <c r="U3" t="s">
        <v>1262</v>
      </c>
      <c r="V3" t="s">
        <v>1263</v>
      </c>
      <c r="W3" t="s">
        <v>1264</v>
      </c>
      <c r="X3" t="s">
        <v>1265</v>
      </c>
      <c r="Y3" t="s">
        <v>1266</v>
      </c>
    </row>
    <row r="4" spans="1:25">
      <c r="A4" s="464">
        <v>46031</v>
      </c>
      <c r="B4" s="464">
        <v>46038</v>
      </c>
      <c r="C4">
        <v>1</v>
      </c>
      <c r="D4">
        <v>1</v>
      </c>
      <c r="G4">
        <v>1</v>
      </c>
      <c r="I4">
        <v>1</v>
      </c>
      <c r="M4">
        <v>1</v>
      </c>
      <c r="N4">
        <v>4</v>
      </c>
      <c r="O4">
        <v>5</v>
      </c>
      <c r="R4">
        <v>5</v>
      </c>
      <c r="V4">
        <v>5</v>
      </c>
    </row>
    <row r="5" spans="1:25">
      <c r="B5" s="464">
        <v>46039</v>
      </c>
      <c r="C5">
        <v>7</v>
      </c>
      <c r="D5">
        <v>1</v>
      </c>
      <c r="G5">
        <v>6</v>
      </c>
      <c r="I5">
        <v>3</v>
      </c>
      <c r="M5">
        <v>2</v>
      </c>
      <c r="N5">
        <v>2</v>
      </c>
      <c r="O5">
        <v>4</v>
      </c>
      <c r="R5">
        <v>4</v>
      </c>
      <c r="V5">
        <v>4</v>
      </c>
    </row>
    <row r="6" spans="1:25">
      <c r="B6" s="464">
        <v>46041</v>
      </c>
      <c r="C6">
        <v>6</v>
      </c>
      <c r="D6">
        <v>1</v>
      </c>
      <c r="G6">
        <v>5</v>
      </c>
      <c r="I6">
        <v>3</v>
      </c>
      <c r="J6">
        <v>1</v>
      </c>
      <c r="L6">
        <v>5</v>
      </c>
      <c r="M6">
        <v>1</v>
      </c>
      <c r="O6">
        <v>2</v>
      </c>
      <c r="R6">
        <v>2</v>
      </c>
      <c r="V6">
        <v>6</v>
      </c>
    </row>
    <row r="7" spans="1:25">
      <c r="B7" s="464">
        <v>46042</v>
      </c>
      <c r="C7">
        <v>4</v>
      </c>
      <c r="D7">
        <v>4</v>
      </c>
      <c r="G7">
        <v>5</v>
      </c>
      <c r="M7">
        <v>1</v>
      </c>
      <c r="O7">
        <v>1</v>
      </c>
      <c r="R7">
        <v>1</v>
      </c>
      <c r="V7">
        <v>5</v>
      </c>
    </row>
    <row r="8" spans="1:25">
      <c r="B8" s="464">
        <v>46043</v>
      </c>
      <c r="C8">
        <v>4</v>
      </c>
      <c r="D8">
        <v>1</v>
      </c>
      <c r="G8">
        <v>4</v>
      </c>
      <c r="M8">
        <v>1</v>
      </c>
      <c r="O8">
        <v>1</v>
      </c>
      <c r="R8">
        <v>1</v>
      </c>
      <c r="V8">
        <v>5</v>
      </c>
    </row>
    <row r="9" spans="1:25">
      <c r="B9" s="464">
        <v>46044</v>
      </c>
      <c r="V9">
        <v>1</v>
      </c>
    </row>
    <row r="10" spans="1:25">
      <c r="B10" s="464">
        <v>46045</v>
      </c>
      <c r="C10">
        <v>6</v>
      </c>
      <c r="D10">
        <v>1</v>
      </c>
      <c r="G10">
        <v>1</v>
      </c>
      <c r="I10">
        <v>1</v>
      </c>
    </row>
    <row r="11" spans="1:25" ht="14.25" thickBot="1">
      <c r="A11" s="466"/>
      <c r="B11" s="466">
        <v>46048</v>
      </c>
      <c r="C11" s="33">
        <v>1</v>
      </c>
      <c r="D11" s="33">
        <v>1</v>
      </c>
      <c r="E11" s="33"/>
      <c r="F11" s="33"/>
      <c r="G11" s="33">
        <v>16</v>
      </c>
      <c r="H11" s="33"/>
      <c r="I11" s="33">
        <v>1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spans="1:25" ht="14.25" thickTop="1">
      <c r="A12" s="464">
        <v>46042</v>
      </c>
      <c r="B12" s="464">
        <v>46049</v>
      </c>
      <c r="C12">
        <v>1</v>
      </c>
      <c r="D12">
        <v>1</v>
      </c>
      <c r="I12">
        <v>1</v>
      </c>
    </row>
    <row r="13" spans="1:25">
      <c r="B13" s="464">
        <v>46050</v>
      </c>
      <c r="N13">
        <v>2</v>
      </c>
      <c r="O13">
        <v>2</v>
      </c>
      <c r="R13">
        <v>2</v>
      </c>
      <c r="V13">
        <v>2</v>
      </c>
    </row>
    <row r="14" spans="1:25">
      <c r="B14" s="464">
        <v>46051</v>
      </c>
      <c r="M14">
        <v>1</v>
      </c>
      <c r="O14">
        <v>1</v>
      </c>
      <c r="R14">
        <v>1</v>
      </c>
      <c r="V14">
        <v>1</v>
      </c>
    </row>
    <row r="15" spans="1:25">
      <c r="B15" s="464">
        <v>46052</v>
      </c>
      <c r="G15">
        <v>5</v>
      </c>
    </row>
    <row r="16" spans="1:25">
      <c r="B16" s="464">
        <v>46055</v>
      </c>
      <c r="G16">
        <v>5</v>
      </c>
    </row>
    <row r="17" spans="1:25">
      <c r="B17" s="464">
        <v>46056</v>
      </c>
      <c r="C17">
        <v>1</v>
      </c>
      <c r="D17">
        <v>1</v>
      </c>
      <c r="G17">
        <v>4</v>
      </c>
      <c r="K17">
        <v>1</v>
      </c>
    </row>
    <row r="18" spans="1:25">
      <c r="B18" s="464">
        <v>46057</v>
      </c>
      <c r="C18">
        <v>3</v>
      </c>
      <c r="D18">
        <v>2</v>
      </c>
      <c r="G18">
        <v>4</v>
      </c>
      <c r="I18">
        <v>3</v>
      </c>
    </row>
    <row r="19" spans="1:25">
      <c r="B19" s="464">
        <v>46058</v>
      </c>
      <c r="G19">
        <v>4</v>
      </c>
      <c r="M19">
        <v>1</v>
      </c>
      <c r="Q19">
        <v>1</v>
      </c>
      <c r="R19">
        <v>4</v>
      </c>
      <c r="U19">
        <v>1</v>
      </c>
      <c r="V19">
        <v>4</v>
      </c>
      <c r="Y19">
        <v>1</v>
      </c>
    </row>
    <row r="20" spans="1:25">
      <c r="B20" s="464">
        <v>46059</v>
      </c>
      <c r="G20">
        <v>3</v>
      </c>
    </row>
    <row r="21" spans="1:25">
      <c r="B21" s="464">
        <v>46062</v>
      </c>
      <c r="G21">
        <v>5</v>
      </c>
    </row>
    <row r="22" spans="1:25">
      <c r="B22" s="464">
        <v>46063</v>
      </c>
      <c r="C22">
        <v>1</v>
      </c>
      <c r="D22">
        <v>1</v>
      </c>
      <c r="G22">
        <v>1</v>
      </c>
      <c r="J22">
        <v>1</v>
      </c>
    </row>
    <row r="23" spans="1:25">
      <c r="B23" s="464">
        <v>46065</v>
      </c>
      <c r="C23">
        <v>1</v>
      </c>
      <c r="D23">
        <v>1</v>
      </c>
      <c r="G23">
        <v>6</v>
      </c>
      <c r="J23">
        <v>1</v>
      </c>
      <c r="M23">
        <v>5</v>
      </c>
    </row>
    <row r="24" spans="1:25">
      <c r="B24" s="464">
        <v>46066</v>
      </c>
      <c r="M24">
        <v>1</v>
      </c>
      <c r="O24">
        <v>1</v>
      </c>
      <c r="R24">
        <v>1</v>
      </c>
      <c r="V24">
        <v>1</v>
      </c>
    </row>
    <row r="25" spans="1:25" ht="14.25" thickBot="1">
      <c r="A25" s="466"/>
      <c r="B25" s="466">
        <v>46069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>
        <v>1</v>
      </c>
      <c r="N25" s="33"/>
      <c r="O25" s="33">
        <v>1</v>
      </c>
      <c r="P25" s="33"/>
      <c r="Q25" s="33"/>
      <c r="R25" s="33">
        <v>1</v>
      </c>
      <c r="S25" s="33"/>
      <c r="T25" s="33"/>
      <c r="U25" s="33"/>
      <c r="V25" s="33">
        <v>1</v>
      </c>
      <c r="W25" s="33"/>
      <c r="X25" s="33"/>
      <c r="Y25" s="33"/>
    </row>
    <row r="26" spans="1:25" ht="14.25" thickTop="1">
      <c r="A26" s="464">
        <v>46063</v>
      </c>
      <c r="B26" s="464">
        <v>46073</v>
      </c>
      <c r="C26">
        <v>1</v>
      </c>
      <c r="D26">
        <v>1</v>
      </c>
      <c r="G26">
        <v>1</v>
      </c>
      <c r="I26">
        <v>1</v>
      </c>
    </row>
    <row r="27" spans="1:25">
      <c r="B27" s="464">
        <v>46077</v>
      </c>
      <c r="C27">
        <v>1</v>
      </c>
      <c r="D27">
        <v>1</v>
      </c>
      <c r="G27">
        <v>1</v>
      </c>
      <c r="I27">
        <v>1</v>
      </c>
    </row>
    <row r="28" spans="1:25">
      <c r="B28" s="464">
        <v>46078</v>
      </c>
      <c r="C28">
        <v>1</v>
      </c>
      <c r="D28">
        <v>1</v>
      </c>
      <c r="G28">
        <v>3</v>
      </c>
      <c r="I28">
        <v>1</v>
      </c>
    </row>
    <row r="29" spans="1:25">
      <c r="B29" s="464">
        <v>46079</v>
      </c>
      <c r="C29">
        <v>1</v>
      </c>
      <c r="D29">
        <v>1</v>
      </c>
      <c r="G29">
        <v>1</v>
      </c>
      <c r="I29">
        <v>1</v>
      </c>
    </row>
    <row r="30" spans="1:25">
      <c r="B30" s="464">
        <v>46080</v>
      </c>
      <c r="C30">
        <v>1</v>
      </c>
      <c r="D30">
        <v>1</v>
      </c>
      <c r="G30">
        <v>1</v>
      </c>
      <c r="I30">
        <v>1</v>
      </c>
      <c r="N30">
        <v>1</v>
      </c>
      <c r="O30">
        <v>1</v>
      </c>
      <c r="R30">
        <v>1</v>
      </c>
      <c r="V30">
        <v>1</v>
      </c>
    </row>
    <row r="31" spans="1:25">
      <c r="B31" s="464">
        <v>46083</v>
      </c>
      <c r="C31">
        <v>1</v>
      </c>
      <c r="D31">
        <v>1</v>
      </c>
      <c r="G31">
        <v>1</v>
      </c>
      <c r="I31">
        <v>1</v>
      </c>
      <c r="N31">
        <v>1</v>
      </c>
      <c r="O31">
        <v>1</v>
      </c>
      <c r="R31">
        <v>1</v>
      </c>
      <c r="V31">
        <v>1</v>
      </c>
    </row>
    <row r="32" spans="1:25">
      <c r="B32" s="464">
        <v>46084</v>
      </c>
      <c r="C32">
        <v>1</v>
      </c>
      <c r="D32">
        <v>1</v>
      </c>
      <c r="G32">
        <v>1</v>
      </c>
      <c r="K32">
        <v>1</v>
      </c>
      <c r="N32">
        <v>1</v>
      </c>
      <c r="O32">
        <v>1</v>
      </c>
      <c r="R32">
        <v>1</v>
      </c>
      <c r="V32">
        <v>1</v>
      </c>
    </row>
    <row r="33" spans="1:25">
      <c r="B33" s="464">
        <v>46085</v>
      </c>
      <c r="C33">
        <v>3</v>
      </c>
      <c r="D33">
        <v>1</v>
      </c>
      <c r="G33">
        <v>1</v>
      </c>
      <c r="I33">
        <v>1</v>
      </c>
      <c r="N33">
        <v>1</v>
      </c>
      <c r="O33">
        <v>1</v>
      </c>
      <c r="R33">
        <v>1</v>
      </c>
      <c r="V33">
        <v>1</v>
      </c>
    </row>
    <row r="34" spans="1:25">
      <c r="B34" s="464">
        <v>46086</v>
      </c>
      <c r="C34">
        <v>1</v>
      </c>
      <c r="D34">
        <v>1</v>
      </c>
      <c r="G34">
        <v>1</v>
      </c>
      <c r="K34">
        <v>1</v>
      </c>
      <c r="N34">
        <v>1</v>
      </c>
      <c r="O34">
        <v>1</v>
      </c>
      <c r="R34">
        <v>1</v>
      </c>
      <c r="V34">
        <v>1</v>
      </c>
    </row>
    <row r="35" spans="1:25">
      <c r="B35" s="464">
        <v>46087</v>
      </c>
      <c r="M35">
        <v>1</v>
      </c>
      <c r="N35">
        <v>1</v>
      </c>
      <c r="O35">
        <v>1</v>
      </c>
      <c r="Q35">
        <v>1</v>
      </c>
      <c r="R35">
        <v>1</v>
      </c>
      <c r="U35">
        <v>1</v>
      </c>
      <c r="V35">
        <v>1</v>
      </c>
      <c r="Y35">
        <v>1</v>
      </c>
    </row>
    <row r="36" spans="1:25">
      <c r="B36" s="464">
        <v>46090</v>
      </c>
      <c r="C36">
        <v>1</v>
      </c>
      <c r="D36">
        <v>1</v>
      </c>
      <c r="G36">
        <v>1</v>
      </c>
      <c r="K36">
        <v>1</v>
      </c>
      <c r="M36">
        <v>1</v>
      </c>
      <c r="N36">
        <v>1</v>
      </c>
      <c r="O36">
        <v>1</v>
      </c>
      <c r="Q36">
        <v>1</v>
      </c>
      <c r="R36">
        <v>1</v>
      </c>
      <c r="U36">
        <v>1</v>
      </c>
      <c r="V36">
        <v>1</v>
      </c>
      <c r="Y36">
        <v>1</v>
      </c>
    </row>
    <row r="37" spans="1:25">
      <c r="B37" s="464">
        <v>46091</v>
      </c>
      <c r="C37">
        <v>1</v>
      </c>
      <c r="D37">
        <v>1</v>
      </c>
      <c r="G37">
        <v>1</v>
      </c>
      <c r="J37">
        <v>1</v>
      </c>
    </row>
    <row r="38" spans="1:25">
      <c r="B38" s="464">
        <v>46092</v>
      </c>
      <c r="C38">
        <v>1</v>
      </c>
      <c r="D38">
        <v>1</v>
      </c>
      <c r="G38">
        <v>1</v>
      </c>
      <c r="K38">
        <v>1</v>
      </c>
      <c r="M38">
        <v>1</v>
      </c>
      <c r="Q38">
        <v>1</v>
      </c>
      <c r="U38">
        <v>1</v>
      </c>
      <c r="Y38">
        <v>1</v>
      </c>
    </row>
    <row r="39" spans="1:25">
      <c r="B39" s="464">
        <v>46093</v>
      </c>
      <c r="C39">
        <v>1</v>
      </c>
      <c r="D39">
        <v>1</v>
      </c>
      <c r="G39">
        <v>1</v>
      </c>
      <c r="J39">
        <v>1</v>
      </c>
    </row>
    <row r="40" spans="1:25">
      <c r="B40" s="464">
        <v>46094</v>
      </c>
      <c r="C40">
        <v>1</v>
      </c>
      <c r="D40">
        <v>1</v>
      </c>
      <c r="G40">
        <v>1</v>
      </c>
      <c r="J40">
        <v>1</v>
      </c>
      <c r="M40">
        <v>2</v>
      </c>
      <c r="O40">
        <v>1</v>
      </c>
      <c r="Q40">
        <v>1</v>
      </c>
      <c r="R40">
        <v>1</v>
      </c>
      <c r="U40">
        <v>1</v>
      </c>
      <c r="V40">
        <v>1</v>
      </c>
      <c r="Y40">
        <v>1</v>
      </c>
    </row>
    <row r="41" spans="1:25">
      <c r="B41" s="464">
        <v>46097</v>
      </c>
      <c r="C41">
        <v>1</v>
      </c>
      <c r="D41">
        <v>1</v>
      </c>
      <c r="G41">
        <v>1</v>
      </c>
      <c r="J41">
        <v>1</v>
      </c>
      <c r="M41">
        <v>1</v>
      </c>
      <c r="O41">
        <v>1</v>
      </c>
      <c r="R41">
        <v>1</v>
      </c>
      <c r="V41">
        <v>1</v>
      </c>
    </row>
    <row r="42" spans="1:25">
      <c r="B42" s="464">
        <v>46098</v>
      </c>
      <c r="C42">
        <v>1</v>
      </c>
      <c r="D42">
        <v>1</v>
      </c>
      <c r="G42">
        <v>1</v>
      </c>
      <c r="J42">
        <v>1</v>
      </c>
      <c r="M42">
        <v>1</v>
      </c>
      <c r="O42">
        <v>1</v>
      </c>
      <c r="R42">
        <v>1</v>
      </c>
      <c r="V42">
        <v>1</v>
      </c>
    </row>
    <row r="43" spans="1:25">
      <c r="A43" s="467"/>
      <c r="B43" s="467">
        <v>46099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>
        <v>1</v>
      </c>
      <c r="N43" s="41"/>
      <c r="O43" s="41">
        <v>1</v>
      </c>
      <c r="P43" s="41"/>
      <c r="Q43" s="41"/>
      <c r="R43" s="41">
        <v>1</v>
      </c>
      <c r="S43" s="41"/>
      <c r="T43" s="41"/>
      <c r="U43" s="41"/>
      <c r="V43" s="41">
        <v>1</v>
      </c>
      <c r="W43" s="41"/>
      <c r="X43" s="41"/>
      <c r="Y43" s="41"/>
    </row>
    <row r="44" spans="1:25" ht="14.25" thickBot="1">
      <c r="A44" s="466"/>
      <c r="B44" s="466">
        <v>46100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>
        <v>1</v>
      </c>
      <c r="N44" s="33"/>
      <c r="O44" s="33">
        <v>1</v>
      </c>
      <c r="P44" s="33"/>
      <c r="Q44" s="33"/>
      <c r="R44" s="33">
        <v>1</v>
      </c>
      <c r="S44" s="33"/>
      <c r="T44" s="33"/>
      <c r="U44" s="33"/>
      <c r="V44" s="33">
        <v>1</v>
      </c>
      <c r="W44" s="33"/>
      <c r="X44" s="33"/>
      <c r="Y44" s="33"/>
    </row>
    <row r="45" spans="1:25" ht="14.25" thickTop="1">
      <c r="A45" s="464">
        <v>46093</v>
      </c>
      <c r="B45" s="464">
        <v>46106</v>
      </c>
      <c r="C45">
        <v>1</v>
      </c>
      <c r="D45">
        <v>1</v>
      </c>
      <c r="G45">
        <v>1</v>
      </c>
      <c r="I45">
        <v>1</v>
      </c>
    </row>
    <row r="46" spans="1:25">
      <c r="B46" s="464">
        <v>46107</v>
      </c>
      <c r="C46">
        <v>1</v>
      </c>
      <c r="D46">
        <v>1</v>
      </c>
      <c r="G46">
        <v>1</v>
      </c>
      <c r="K46">
        <v>1</v>
      </c>
    </row>
    <row r="47" spans="1:25">
      <c r="B47" s="464">
        <v>46108</v>
      </c>
      <c r="C47">
        <v>1</v>
      </c>
      <c r="D47">
        <v>1</v>
      </c>
      <c r="G47">
        <v>1</v>
      </c>
      <c r="K47">
        <v>1</v>
      </c>
      <c r="M47">
        <v>1</v>
      </c>
      <c r="O47">
        <v>1</v>
      </c>
      <c r="R47">
        <v>1</v>
      </c>
      <c r="V47">
        <v>1</v>
      </c>
    </row>
    <row r="48" spans="1:25">
      <c r="B48" s="464">
        <v>46111</v>
      </c>
      <c r="C48">
        <v>1</v>
      </c>
      <c r="D48">
        <v>1</v>
      </c>
      <c r="G48">
        <v>1</v>
      </c>
      <c r="K48">
        <v>1</v>
      </c>
      <c r="M48">
        <v>1</v>
      </c>
      <c r="Q48">
        <v>1</v>
      </c>
      <c r="U48">
        <v>1</v>
      </c>
      <c r="Y48">
        <v>1</v>
      </c>
    </row>
    <row r="49" spans="2:25">
      <c r="B49" s="464">
        <v>46112</v>
      </c>
      <c r="M49">
        <v>1</v>
      </c>
      <c r="Q49">
        <v>1</v>
      </c>
      <c r="U49">
        <v>1</v>
      </c>
      <c r="Y49">
        <v>1</v>
      </c>
    </row>
    <row r="50" spans="2:25">
      <c r="B50" s="464">
        <v>46113</v>
      </c>
      <c r="M50">
        <v>1</v>
      </c>
      <c r="Q50">
        <v>1</v>
      </c>
      <c r="U50">
        <v>1</v>
      </c>
      <c r="Y50">
        <v>1</v>
      </c>
    </row>
    <row r="51" spans="2:25">
      <c r="B51" s="464">
        <v>46115</v>
      </c>
      <c r="C51">
        <v>1</v>
      </c>
      <c r="D51">
        <v>1</v>
      </c>
      <c r="G51">
        <v>1</v>
      </c>
      <c r="K51">
        <v>1</v>
      </c>
    </row>
    <row r="52" spans="2:25">
      <c r="B52" s="464">
        <v>46118</v>
      </c>
      <c r="C52">
        <v>1</v>
      </c>
      <c r="D52">
        <v>1</v>
      </c>
      <c r="G52">
        <v>1</v>
      </c>
      <c r="J52">
        <v>1</v>
      </c>
    </row>
    <row r="53" spans="2:25">
      <c r="B53" s="464">
        <v>46119</v>
      </c>
      <c r="C53">
        <v>1</v>
      </c>
      <c r="D53">
        <v>1</v>
      </c>
      <c r="G53">
        <v>1</v>
      </c>
      <c r="J53">
        <v>1</v>
      </c>
    </row>
    <row r="54" spans="2:25">
      <c r="B54" s="464">
        <v>46120</v>
      </c>
      <c r="C54">
        <v>1</v>
      </c>
      <c r="D54">
        <v>1</v>
      </c>
      <c r="G54">
        <v>1</v>
      </c>
      <c r="J54">
        <v>1</v>
      </c>
    </row>
    <row r="55" spans="2:25">
      <c r="B55" s="464">
        <v>46121</v>
      </c>
      <c r="C55">
        <v>1</v>
      </c>
      <c r="D55">
        <v>1</v>
      </c>
      <c r="G55">
        <v>1</v>
      </c>
      <c r="J55">
        <v>1</v>
      </c>
    </row>
    <row r="56" spans="2:25">
      <c r="B56" s="464">
        <v>46122</v>
      </c>
      <c r="C56">
        <v>1</v>
      </c>
      <c r="D56">
        <v>1</v>
      </c>
      <c r="G56">
        <v>1</v>
      </c>
      <c r="K56">
        <v>1</v>
      </c>
      <c r="M56">
        <v>1</v>
      </c>
      <c r="Q56">
        <v>1</v>
      </c>
      <c r="U56">
        <v>1</v>
      </c>
      <c r="Y56">
        <v>1</v>
      </c>
    </row>
    <row r="57" spans="2:25">
      <c r="B57" s="464">
        <v>46125</v>
      </c>
      <c r="C57">
        <v>1</v>
      </c>
      <c r="D57">
        <v>1</v>
      </c>
      <c r="G57">
        <v>1</v>
      </c>
      <c r="J57">
        <v>1</v>
      </c>
      <c r="M57">
        <v>4</v>
      </c>
      <c r="O57">
        <v>4</v>
      </c>
      <c r="R57">
        <v>4</v>
      </c>
      <c r="V57">
        <v>4</v>
      </c>
    </row>
    <row r="58" spans="2:25">
      <c r="B58" s="464">
        <v>46126</v>
      </c>
      <c r="C58">
        <v>1</v>
      </c>
      <c r="D58">
        <v>1</v>
      </c>
      <c r="G58">
        <v>1</v>
      </c>
      <c r="J58">
        <v>1</v>
      </c>
    </row>
    <row r="59" spans="2:25">
      <c r="B59" s="464">
        <v>46127</v>
      </c>
      <c r="M59">
        <v>1</v>
      </c>
      <c r="Q59">
        <v>1</v>
      </c>
      <c r="U59">
        <v>1</v>
      </c>
      <c r="Y59">
        <v>1</v>
      </c>
    </row>
    <row r="60" spans="2:25">
      <c r="B60" s="464">
        <v>46128</v>
      </c>
      <c r="C60">
        <v>1</v>
      </c>
      <c r="D60">
        <v>1</v>
      </c>
      <c r="G60">
        <v>1</v>
      </c>
      <c r="J60">
        <v>1</v>
      </c>
      <c r="M60">
        <v>2</v>
      </c>
      <c r="O60">
        <v>2</v>
      </c>
      <c r="R60">
        <v>2</v>
      </c>
      <c r="V60">
        <v>2</v>
      </c>
    </row>
    <row r="61" spans="2:25">
      <c r="B61" s="464">
        <v>46132</v>
      </c>
      <c r="M61">
        <v>1</v>
      </c>
      <c r="O61">
        <v>1</v>
      </c>
      <c r="R61">
        <v>1</v>
      </c>
      <c r="V61">
        <v>1</v>
      </c>
    </row>
    <row r="62" spans="2:25">
      <c r="B62" s="464" t="s">
        <v>1243</v>
      </c>
    </row>
    <row r="63" spans="2:25">
      <c r="B63" s="464" t="s">
        <v>823</v>
      </c>
      <c r="C63">
        <v>67</v>
      </c>
      <c r="D63">
        <v>45</v>
      </c>
      <c r="G63">
        <v>106</v>
      </c>
      <c r="I63">
        <v>21</v>
      </c>
      <c r="J63">
        <v>15</v>
      </c>
      <c r="K63">
        <v>10</v>
      </c>
      <c r="L63">
        <v>5</v>
      </c>
      <c r="M63">
        <v>37</v>
      </c>
      <c r="N63">
        <v>15</v>
      </c>
      <c r="O63">
        <v>38</v>
      </c>
      <c r="Q63">
        <v>10</v>
      </c>
      <c r="R63">
        <v>42</v>
      </c>
      <c r="U63">
        <v>10</v>
      </c>
      <c r="V63">
        <v>55</v>
      </c>
      <c r="Y63">
        <v>10</v>
      </c>
    </row>
  </sheetData>
  <autoFilter ref="A3:Y3"/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195"/>
  <sheetViews>
    <sheetView topLeftCell="S1" zoomScale="80" zoomScaleNormal="80" workbookViewId="0">
      <selection activeCell="AA1" sqref="AA1:AO195"/>
    </sheetView>
  </sheetViews>
  <sheetFormatPr defaultRowHeight="13.5"/>
  <sheetData>
    <row r="1" spans="1:64" s="412" customFormat="1" ht="50.25" customHeight="1">
      <c r="A1" s="377" t="s">
        <v>1025</v>
      </c>
      <c r="B1" s="378" t="s">
        <v>62</v>
      </c>
      <c r="C1" s="378" t="s">
        <v>63</v>
      </c>
      <c r="D1" s="379" t="s">
        <v>1035</v>
      </c>
      <c r="E1" s="378" t="s">
        <v>65</v>
      </c>
      <c r="F1" s="378" t="s">
        <v>66</v>
      </c>
      <c r="G1" s="378" t="s">
        <v>67</v>
      </c>
      <c r="H1" s="378" t="s">
        <v>68</v>
      </c>
      <c r="I1" s="380" t="s">
        <v>1026</v>
      </c>
      <c r="J1" s="381" t="s">
        <v>1027</v>
      </c>
      <c r="K1" s="382" t="s">
        <v>1028</v>
      </c>
      <c r="L1" s="383" t="s">
        <v>52</v>
      </c>
      <c r="M1" s="384" t="s">
        <v>53</v>
      </c>
      <c r="N1" s="381" t="s">
        <v>1029</v>
      </c>
      <c r="O1" s="385" t="s">
        <v>1030</v>
      </c>
      <c r="P1" s="387" t="s">
        <v>1031</v>
      </c>
      <c r="Q1" s="388" t="s">
        <v>1032</v>
      </c>
      <c r="R1" s="389" t="s">
        <v>1036</v>
      </c>
      <c r="S1" s="390" t="s">
        <v>71</v>
      </c>
      <c r="T1" s="391" t="s">
        <v>72</v>
      </c>
      <c r="U1" s="392" t="s">
        <v>73</v>
      </c>
      <c r="V1" s="390" t="s">
        <v>74</v>
      </c>
      <c r="W1" s="392" t="s">
        <v>75</v>
      </c>
      <c r="X1" s="390" t="s">
        <v>1037</v>
      </c>
      <c r="Y1" s="391" t="s">
        <v>77</v>
      </c>
      <c r="Z1" s="392" t="s">
        <v>78</v>
      </c>
      <c r="AA1" s="386" t="s">
        <v>1030</v>
      </c>
      <c r="AB1" s="393" t="s">
        <v>79</v>
      </c>
      <c r="AC1" s="394" t="s">
        <v>1038</v>
      </c>
      <c r="AD1" s="395" t="s">
        <v>81</v>
      </c>
      <c r="AE1" s="393" t="s">
        <v>82</v>
      </c>
      <c r="AF1" s="396" t="s">
        <v>1039</v>
      </c>
      <c r="AG1" s="394" t="s">
        <v>1040</v>
      </c>
      <c r="AH1" s="393" t="s">
        <v>85</v>
      </c>
      <c r="AI1" s="396" t="s">
        <v>1041</v>
      </c>
      <c r="AJ1" s="396" t="s">
        <v>87</v>
      </c>
      <c r="AK1" s="394" t="s">
        <v>88</v>
      </c>
      <c r="AL1" s="393" t="s">
        <v>89</v>
      </c>
      <c r="AM1" s="396" t="s">
        <v>1042</v>
      </c>
      <c r="AN1" s="396" t="s">
        <v>91</v>
      </c>
      <c r="AO1" s="394" t="s">
        <v>1043</v>
      </c>
      <c r="AP1" s="397" t="s">
        <v>211</v>
      </c>
      <c r="AQ1" s="398" t="s">
        <v>1033</v>
      </c>
      <c r="AR1" s="398" t="s">
        <v>1044</v>
      </c>
      <c r="AS1" s="398" t="s">
        <v>192</v>
      </c>
      <c r="AT1" s="399" t="s">
        <v>286</v>
      </c>
      <c r="AU1" s="399" t="s">
        <v>1045</v>
      </c>
      <c r="AV1" s="400" t="s">
        <v>200</v>
      </c>
      <c r="AW1" s="397" t="s">
        <v>193</v>
      </c>
      <c r="AX1" s="401" t="s">
        <v>212</v>
      </c>
      <c r="AY1" s="402" t="s">
        <v>93</v>
      </c>
      <c r="AZ1" s="403" t="s">
        <v>1046</v>
      </c>
      <c r="BA1" s="404" t="s">
        <v>38</v>
      </c>
      <c r="BB1" s="405" t="s">
        <v>1047</v>
      </c>
      <c r="BC1" s="406" t="s">
        <v>1048</v>
      </c>
      <c r="BD1" s="407" t="s">
        <v>1034</v>
      </c>
      <c r="BE1" s="407" t="s">
        <v>1049</v>
      </c>
      <c r="BF1" s="381" t="s">
        <v>1050</v>
      </c>
      <c r="BG1" s="408" t="s">
        <v>1051</v>
      </c>
      <c r="BH1" s="409" t="s">
        <v>1052</v>
      </c>
      <c r="BI1" s="410" t="s">
        <v>1053</v>
      </c>
      <c r="BJ1" s="411" t="s">
        <v>1054</v>
      </c>
      <c r="BK1" s="412" t="s">
        <v>1055</v>
      </c>
      <c r="BL1" s="412" t="s">
        <v>1056</v>
      </c>
    </row>
    <row r="2" spans="1:64" s="444" customFormat="1" ht="12" customHeight="1">
      <c r="A2" s="413">
        <v>21357</v>
      </c>
      <c r="B2" s="414"/>
      <c r="C2" s="414"/>
      <c r="D2" s="414"/>
      <c r="E2" s="415">
        <v>8219</v>
      </c>
      <c r="F2" s="414"/>
      <c r="G2" s="414"/>
      <c r="H2" s="414"/>
      <c r="I2" s="416" t="s">
        <v>260</v>
      </c>
      <c r="J2" s="417">
        <v>46029</v>
      </c>
      <c r="K2" s="418">
        <v>46042</v>
      </c>
      <c r="L2" s="418"/>
      <c r="M2" s="419" t="s">
        <v>1057</v>
      </c>
      <c r="N2" s="417">
        <v>46038</v>
      </c>
      <c r="O2" s="420">
        <v>46031</v>
      </c>
      <c r="P2" s="422">
        <v>46042</v>
      </c>
      <c r="Q2" s="423"/>
      <c r="R2" s="424"/>
      <c r="S2" s="424"/>
      <c r="T2" s="425"/>
      <c r="U2" s="426"/>
      <c r="V2" s="424"/>
      <c r="W2" s="426"/>
      <c r="X2" s="424"/>
      <c r="Y2" s="427"/>
      <c r="Z2" s="426"/>
      <c r="AA2" s="421">
        <v>46038</v>
      </c>
      <c r="AB2" s="428"/>
      <c r="AC2" s="426"/>
      <c r="AD2" s="429" t="s">
        <v>1058</v>
      </c>
      <c r="AE2" s="430"/>
      <c r="AF2" s="427"/>
      <c r="AG2" s="426"/>
      <c r="AH2" s="431"/>
      <c r="AI2" s="427"/>
      <c r="AJ2" s="427"/>
      <c r="AK2" s="426"/>
      <c r="AL2" s="430"/>
      <c r="AM2" s="427"/>
      <c r="AN2" s="427"/>
      <c r="AO2" s="426"/>
      <c r="AP2" s="428"/>
      <c r="AQ2" s="427"/>
      <c r="AR2" s="427"/>
      <c r="AS2" s="432" t="s">
        <v>1058</v>
      </c>
      <c r="AT2" s="427"/>
      <c r="AU2" s="427"/>
      <c r="AV2" s="426"/>
      <c r="AW2" s="433" t="s">
        <v>1058</v>
      </c>
      <c r="AX2" s="426"/>
      <c r="AY2" s="434" t="s">
        <v>1058</v>
      </c>
      <c r="AZ2" s="435" t="s">
        <v>306</v>
      </c>
      <c r="BA2" s="436" t="s">
        <v>259</v>
      </c>
      <c r="BB2" s="437"/>
      <c r="BC2" s="438" t="s">
        <v>260</v>
      </c>
      <c r="BD2" s="439">
        <v>11</v>
      </c>
      <c r="BE2" s="439" t="str">
        <f t="shared" ref="BE2:BE33" si="0">I2</f>
        <v>VU-LA004</v>
      </c>
      <c r="BF2" s="440">
        <f t="shared" ref="BF2:BF33" si="1">K2</f>
        <v>46042</v>
      </c>
      <c r="BG2" s="439">
        <f t="shared" ref="BG2:BG33" si="2">A2</f>
        <v>21357</v>
      </c>
      <c r="BH2" s="441">
        <f t="shared" ref="BH2:BH33" si="3">COUNTA(R2:Z2)</f>
        <v>0</v>
      </c>
      <c r="BI2" s="442">
        <f t="shared" ref="BI2:BI33" si="4">COUNTA(AB2:AO2)</f>
        <v>1</v>
      </c>
      <c r="BJ2" s="443"/>
    </row>
    <row r="3" spans="1:64" s="444" customFormat="1" ht="12" customHeight="1">
      <c r="A3" s="413">
        <v>21358</v>
      </c>
      <c r="B3" s="414"/>
      <c r="C3" s="414"/>
      <c r="D3" s="414"/>
      <c r="E3" s="415">
        <v>8220</v>
      </c>
      <c r="F3" s="414"/>
      <c r="G3" s="414"/>
      <c r="H3" s="414"/>
      <c r="I3" s="416" t="s">
        <v>260</v>
      </c>
      <c r="J3" s="417">
        <v>46029</v>
      </c>
      <c r="K3" s="418">
        <v>46042</v>
      </c>
      <c r="L3" s="418"/>
      <c r="M3" s="419" t="s">
        <v>303</v>
      </c>
      <c r="N3" s="417">
        <v>46039</v>
      </c>
      <c r="O3" s="420">
        <v>46035</v>
      </c>
      <c r="P3" s="422">
        <v>46042</v>
      </c>
      <c r="Q3" s="423"/>
      <c r="R3" s="424"/>
      <c r="S3" s="424"/>
      <c r="T3" s="425"/>
      <c r="U3" s="426"/>
      <c r="V3" s="424"/>
      <c r="W3" s="426"/>
      <c r="X3" s="424"/>
      <c r="Y3" s="427"/>
      <c r="Z3" s="426"/>
      <c r="AA3" s="421">
        <v>46038</v>
      </c>
      <c r="AB3" s="428"/>
      <c r="AC3" s="426"/>
      <c r="AD3" s="429" t="s">
        <v>1058</v>
      </c>
      <c r="AE3" s="430" t="s">
        <v>1058</v>
      </c>
      <c r="AF3" s="427"/>
      <c r="AG3" s="426"/>
      <c r="AH3" s="431" t="s">
        <v>1058</v>
      </c>
      <c r="AI3" s="427"/>
      <c r="AJ3" s="427"/>
      <c r="AK3" s="426"/>
      <c r="AL3" s="430" t="s">
        <v>1058</v>
      </c>
      <c r="AM3" s="427"/>
      <c r="AN3" s="427"/>
      <c r="AO3" s="426"/>
      <c r="AP3" s="428"/>
      <c r="AQ3" s="427"/>
      <c r="AR3" s="427"/>
      <c r="AS3" s="432" t="s">
        <v>1058</v>
      </c>
      <c r="AT3" s="427"/>
      <c r="AU3" s="427"/>
      <c r="AV3" s="426"/>
      <c r="AW3" s="433" t="s">
        <v>1058</v>
      </c>
      <c r="AX3" s="426"/>
      <c r="AY3" s="434" t="s">
        <v>1058</v>
      </c>
      <c r="AZ3" s="435" t="s">
        <v>302</v>
      </c>
      <c r="BA3" s="436" t="s">
        <v>259</v>
      </c>
      <c r="BB3" s="437"/>
      <c r="BC3" s="438" t="s">
        <v>260</v>
      </c>
      <c r="BD3" s="439">
        <v>11</v>
      </c>
      <c r="BE3" s="439" t="str">
        <f t="shared" si="0"/>
        <v>VU-LA004</v>
      </c>
      <c r="BF3" s="440">
        <f t="shared" si="1"/>
        <v>46042</v>
      </c>
      <c r="BG3" s="439">
        <f t="shared" si="2"/>
        <v>21358</v>
      </c>
      <c r="BH3" s="441">
        <f t="shared" si="3"/>
        <v>0</v>
      </c>
      <c r="BI3" s="442">
        <f t="shared" si="4"/>
        <v>4</v>
      </c>
      <c r="BJ3" s="443"/>
    </row>
    <row r="4" spans="1:64" s="444" customFormat="1" ht="12" customHeight="1">
      <c r="A4" s="413">
        <v>21359</v>
      </c>
      <c r="B4" s="414"/>
      <c r="C4" s="414"/>
      <c r="D4" s="414"/>
      <c r="E4" s="415">
        <v>8221</v>
      </c>
      <c r="F4" s="414"/>
      <c r="G4" s="414"/>
      <c r="H4" s="414"/>
      <c r="I4" s="416" t="s">
        <v>260</v>
      </c>
      <c r="J4" s="417">
        <v>46029</v>
      </c>
      <c r="K4" s="418">
        <v>46042</v>
      </c>
      <c r="L4" s="418"/>
      <c r="M4" s="419" t="s">
        <v>305</v>
      </c>
      <c r="N4" s="417">
        <v>46039</v>
      </c>
      <c r="O4" s="420">
        <v>46035</v>
      </c>
      <c r="P4" s="422">
        <v>46042</v>
      </c>
      <c r="Q4" s="423"/>
      <c r="R4" s="424"/>
      <c r="S4" s="424"/>
      <c r="T4" s="425"/>
      <c r="U4" s="426"/>
      <c r="V4" s="424"/>
      <c r="W4" s="426"/>
      <c r="X4" s="424"/>
      <c r="Y4" s="427"/>
      <c r="Z4" s="426"/>
      <c r="AA4" s="421">
        <v>46038</v>
      </c>
      <c r="AB4" s="428"/>
      <c r="AC4" s="426"/>
      <c r="AD4" s="429" t="s">
        <v>1058</v>
      </c>
      <c r="AE4" s="430" t="s">
        <v>1058</v>
      </c>
      <c r="AF4" s="427"/>
      <c r="AG4" s="426"/>
      <c r="AH4" s="431" t="s">
        <v>1058</v>
      </c>
      <c r="AI4" s="427"/>
      <c r="AJ4" s="427"/>
      <c r="AK4" s="426"/>
      <c r="AL4" s="430" t="s">
        <v>1058</v>
      </c>
      <c r="AM4" s="427"/>
      <c r="AN4" s="427"/>
      <c r="AO4" s="426"/>
      <c r="AP4" s="428"/>
      <c r="AQ4" s="427"/>
      <c r="AR4" s="427"/>
      <c r="AS4" s="432" t="s">
        <v>1058</v>
      </c>
      <c r="AT4" s="427"/>
      <c r="AU4" s="427"/>
      <c r="AV4" s="426"/>
      <c r="AW4" s="433" t="s">
        <v>1058</v>
      </c>
      <c r="AX4" s="426"/>
      <c r="AY4" s="434" t="s">
        <v>1058</v>
      </c>
      <c r="AZ4" s="435" t="s">
        <v>300</v>
      </c>
      <c r="BA4" s="436" t="s">
        <v>259</v>
      </c>
      <c r="BB4" s="437"/>
      <c r="BC4" s="438" t="s">
        <v>260</v>
      </c>
      <c r="BD4" s="439">
        <v>11</v>
      </c>
      <c r="BE4" s="439" t="str">
        <f t="shared" si="0"/>
        <v>VU-LA004</v>
      </c>
      <c r="BF4" s="440">
        <f t="shared" si="1"/>
        <v>46042</v>
      </c>
      <c r="BG4" s="439">
        <f t="shared" si="2"/>
        <v>21359</v>
      </c>
      <c r="BH4" s="441">
        <f t="shared" si="3"/>
        <v>0</v>
      </c>
      <c r="BI4" s="442">
        <f t="shared" si="4"/>
        <v>4</v>
      </c>
      <c r="BJ4" s="443"/>
    </row>
    <row r="5" spans="1:64" s="444" customFormat="1" ht="12" customHeight="1">
      <c r="A5" s="413">
        <v>21360</v>
      </c>
      <c r="B5" s="414"/>
      <c r="C5" s="414"/>
      <c r="D5" s="414"/>
      <c r="E5" s="415">
        <v>8222</v>
      </c>
      <c r="F5" s="414"/>
      <c r="G5" s="414"/>
      <c r="H5" s="414"/>
      <c r="I5" s="416" t="s">
        <v>260</v>
      </c>
      <c r="J5" s="417">
        <v>46029</v>
      </c>
      <c r="K5" s="418">
        <v>46042</v>
      </c>
      <c r="L5" s="418"/>
      <c r="M5" s="419" t="s">
        <v>307</v>
      </c>
      <c r="N5" s="417">
        <v>46039</v>
      </c>
      <c r="O5" s="420">
        <v>46035</v>
      </c>
      <c r="P5" s="422">
        <v>46042</v>
      </c>
      <c r="Q5" s="423"/>
      <c r="R5" s="424"/>
      <c r="S5" s="424"/>
      <c r="T5" s="425"/>
      <c r="U5" s="426"/>
      <c r="V5" s="424"/>
      <c r="W5" s="426"/>
      <c r="X5" s="424"/>
      <c r="Y5" s="427"/>
      <c r="Z5" s="426"/>
      <c r="AA5" s="421">
        <v>46038</v>
      </c>
      <c r="AB5" s="428"/>
      <c r="AC5" s="426"/>
      <c r="AD5" s="429" t="s">
        <v>1058</v>
      </c>
      <c r="AE5" s="430" t="s">
        <v>1058</v>
      </c>
      <c r="AF5" s="427"/>
      <c r="AG5" s="426"/>
      <c r="AH5" s="431" t="s">
        <v>1058</v>
      </c>
      <c r="AI5" s="427"/>
      <c r="AJ5" s="427"/>
      <c r="AK5" s="426"/>
      <c r="AL5" s="430" t="s">
        <v>1058</v>
      </c>
      <c r="AM5" s="427"/>
      <c r="AN5" s="427"/>
      <c r="AO5" s="426"/>
      <c r="AP5" s="428"/>
      <c r="AQ5" s="427"/>
      <c r="AR5" s="427"/>
      <c r="AS5" s="432" t="s">
        <v>1058</v>
      </c>
      <c r="AT5" s="427"/>
      <c r="AU5" s="427"/>
      <c r="AV5" s="426"/>
      <c r="AW5" s="433" t="s">
        <v>1058</v>
      </c>
      <c r="AX5" s="426"/>
      <c r="AY5" s="434" t="s">
        <v>1058</v>
      </c>
      <c r="AZ5" s="435" t="s">
        <v>304</v>
      </c>
      <c r="BA5" s="436" t="s">
        <v>259</v>
      </c>
      <c r="BB5" s="437"/>
      <c r="BC5" s="438" t="s">
        <v>260</v>
      </c>
      <c r="BD5" s="439">
        <v>11</v>
      </c>
      <c r="BE5" s="439" t="str">
        <f t="shared" si="0"/>
        <v>VU-LA004</v>
      </c>
      <c r="BF5" s="440">
        <f t="shared" si="1"/>
        <v>46042</v>
      </c>
      <c r="BG5" s="439">
        <f t="shared" si="2"/>
        <v>21360</v>
      </c>
      <c r="BH5" s="441">
        <f t="shared" si="3"/>
        <v>0</v>
      </c>
      <c r="BI5" s="442">
        <f t="shared" si="4"/>
        <v>4</v>
      </c>
      <c r="BJ5" s="443"/>
    </row>
    <row r="6" spans="1:64" s="444" customFormat="1" ht="12" customHeight="1">
      <c r="A6" s="413">
        <v>21361</v>
      </c>
      <c r="B6" s="414"/>
      <c r="C6" s="414"/>
      <c r="D6" s="414"/>
      <c r="E6" s="415">
        <v>8223</v>
      </c>
      <c r="F6" s="414"/>
      <c r="G6" s="414"/>
      <c r="H6" s="414"/>
      <c r="I6" s="416" t="s">
        <v>190</v>
      </c>
      <c r="J6" s="417">
        <v>46029</v>
      </c>
      <c r="K6" s="418">
        <v>46042</v>
      </c>
      <c r="L6" s="418"/>
      <c r="M6" s="419" t="s">
        <v>1059</v>
      </c>
      <c r="N6" s="417">
        <v>46041</v>
      </c>
      <c r="O6" s="420">
        <v>46036</v>
      </c>
      <c r="P6" s="422">
        <v>46042</v>
      </c>
      <c r="Q6" s="423"/>
      <c r="R6" s="424"/>
      <c r="S6" s="424"/>
      <c r="T6" s="425"/>
      <c r="U6" s="426"/>
      <c r="V6" s="424"/>
      <c r="W6" s="426"/>
      <c r="X6" s="424"/>
      <c r="Y6" s="427"/>
      <c r="Z6" s="426"/>
      <c r="AA6" s="421">
        <v>46038</v>
      </c>
      <c r="AB6" s="428"/>
      <c r="AC6" s="445"/>
      <c r="AD6" s="446"/>
      <c r="AE6" s="430" t="s">
        <v>1058</v>
      </c>
      <c r="AF6" s="427"/>
      <c r="AG6" s="426"/>
      <c r="AH6" s="431" t="s">
        <v>1058</v>
      </c>
      <c r="AI6" s="427"/>
      <c r="AJ6" s="427"/>
      <c r="AK6" s="426"/>
      <c r="AL6" s="430" t="s">
        <v>1058</v>
      </c>
      <c r="AM6" s="427"/>
      <c r="AN6" s="427"/>
      <c r="AO6" s="426"/>
      <c r="AP6" s="428"/>
      <c r="AQ6" s="427"/>
      <c r="AR6" s="427"/>
      <c r="AS6" s="432" t="s">
        <v>1058</v>
      </c>
      <c r="AT6" s="427"/>
      <c r="AU6" s="427"/>
      <c r="AV6" s="426"/>
      <c r="AW6" s="433" t="s">
        <v>1058</v>
      </c>
      <c r="AX6" s="426"/>
      <c r="AY6" s="434" t="s">
        <v>1058</v>
      </c>
      <c r="AZ6" s="435" t="s">
        <v>308</v>
      </c>
      <c r="BA6" s="436" t="s">
        <v>164</v>
      </c>
      <c r="BB6" s="437" t="s">
        <v>309</v>
      </c>
      <c r="BC6" s="438" t="s">
        <v>297</v>
      </c>
      <c r="BD6" s="439">
        <v>11</v>
      </c>
      <c r="BE6" s="439" t="str">
        <f t="shared" si="0"/>
        <v>VU-LB106</v>
      </c>
      <c r="BF6" s="440">
        <f t="shared" si="1"/>
        <v>46042</v>
      </c>
      <c r="BG6" s="439">
        <f t="shared" si="2"/>
        <v>21361</v>
      </c>
      <c r="BH6" s="441">
        <f t="shared" si="3"/>
        <v>0</v>
      </c>
      <c r="BI6" s="442">
        <f t="shared" si="4"/>
        <v>3</v>
      </c>
      <c r="BJ6" s="443"/>
    </row>
    <row r="7" spans="1:64" s="444" customFormat="1" ht="12" customHeight="1">
      <c r="A7" s="413">
        <v>21362</v>
      </c>
      <c r="B7" s="414"/>
      <c r="C7" s="414"/>
      <c r="D7" s="414"/>
      <c r="E7" s="415">
        <v>8224</v>
      </c>
      <c r="F7" s="414"/>
      <c r="G7" s="414"/>
      <c r="H7" s="414"/>
      <c r="I7" s="416" t="s">
        <v>190</v>
      </c>
      <c r="J7" s="417">
        <v>46029</v>
      </c>
      <c r="K7" s="418">
        <v>46042</v>
      </c>
      <c r="L7" s="418"/>
      <c r="M7" s="419" t="s">
        <v>313</v>
      </c>
      <c r="N7" s="417">
        <v>46041</v>
      </c>
      <c r="O7" s="420">
        <v>46036</v>
      </c>
      <c r="P7" s="422">
        <v>46042</v>
      </c>
      <c r="Q7" s="423"/>
      <c r="R7" s="424"/>
      <c r="S7" s="424"/>
      <c r="T7" s="425"/>
      <c r="U7" s="426"/>
      <c r="V7" s="424"/>
      <c r="W7" s="426"/>
      <c r="X7" s="424"/>
      <c r="Y7" s="427"/>
      <c r="Z7" s="426"/>
      <c r="AA7" s="421">
        <v>46038</v>
      </c>
      <c r="AB7" s="428"/>
      <c r="AC7" s="445" t="s">
        <v>1058</v>
      </c>
      <c r="AD7" s="446"/>
      <c r="AE7" s="430" t="s">
        <v>1058</v>
      </c>
      <c r="AF7" s="427"/>
      <c r="AG7" s="426"/>
      <c r="AH7" s="431" t="s">
        <v>1058</v>
      </c>
      <c r="AI7" s="427"/>
      <c r="AJ7" s="427"/>
      <c r="AK7" s="426"/>
      <c r="AL7" s="430" t="s">
        <v>1058</v>
      </c>
      <c r="AM7" s="427"/>
      <c r="AN7" s="427"/>
      <c r="AO7" s="426"/>
      <c r="AP7" s="428"/>
      <c r="AQ7" s="427"/>
      <c r="AR7" s="427"/>
      <c r="AS7" s="432" t="s">
        <v>1058</v>
      </c>
      <c r="AT7" s="427"/>
      <c r="AU7" s="427"/>
      <c r="AV7" s="426"/>
      <c r="AW7" s="433" t="s">
        <v>1058</v>
      </c>
      <c r="AX7" s="426"/>
      <c r="AY7" s="434" t="s">
        <v>1058</v>
      </c>
      <c r="AZ7" s="435" t="s">
        <v>311</v>
      </c>
      <c r="BA7" s="436" t="s">
        <v>164</v>
      </c>
      <c r="BB7" s="437" t="s">
        <v>312</v>
      </c>
      <c r="BC7" s="438"/>
      <c r="BD7" s="439">
        <v>11</v>
      </c>
      <c r="BE7" s="439" t="str">
        <f t="shared" si="0"/>
        <v>VU-LB106</v>
      </c>
      <c r="BF7" s="440">
        <f t="shared" si="1"/>
        <v>46042</v>
      </c>
      <c r="BG7" s="439">
        <f t="shared" si="2"/>
        <v>21362</v>
      </c>
      <c r="BH7" s="441">
        <f t="shared" si="3"/>
        <v>0</v>
      </c>
      <c r="BI7" s="442">
        <f t="shared" si="4"/>
        <v>4</v>
      </c>
      <c r="BJ7" s="443"/>
    </row>
    <row r="8" spans="1:64" s="444" customFormat="1" ht="12" customHeight="1">
      <c r="A8" s="413">
        <v>21363</v>
      </c>
      <c r="B8" s="414"/>
      <c r="C8" s="414"/>
      <c r="D8" s="414"/>
      <c r="E8" s="415">
        <v>8225</v>
      </c>
      <c r="F8" s="414"/>
      <c r="G8" s="414"/>
      <c r="H8" s="414"/>
      <c r="I8" s="416" t="s">
        <v>260</v>
      </c>
      <c r="J8" s="417">
        <v>46030</v>
      </c>
      <c r="K8" s="418">
        <v>46043</v>
      </c>
      <c r="L8" s="418"/>
      <c r="M8" s="419" t="s">
        <v>1060</v>
      </c>
      <c r="N8" s="417">
        <v>46041</v>
      </c>
      <c r="O8" s="420">
        <v>46036</v>
      </c>
      <c r="P8" s="422">
        <v>46043</v>
      </c>
      <c r="Q8" s="423"/>
      <c r="R8" s="424"/>
      <c r="S8" s="424"/>
      <c r="T8" s="425"/>
      <c r="U8" s="426"/>
      <c r="V8" s="424"/>
      <c r="W8" s="426"/>
      <c r="X8" s="424"/>
      <c r="Y8" s="427"/>
      <c r="Z8" s="426"/>
      <c r="AA8" s="421">
        <v>46039</v>
      </c>
      <c r="AB8" s="428"/>
      <c r="AC8" s="426"/>
      <c r="AD8" s="429" t="s">
        <v>1058</v>
      </c>
      <c r="AE8" s="430" t="s">
        <v>1058</v>
      </c>
      <c r="AF8" s="427"/>
      <c r="AG8" s="426"/>
      <c r="AH8" s="431" t="s">
        <v>1058</v>
      </c>
      <c r="AI8" s="427"/>
      <c r="AJ8" s="427"/>
      <c r="AK8" s="426"/>
      <c r="AL8" s="430" t="s">
        <v>1058</v>
      </c>
      <c r="AM8" s="427"/>
      <c r="AN8" s="427"/>
      <c r="AO8" s="426"/>
      <c r="AP8" s="428"/>
      <c r="AQ8" s="427"/>
      <c r="AR8" s="427"/>
      <c r="AS8" s="432" t="s">
        <v>1058</v>
      </c>
      <c r="AT8" s="427"/>
      <c r="AU8" s="427"/>
      <c r="AV8" s="426"/>
      <c r="AW8" s="433" t="s">
        <v>1058</v>
      </c>
      <c r="AX8" s="426"/>
      <c r="AY8" s="434" t="s">
        <v>1058</v>
      </c>
      <c r="AZ8" s="435" t="s">
        <v>314</v>
      </c>
      <c r="BA8" s="436" t="s">
        <v>259</v>
      </c>
      <c r="BB8" s="437"/>
      <c r="BC8" s="438" t="s">
        <v>260</v>
      </c>
      <c r="BD8" s="439">
        <v>11</v>
      </c>
      <c r="BE8" s="439" t="str">
        <f t="shared" si="0"/>
        <v>VU-LA004</v>
      </c>
      <c r="BF8" s="440">
        <f t="shared" si="1"/>
        <v>46043</v>
      </c>
      <c r="BG8" s="439">
        <f t="shared" si="2"/>
        <v>21363</v>
      </c>
      <c r="BH8" s="441">
        <f t="shared" si="3"/>
        <v>0</v>
      </c>
      <c r="BI8" s="442">
        <f t="shared" si="4"/>
        <v>4</v>
      </c>
      <c r="BJ8" s="443"/>
    </row>
    <row r="9" spans="1:64" s="444" customFormat="1" ht="12" customHeight="1">
      <c r="A9" s="413">
        <v>21364</v>
      </c>
      <c r="B9" s="414"/>
      <c r="C9" s="414"/>
      <c r="D9" s="414"/>
      <c r="E9" s="415">
        <v>8226</v>
      </c>
      <c r="F9" s="414"/>
      <c r="G9" s="414"/>
      <c r="H9" s="414"/>
      <c r="I9" s="416" t="s">
        <v>260</v>
      </c>
      <c r="J9" s="417">
        <v>46030</v>
      </c>
      <c r="K9" s="418">
        <v>46043</v>
      </c>
      <c r="L9" s="418"/>
      <c r="M9" s="419" t="s">
        <v>317</v>
      </c>
      <c r="N9" s="417">
        <v>46042</v>
      </c>
      <c r="O9" s="420">
        <v>46037</v>
      </c>
      <c r="P9" s="422">
        <v>46043</v>
      </c>
      <c r="Q9" s="423"/>
      <c r="R9" s="424"/>
      <c r="S9" s="424"/>
      <c r="T9" s="425"/>
      <c r="U9" s="426"/>
      <c r="V9" s="424"/>
      <c r="W9" s="426"/>
      <c r="X9" s="424"/>
      <c r="Y9" s="427"/>
      <c r="Z9" s="426"/>
      <c r="AA9" s="421">
        <v>46039</v>
      </c>
      <c r="AB9" s="428"/>
      <c r="AC9" s="426"/>
      <c r="AD9" s="429" t="s">
        <v>1058</v>
      </c>
      <c r="AE9" s="430" t="s">
        <v>1058</v>
      </c>
      <c r="AF9" s="427"/>
      <c r="AG9" s="426"/>
      <c r="AH9" s="431" t="s">
        <v>1058</v>
      </c>
      <c r="AI9" s="427"/>
      <c r="AJ9" s="427"/>
      <c r="AK9" s="426"/>
      <c r="AL9" s="430" t="s">
        <v>1058</v>
      </c>
      <c r="AM9" s="427"/>
      <c r="AN9" s="427"/>
      <c r="AO9" s="426"/>
      <c r="AP9" s="428"/>
      <c r="AQ9" s="427"/>
      <c r="AR9" s="427"/>
      <c r="AS9" s="432" t="s">
        <v>1058</v>
      </c>
      <c r="AT9" s="427"/>
      <c r="AU9" s="427"/>
      <c r="AV9" s="426"/>
      <c r="AW9" s="433" t="s">
        <v>1058</v>
      </c>
      <c r="AX9" s="426"/>
      <c r="AY9" s="434" t="s">
        <v>1058</v>
      </c>
      <c r="AZ9" s="435" t="s">
        <v>316</v>
      </c>
      <c r="BA9" s="436" t="s">
        <v>259</v>
      </c>
      <c r="BB9" s="437"/>
      <c r="BC9" s="438" t="s">
        <v>260</v>
      </c>
      <c r="BD9" s="439">
        <v>11</v>
      </c>
      <c r="BE9" s="439" t="str">
        <f t="shared" si="0"/>
        <v>VU-LA004</v>
      </c>
      <c r="BF9" s="440">
        <f t="shared" si="1"/>
        <v>46043</v>
      </c>
      <c r="BG9" s="439">
        <f t="shared" si="2"/>
        <v>21364</v>
      </c>
      <c r="BH9" s="441">
        <f t="shared" si="3"/>
        <v>0</v>
      </c>
      <c r="BI9" s="442">
        <f t="shared" si="4"/>
        <v>4</v>
      </c>
      <c r="BJ9" s="443"/>
    </row>
    <row r="10" spans="1:64" s="444" customFormat="1" ht="12" customHeight="1">
      <c r="A10" s="413">
        <v>21365</v>
      </c>
      <c r="B10" s="414"/>
      <c r="C10" s="414"/>
      <c r="D10" s="414"/>
      <c r="E10" s="415">
        <v>8227</v>
      </c>
      <c r="F10" s="414"/>
      <c r="G10" s="414"/>
      <c r="H10" s="414"/>
      <c r="I10" s="416" t="s">
        <v>190</v>
      </c>
      <c r="J10" s="417">
        <v>46030</v>
      </c>
      <c r="K10" s="418">
        <v>46043</v>
      </c>
      <c r="L10" s="418"/>
      <c r="M10" s="419" t="s">
        <v>1061</v>
      </c>
      <c r="N10" s="417">
        <v>46042</v>
      </c>
      <c r="O10" s="420">
        <v>46037</v>
      </c>
      <c r="P10" s="422">
        <v>46043</v>
      </c>
      <c r="Q10" s="423"/>
      <c r="R10" s="424"/>
      <c r="S10" s="424"/>
      <c r="T10" s="425"/>
      <c r="U10" s="426"/>
      <c r="V10" s="424"/>
      <c r="W10" s="426"/>
      <c r="X10" s="424"/>
      <c r="Y10" s="427"/>
      <c r="Z10" s="426"/>
      <c r="AA10" s="421">
        <v>46039</v>
      </c>
      <c r="AB10" s="428"/>
      <c r="AC10" s="445" t="s">
        <v>1058</v>
      </c>
      <c r="AD10" s="446"/>
      <c r="AE10" s="430" t="s">
        <v>1058</v>
      </c>
      <c r="AF10" s="427"/>
      <c r="AG10" s="426"/>
      <c r="AH10" s="431" t="s">
        <v>1058</v>
      </c>
      <c r="AI10" s="427"/>
      <c r="AJ10" s="427"/>
      <c r="AK10" s="426"/>
      <c r="AL10" s="430" t="s">
        <v>1058</v>
      </c>
      <c r="AM10" s="427"/>
      <c r="AN10" s="427"/>
      <c r="AO10" s="426"/>
      <c r="AP10" s="428"/>
      <c r="AQ10" s="427"/>
      <c r="AR10" s="427"/>
      <c r="AS10" s="432" t="s">
        <v>1058</v>
      </c>
      <c r="AT10" s="427"/>
      <c r="AU10" s="427"/>
      <c r="AV10" s="426"/>
      <c r="AW10" s="433" t="s">
        <v>1058</v>
      </c>
      <c r="AX10" s="426"/>
      <c r="AY10" s="434" t="s">
        <v>1058</v>
      </c>
      <c r="AZ10" s="435" t="s">
        <v>318</v>
      </c>
      <c r="BA10" s="436" t="s">
        <v>164</v>
      </c>
      <c r="BB10" s="437" t="s">
        <v>319</v>
      </c>
      <c r="BC10" s="438" t="s">
        <v>145</v>
      </c>
      <c r="BD10" s="439">
        <v>11</v>
      </c>
      <c r="BE10" s="439" t="str">
        <f t="shared" si="0"/>
        <v>VU-LB106</v>
      </c>
      <c r="BF10" s="440">
        <f t="shared" si="1"/>
        <v>46043</v>
      </c>
      <c r="BG10" s="439">
        <f t="shared" si="2"/>
        <v>21365</v>
      </c>
      <c r="BH10" s="441">
        <f t="shared" si="3"/>
        <v>0</v>
      </c>
      <c r="BI10" s="442">
        <f t="shared" si="4"/>
        <v>4</v>
      </c>
      <c r="BJ10" s="443"/>
    </row>
    <row r="11" spans="1:64" s="444" customFormat="1" ht="12" customHeight="1">
      <c r="A11" s="413">
        <v>21366</v>
      </c>
      <c r="B11" s="414"/>
      <c r="C11" s="414"/>
      <c r="D11" s="414"/>
      <c r="E11" s="415">
        <v>8228</v>
      </c>
      <c r="F11" s="414"/>
      <c r="G11" s="414"/>
      <c r="H11" s="414"/>
      <c r="I11" s="416" t="s">
        <v>190</v>
      </c>
      <c r="J11" s="417">
        <v>46030</v>
      </c>
      <c r="K11" s="418">
        <v>46043</v>
      </c>
      <c r="L11" s="418"/>
      <c r="M11" s="419" t="s">
        <v>323</v>
      </c>
      <c r="N11" s="417">
        <v>46042</v>
      </c>
      <c r="O11" s="420">
        <v>46037</v>
      </c>
      <c r="P11" s="422">
        <v>46043</v>
      </c>
      <c r="Q11" s="423"/>
      <c r="R11" s="424"/>
      <c r="S11" s="424"/>
      <c r="T11" s="425"/>
      <c r="U11" s="426"/>
      <c r="V11" s="424"/>
      <c r="W11" s="426"/>
      <c r="X11" s="424"/>
      <c r="Y11" s="427"/>
      <c r="Z11" s="426"/>
      <c r="AA11" s="421">
        <v>46039</v>
      </c>
      <c r="AB11" s="428"/>
      <c r="AC11" s="445" t="s">
        <v>1058</v>
      </c>
      <c r="AD11" s="446"/>
      <c r="AE11" s="430" t="s">
        <v>1058</v>
      </c>
      <c r="AF11" s="427"/>
      <c r="AG11" s="426"/>
      <c r="AH11" s="431" t="s">
        <v>1058</v>
      </c>
      <c r="AI11" s="427"/>
      <c r="AJ11" s="427"/>
      <c r="AK11" s="426"/>
      <c r="AL11" s="430" t="s">
        <v>1058</v>
      </c>
      <c r="AM11" s="427"/>
      <c r="AN11" s="427"/>
      <c r="AO11" s="426"/>
      <c r="AP11" s="428"/>
      <c r="AQ11" s="427"/>
      <c r="AR11" s="427"/>
      <c r="AS11" s="432" t="s">
        <v>1058</v>
      </c>
      <c r="AT11" s="427"/>
      <c r="AU11" s="427"/>
      <c r="AV11" s="426"/>
      <c r="AW11" s="433" t="s">
        <v>1058</v>
      </c>
      <c r="AX11" s="426"/>
      <c r="AY11" s="434" t="s">
        <v>1058</v>
      </c>
      <c r="AZ11" s="435" t="s">
        <v>321</v>
      </c>
      <c r="BA11" s="436" t="s">
        <v>164</v>
      </c>
      <c r="BB11" s="437" t="s">
        <v>322</v>
      </c>
      <c r="BC11" s="438" t="s">
        <v>145</v>
      </c>
      <c r="BD11" s="439">
        <v>11</v>
      </c>
      <c r="BE11" s="439" t="str">
        <f t="shared" si="0"/>
        <v>VU-LB106</v>
      </c>
      <c r="BF11" s="440">
        <f t="shared" si="1"/>
        <v>46043</v>
      </c>
      <c r="BG11" s="439">
        <f t="shared" si="2"/>
        <v>21366</v>
      </c>
      <c r="BH11" s="441">
        <f t="shared" si="3"/>
        <v>0</v>
      </c>
      <c r="BI11" s="442">
        <f t="shared" si="4"/>
        <v>4</v>
      </c>
      <c r="BJ11" s="443"/>
    </row>
    <row r="12" spans="1:64" s="444" customFormat="1" ht="12" customHeight="1">
      <c r="A12" s="413">
        <v>21367</v>
      </c>
      <c r="B12" s="414"/>
      <c r="C12" s="414"/>
      <c r="D12" s="414"/>
      <c r="E12" s="415">
        <v>8229</v>
      </c>
      <c r="F12" s="414"/>
      <c r="G12" s="414"/>
      <c r="H12" s="414"/>
      <c r="I12" s="416" t="s">
        <v>190</v>
      </c>
      <c r="J12" s="417">
        <v>46031</v>
      </c>
      <c r="K12" s="418">
        <v>46044</v>
      </c>
      <c r="L12" s="418"/>
      <c r="M12" s="419" t="s">
        <v>1062</v>
      </c>
      <c r="N12" s="417">
        <v>46043</v>
      </c>
      <c r="O12" s="420">
        <v>46038</v>
      </c>
      <c r="P12" s="422">
        <v>46044</v>
      </c>
      <c r="Q12" s="423"/>
      <c r="R12" s="424" t="s">
        <v>1058</v>
      </c>
      <c r="S12" s="424" t="s">
        <v>1058</v>
      </c>
      <c r="T12" s="425"/>
      <c r="U12" s="426"/>
      <c r="V12" s="424" t="s">
        <v>1058</v>
      </c>
      <c r="W12" s="426"/>
      <c r="X12" s="424" t="s">
        <v>1058</v>
      </c>
      <c r="Y12" s="427"/>
      <c r="Z12" s="426"/>
      <c r="AA12" s="421">
        <v>46041</v>
      </c>
      <c r="AB12" s="428"/>
      <c r="AC12" s="445" t="s">
        <v>1058</v>
      </c>
      <c r="AD12" s="446"/>
      <c r="AE12" s="430" t="s">
        <v>1058</v>
      </c>
      <c r="AF12" s="427"/>
      <c r="AG12" s="426"/>
      <c r="AH12" s="431" t="s">
        <v>1058</v>
      </c>
      <c r="AI12" s="427"/>
      <c r="AJ12" s="427"/>
      <c r="AK12" s="426"/>
      <c r="AL12" s="430" t="s">
        <v>1058</v>
      </c>
      <c r="AM12" s="427"/>
      <c r="AN12" s="427"/>
      <c r="AO12" s="426"/>
      <c r="AP12" s="428"/>
      <c r="AQ12" s="427"/>
      <c r="AR12" s="427"/>
      <c r="AS12" s="432" t="s">
        <v>1058</v>
      </c>
      <c r="AT12" s="427"/>
      <c r="AU12" s="427"/>
      <c r="AV12" s="426"/>
      <c r="AW12" s="433" t="s">
        <v>1058</v>
      </c>
      <c r="AX12" s="426"/>
      <c r="AY12" s="434" t="s">
        <v>1058</v>
      </c>
      <c r="AZ12" s="435" t="s">
        <v>324</v>
      </c>
      <c r="BA12" s="436" t="s">
        <v>164</v>
      </c>
      <c r="BB12" s="437" t="s">
        <v>325</v>
      </c>
      <c r="BC12" s="438" t="s">
        <v>297</v>
      </c>
      <c r="BD12" s="439">
        <v>11</v>
      </c>
      <c r="BE12" s="439" t="str">
        <f t="shared" si="0"/>
        <v>VU-LB106</v>
      </c>
      <c r="BF12" s="440">
        <f t="shared" si="1"/>
        <v>46044</v>
      </c>
      <c r="BG12" s="439">
        <f t="shared" si="2"/>
        <v>21367</v>
      </c>
      <c r="BH12" s="441">
        <f t="shared" si="3"/>
        <v>4</v>
      </c>
      <c r="BI12" s="442">
        <f t="shared" si="4"/>
        <v>4</v>
      </c>
      <c r="BJ12" s="443"/>
    </row>
    <row r="13" spans="1:64" s="444" customFormat="1" ht="12" customHeight="1">
      <c r="A13" s="423"/>
      <c r="B13" s="414"/>
      <c r="C13" s="414"/>
      <c r="D13" s="414"/>
      <c r="E13" s="414"/>
      <c r="F13" s="414"/>
      <c r="G13" s="414"/>
      <c r="H13" s="414"/>
      <c r="I13" s="447"/>
      <c r="J13" s="417">
        <v>46010</v>
      </c>
      <c r="K13" s="418">
        <v>46044</v>
      </c>
      <c r="L13" s="418"/>
      <c r="M13" s="419" t="s">
        <v>1063</v>
      </c>
      <c r="N13" s="448"/>
      <c r="O13" s="420">
        <f>INDEX([3]光真稼働日早見表!$M:$M,MATCH($P13,[3]光真稼働日早見表!$Q:$Q,0),1)</f>
        <v>46039</v>
      </c>
      <c r="P13" s="422">
        <v>46044</v>
      </c>
      <c r="Q13" s="449" t="s">
        <v>1064</v>
      </c>
      <c r="R13" s="424" t="s">
        <v>1065</v>
      </c>
      <c r="S13" s="428"/>
      <c r="T13" s="425"/>
      <c r="U13" s="426"/>
      <c r="V13" s="428"/>
      <c r="W13" s="426"/>
      <c r="X13" s="428"/>
      <c r="Y13" s="427"/>
      <c r="Z13" s="426"/>
      <c r="AA13" s="448"/>
      <c r="AB13" s="428"/>
      <c r="AC13" s="426"/>
      <c r="AD13" s="446"/>
      <c r="AE13" s="428"/>
      <c r="AF13" s="427"/>
      <c r="AG13" s="426"/>
      <c r="AH13" s="425"/>
      <c r="AI13" s="427"/>
      <c r="AJ13" s="427"/>
      <c r="AK13" s="426"/>
      <c r="AL13" s="428"/>
      <c r="AM13" s="427"/>
      <c r="AN13" s="427"/>
      <c r="AO13" s="426"/>
      <c r="AP13" s="428"/>
      <c r="AQ13" s="427"/>
      <c r="AR13" s="427"/>
      <c r="AS13" s="427"/>
      <c r="AT13" s="427"/>
      <c r="AU13" s="427"/>
      <c r="AV13" s="426"/>
      <c r="AW13" s="428"/>
      <c r="AX13" s="426"/>
      <c r="AY13" s="446"/>
      <c r="AZ13" s="450" t="s">
        <v>643</v>
      </c>
      <c r="BA13" s="451" t="s">
        <v>644</v>
      </c>
      <c r="BB13" s="452" t="s">
        <v>1066</v>
      </c>
      <c r="BC13" s="453" t="s">
        <v>1067</v>
      </c>
      <c r="BD13" s="439">
        <f t="shared" ref="BD13:BD37" si="5">COUNTA(R13:AY13)</f>
        <v>1</v>
      </c>
      <c r="BE13" s="439">
        <f t="shared" si="0"/>
        <v>0</v>
      </c>
      <c r="BF13" s="440">
        <f t="shared" si="1"/>
        <v>46044</v>
      </c>
      <c r="BG13" s="439">
        <f t="shared" si="2"/>
        <v>0</v>
      </c>
      <c r="BH13" s="441">
        <f t="shared" si="3"/>
        <v>1</v>
      </c>
      <c r="BI13" s="442">
        <f t="shared" si="4"/>
        <v>0</v>
      </c>
      <c r="BJ13" s="443" t="s">
        <v>70</v>
      </c>
    </row>
    <row r="14" spans="1:64" s="444" customFormat="1" ht="12" customHeight="1">
      <c r="A14" s="423"/>
      <c r="B14" s="414"/>
      <c r="C14" s="414"/>
      <c r="D14" s="414"/>
      <c r="E14" s="414"/>
      <c r="F14" s="414"/>
      <c r="G14" s="414"/>
      <c r="H14" s="414"/>
      <c r="I14" s="447"/>
      <c r="J14" s="417">
        <v>46001</v>
      </c>
      <c r="K14" s="418">
        <v>46044</v>
      </c>
      <c r="L14" s="418"/>
      <c r="M14" s="419" t="s">
        <v>1068</v>
      </c>
      <c r="N14" s="448"/>
      <c r="O14" s="420">
        <f>INDEX([3]光真稼働日早見表!$M:$M,MATCH($P14,[3]光真稼働日早見表!$Q:$Q,0),1)</f>
        <v>46039</v>
      </c>
      <c r="P14" s="422">
        <v>46044</v>
      </c>
      <c r="Q14" s="449" t="s">
        <v>1064</v>
      </c>
      <c r="R14" s="424" t="s">
        <v>1065</v>
      </c>
      <c r="S14" s="428"/>
      <c r="T14" s="425"/>
      <c r="U14" s="426"/>
      <c r="V14" s="428"/>
      <c r="W14" s="426"/>
      <c r="X14" s="428"/>
      <c r="Y14" s="427"/>
      <c r="Z14" s="426"/>
      <c r="AA14" s="448"/>
      <c r="AB14" s="428"/>
      <c r="AC14" s="426"/>
      <c r="AD14" s="446"/>
      <c r="AE14" s="428"/>
      <c r="AF14" s="427"/>
      <c r="AG14" s="426"/>
      <c r="AH14" s="425"/>
      <c r="AI14" s="427"/>
      <c r="AJ14" s="427"/>
      <c r="AK14" s="426"/>
      <c r="AL14" s="428"/>
      <c r="AM14" s="427"/>
      <c r="AN14" s="427"/>
      <c r="AO14" s="426"/>
      <c r="AP14" s="428"/>
      <c r="AQ14" s="427"/>
      <c r="AR14" s="427"/>
      <c r="AS14" s="427"/>
      <c r="AT14" s="427"/>
      <c r="AU14" s="427"/>
      <c r="AV14" s="426"/>
      <c r="AW14" s="428"/>
      <c r="AX14" s="426"/>
      <c r="AY14" s="446"/>
      <c r="AZ14" s="450" t="s">
        <v>634</v>
      </c>
      <c r="BA14" s="451" t="s">
        <v>635</v>
      </c>
      <c r="BB14" s="452" t="s">
        <v>1069</v>
      </c>
      <c r="BC14" s="453" t="s">
        <v>1070</v>
      </c>
      <c r="BD14" s="439">
        <f t="shared" si="5"/>
        <v>1</v>
      </c>
      <c r="BE14" s="439">
        <f t="shared" si="0"/>
        <v>0</v>
      </c>
      <c r="BF14" s="440">
        <f t="shared" si="1"/>
        <v>46044</v>
      </c>
      <c r="BG14" s="439">
        <f t="shared" si="2"/>
        <v>0</v>
      </c>
      <c r="BH14" s="441">
        <f t="shared" si="3"/>
        <v>1</v>
      </c>
      <c r="BI14" s="442">
        <f t="shared" si="4"/>
        <v>0</v>
      </c>
      <c r="BJ14" s="443" t="s">
        <v>70</v>
      </c>
    </row>
    <row r="15" spans="1:64" s="444" customFormat="1" ht="12" customHeight="1">
      <c r="A15" s="423"/>
      <c r="B15" s="414"/>
      <c r="C15" s="414"/>
      <c r="D15" s="414"/>
      <c r="E15" s="414"/>
      <c r="F15" s="414"/>
      <c r="G15" s="414"/>
      <c r="H15" s="414"/>
      <c r="I15" s="447"/>
      <c r="J15" s="417">
        <v>46001</v>
      </c>
      <c r="K15" s="418">
        <v>46044</v>
      </c>
      <c r="L15" s="418"/>
      <c r="M15" s="419" t="s">
        <v>1071</v>
      </c>
      <c r="N15" s="448"/>
      <c r="O15" s="420">
        <f>INDEX([3]光真稼働日早見表!$M:$M,MATCH($P15,[3]光真稼働日早見表!$Q:$Q,0),1)</f>
        <v>46039</v>
      </c>
      <c r="P15" s="422">
        <v>46044</v>
      </c>
      <c r="Q15" s="449" t="s">
        <v>1064</v>
      </c>
      <c r="R15" s="424" t="s">
        <v>1072</v>
      </c>
      <c r="S15" s="428"/>
      <c r="T15" s="425"/>
      <c r="U15" s="426"/>
      <c r="V15" s="428"/>
      <c r="W15" s="426"/>
      <c r="X15" s="428"/>
      <c r="Y15" s="427"/>
      <c r="Z15" s="426"/>
      <c r="AA15" s="448"/>
      <c r="AB15" s="428"/>
      <c r="AC15" s="426"/>
      <c r="AD15" s="446"/>
      <c r="AE15" s="428"/>
      <c r="AF15" s="427"/>
      <c r="AG15" s="426"/>
      <c r="AH15" s="425"/>
      <c r="AI15" s="427"/>
      <c r="AJ15" s="427"/>
      <c r="AK15" s="426"/>
      <c r="AL15" s="428"/>
      <c r="AM15" s="427"/>
      <c r="AN15" s="427"/>
      <c r="AO15" s="426"/>
      <c r="AP15" s="428"/>
      <c r="AQ15" s="427"/>
      <c r="AR15" s="427"/>
      <c r="AS15" s="427"/>
      <c r="AT15" s="427"/>
      <c r="AU15" s="427"/>
      <c r="AV15" s="426"/>
      <c r="AW15" s="428"/>
      <c r="AX15" s="426"/>
      <c r="AY15" s="446"/>
      <c r="AZ15" s="450" t="s">
        <v>634</v>
      </c>
      <c r="BA15" s="451" t="s">
        <v>635</v>
      </c>
      <c r="BB15" s="452" t="s">
        <v>1073</v>
      </c>
      <c r="BC15" s="453" t="s">
        <v>1070</v>
      </c>
      <c r="BD15" s="439">
        <f t="shared" si="5"/>
        <v>1</v>
      </c>
      <c r="BE15" s="439">
        <f t="shared" si="0"/>
        <v>0</v>
      </c>
      <c r="BF15" s="440">
        <f t="shared" si="1"/>
        <v>46044</v>
      </c>
      <c r="BG15" s="439">
        <f t="shared" si="2"/>
        <v>0</v>
      </c>
      <c r="BH15" s="441">
        <f t="shared" si="3"/>
        <v>1</v>
      </c>
      <c r="BI15" s="442">
        <f t="shared" si="4"/>
        <v>0</v>
      </c>
      <c r="BJ15" s="443" t="s">
        <v>70</v>
      </c>
    </row>
    <row r="16" spans="1:64" s="444" customFormat="1" ht="12" customHeight="1">
      <c r="A16" s="423"/>
      <c r="B16" s="414"/>
      <c r="C16" s="414"/>
      <c r="D16" s="414"/>
      <c r="E16" s="414"/>
      <c r="F16" s="414"/>
      <c r="G16" s="414"/>
      <c r="H16" s="414"/>
      <c r="I16" s="447"/>
      <c r="J16" s="417">
        <v>46001</v>
      </c>
      <c r="K16" s="418">
        <v>46044</v>
      </c>
      <c r="L16" s="418"/>
      <c r="M16" s="419" t="s">
        <v>1074</v>
      </c>
      <c r="N16" s="448"/>
      <c r="O16" s="420">
        <f>INDEX([3]光真稼働日早見表!$M:$M,MATCH($P16,[3]光真稼働日早見表!$Q:$Q,0),1)</f>
        <v>46039</v>
      </c>
      <c r="P16" s="422">
        <v>46044</v>
      </c>
      <c r="Q16" s="449" t="s">
        <v>1064</v>
      </c>
      <c r="R16" s="424" t="s">
        <v>1065</v>
      </c>
      <c r="S16" s="428"/>
      <c r="T16" s="425"/>
      <c r="U16" s="426"/>
      <c r="V16" s="428"/>
      <c r="W16" s="426"/>
      <c r="X16" s="428"/>
      <c r="Y16" s="427"/>
      <c r="Z16" s="426"/>
      <c r="AA16" s="448"/>
      <c r="AB16" s="428"/>
      <c r="AC16" s="426"/>
      <c r="AD16" s="446"/>
      <c r="AE16" s="428"/>
      <c r="AF16" s="427"/>
      <c r="AG16" s="426"/>
      <c r="AH16" s="425"/>
      <c r="AI16" s="427"/>
      <c r="AJ16" s="427"/>
      <c r="AK16" s="426"/>
      <c r="AL16" s="428"/>
      <c r="AM16" s="427"/>
      <c r="AN16" s="427"/>
      <c r="AO16" s="426"/>
      <c r="AP16" s="428"/>
      <c r="AQ16" s="427"/>
      <c r="AR16" s="427"/>
      <c r="AS16" s="427"/>
      <c r="AT16" s="427"/>
      <c r="AU16" s="427"/>
      <c r="AV16" s="426"/>
      <c r="AW16" s="428"/>
      <c r="AX16" s="426"/>
      <c r="AY16" s="446"/>
      <c r="AZ16" s="450" t="s">
        <v>634</v>
      </c>
      <c r="BA16" s="451" t="s">
        <v>635</v>
      </c>
      <c r="BB16" s="452" t="s">
        <v>1075</v>
      </c>
      <c r="BC16" s="453" t="s">
        <v>1070</v>
      </c>
      <c r="BD16" s="439">
        <f t="shared" si="5"/>
        <v>1</v>
      </c>
      <c r="BE16" s="439">
        <f t="shared" si="0"/>
        <v>0</v>
      </c>
      <c r="BF16" s="440">
        <f t="shared" si="1"/>
        <v>46044</v>
      </c>
      <c r="BG16" s="439">
        <f t="shared" si="2"/>
        <v>0</v>
      </c>
      <c r="BH16" s="441">
        <f t="shared" si="3"/>
        <v>1</v>
      </c>
      <c r="BI16" s="442">
        <f t="shared" si="4"/>
        <v>0</v>
      </c>
      <c r="BJ16" s="443" t="s">
        <v>70</v>
      </c>
    </row>
    <row r="17" spans="1:62" s="444" customFormat="1" ht="12" customHeight="1">
      <c r="A17" s="423"/>
      <c r="B17" s="414"/>
      <c r="C17" s="414"/>
      <c r="D17" s="414"/>
      <c r="E17" s="414"/>
      <c r="F17" s="414"/>
      <c r="G17" s="414"/>
      <c r="H17" s="414"/>
      <c r="I17" s="447"/>
      <c r="J17" s="417">
        <v>46001</v>
      </c>
      <c r="K17" s="418">
        <v>46044</v>
      </c>
      <c r="L17" s="418"/>
      <c r="M17" s="419" t="s">
        <v>1071</v>
      </c>
      <c r="N17" s="448"/>
      <c r="O17" s="420">
        <f>INDEX([3]光真稼働日早見表!$M:$M,MATCH($P17,[3]光真稼働日早見表!$Q:$Q,0),1)</f>
        <v>46039</v>
      </c>
      <c r="P17" s="422">
        <v>46044</v>
      </c>
      <c r="Q17" s="449" t="s">
        <v>1064</v>
      </c>
      <c r="R17" s="424" t="s">
        <v>1065</v>
      </c>
      <c r="S17" s="428"/>
      <c r="T17" s="425"/>
      <c r="U17" s="426"/>
      <c r="V17" s="428"/>
      <c r="W17" s="426"/>
      <c r="X17" s="428"/>
      <c r="Y17" s="427"/>
      <c r="Z17" s="426"/>
      <c r="AA17" s="448"/>
      <c r="AB17" s="428"/>
      <c r="AC17" s="426"/>
      <c r="AD17" s="446"/>
      <c r="AE17" s="428"/>
      <c r="AF17" s="427"/>
      <c r="AG17" s="426"/>
      <c r="AH17" s="425"/>
      <c r="AI17" s="427"/>
      <c r="AJ17" s="427"/>
      <c r="AK17" s="426"/>
      <c r="AL17" s="428"/>
      <c r="AM17" s="427"/>
      <c r="AN17" s="427"/>
      <c r="AO17" s="426"/>
      <c r="AP17" s="428"/>
      <c r="AQ17" s="427"/>
      <c r="AR17" s="427"/>
      <c r="AS17" s="427"/>
      <c r="AT17" s="427"/>
      <c r="AU17" s="427"/>
      <c r="AV17" s="426"/>
      <c r="AW17" s="428"/>
      <c r="AX17" s="426"/>
      <c r="AY17" s="446"/>
      <c r="AZ17" s="450" t="s">
        <v>634</v>
      </c>
      <c r="BA17" s="451" t="s">
        <v>635</v>
      </c>
      <c r="BB17" s="452" t="s">
        <v>1076</v>
      </c>
      <c r="BC17" s="453" t="s">
        <v>1070</v>
      </c>
      <c r="BD17" s="439">
        <f t="shared" si="5"/>
        <v>1</v>
      </c>
      <c r="BE17" s="439">
        <f t="shared" si="0"/>
        <v>0</v>
      </c>
      <c r="BF17" s="440">
        <f t="shared" si="1"/>
        <v>46044</v>
      </c>
      <c r="BG17" s="439">
        <f t="shared" si="2"/>
        <v>0</v>
      </c>
      <c r="BH17" s="441">
        <f t="shared" si="3"/>
        <v>1</v>
      </c>
      <c r="BI17" s="442">
        <f t="shared" si="4"/>
        <v>0</v>
      </c>
      <c r="BJ17" s="443" t="s">
        <v>70</v>
      </c>
    </row>
    <row r="18" spans="1:62" s="444" customFormat="1" ht="12" customHeight="1">
      <c r="A18" s="423"/>
      <c r="B18" s="414"/>
      <c r="C18" s="414"/>
      <c r="D18" s="414"/>
      <c r="E18" s="414"/>
      <c r="F18" s="414"/>
      <c r="G18" s="414"/>
      <c r="H18" s="414"/>
      <c r="I18" s="447"/>
      <c r="J18" s="417">
        <v>46001</v>
      </c>
      <c r="K18" s="418">
        <v>46044</v>
      </c>
      <c r="L18" s="418"/>
      <c r="M18" s="419" t="s">
        <v>1071</v>
      </c>
      <c r="N18" s="448"/>
      <c r="O18" s="420">
        <f>INDEX([3]光真稼働日早見表!$M:$M,MATCH($P18,[3]光真稼働日早見表!$Q:$Q,0),1)</f>
        <v>46039</v>
      </c>
      <c r="P18" s="422">
        <v>46044</v>
      </c>
      <c r="Q18" s="449" t="s">
        <v>1064</v>
      </c>
      <c r="R18" s="424" t="s">
        <v>1065</v>
      </c>
      <c r="S18" s="428"/>
      <c r="T18" s="425"/>
      <c r="U18" s="426"/>
      <c r="V18" s="428"/>
      <c r="W18" s="426"/>
      <c r="X18" s="428"/>
      <c r="Y18" s="427"/>
      <c r="Z18" s="426"/>
      <c r="AA18" s="448"/>
      <c r="AB18" s="428"/>
      <c r="AC18" s="426"/>
      <c r="AD18" s="446"/>
      <c r="AE18" s="428"/>
      <c r="AF18" s="427"/>
      <c r="AG18" s="426"/>
      <c r="AH18" s="425"/>
      <c r="AI18" s="427"/>
      <c r="AJ18" s="427"/>
      <c r="AK18" s="426"/>
      <c r="AL18" s="428"/>
      <c r="AM18" s="427"/>
      <c r="AN18" s="427"/>
      <c r="AO18" s="426"/>
      <c r="AP18" s="428"/>
      <c r="AQ18" s="427"/>
      <c r="AR18" s="427"/>
      <c r="AS18" s="427"/>
      <c r="AT18" s="427"/>
      <c r="AU18" s="427"/>
      <c r="AV18" s="426"/>
      <c r="AW18" s="428"/>
      <c r="AX18" s="426"/>
      <c r="AY18" s="446"/>
      <c r="AZ18" s="450" t="s">
        <v>634</v>
      </c>
      <c r="BA18" s="451" t="s">
        <v>635</v>
      </c>
      <c r="BB18" s="452" t="s">
        <v>1077</v>
      </c>
      <c r="BC18" s="453" t="s">
        <v>1070</v>
      </c>
      <c r="BD18" s="439">
        <f t="shared" si="5"/>
        <v>1</v>
      </c>
      <c r="BE18" s="439">
        <f t="shared" si="0"/>
        <v>0</v>
      </c>
      <c r="BF18" s="440">
        <f t="shared" si="1"/>
        <v>46044</v>
      </c>
      <c r="BG18" s="439">
        <f t="shared" si="2"/>
        <v>0</v>
      </c>
      <c r="BH18" s="441">
        <f t="shared" si="3"/>
        <v>1</v>
      </c>
      <c r="BI18" s="442">
        <f t="shared" si="4"/>
        <v>0</v>
      </c>
      <c r="BJ18" s="443" t="s">
        <v>70</v>
      </c>
    </row>
    <row r="19" spans="1:62" s="444" customFormat="1" ht="12" customHeight="1">
      <c r="A19" s="423"/>
      <c r="B19" s="414"/>
      <c r="C19" s="414"/>
      <c r="D19" s="414"/>
      <c r="E19" s="414"/>
      <c r="F19" s="414"/>
      <c r="G19" s="414"/>
      <c r="H19" s="414"/>
      <c r="I19" s="447"/>
      <c r="J19" s="417">
        <v>46001</v>
      </c>
      <c r="K19" s="418">
        <v>46044</v>
      </c>
      <c r="L19" s="418"/>
      <c r="M19" s="419" t="s">
        <v>1078</v>
      </c>
      <c r="N19" s="448"/>
      <c r="O19" s="420">
        <f>INDEX([3]光真稼働日早見表!$M:$M,MATCH($P19,[3]光真稼働日早見表!$Q:$Q,0),1)</f>
        <v>46039</v>
      </c>
      <c r="P19" s="422">
        <v>46044</v>
      </c>
      <c r="Q19" s="449" t="s">
        <v>1064</v>
      </c>
      <c r="R19" s="428"/>
      <c r="S19" s="428"/>
      <c r="T19" s="425"/>
      <c r="U19" s="426"/>
      <c r="V19" s="424" t="s">
        <v>1065</v>
      </c>
      <c r="W19" s="426"/>
      <c r="X19" s="428"/>
      <c r="Y19" s="427"/>
      <c r="Z19" s="426"/>
      <c r="AA19" s="448"/>
      <c r="AB19" s="428"/>
      <c r="AC19" s="426"/>
      <c r="AD19" s="446"/>
      <c r="AE19" s="428"/>
      <c r="AF19" s="427"/>
      <c r="AG19" s="426"/>
      <c r="AH19" s="425"/>
      <c r="AI19" s="427"/>
      <c r="AJ19" s="427"/>
      <c r="AK19" s="426"/>
      <c r="AL19" s="428"/>
      <c r="AM19" s="427"/>
      <c r="AN19" s="427"/>
      <c r="AO19" s="426"/>
      <c r="AP19" s="428"/>
      <c r="AQ19" s="427"/>
      <c r="AR19" s="427"/>
      <c r="AS19" s="427"/>
      <c r="AT19" s="427"/>
      <c r="AU19" s="427"/>
      <c r="AV19" s="426"/>
      <c r="AW19" s="428"/>
      <c r="AX19" s="426"/>
      <c r="AY19" s="446"/>
      <c r="AZ19" s="450" t="s">
        <v>713</v>
      </c>
      <c r="BA19" s="451" t="s">
        <v>635</v>
      </c>
      <c r="BB19" s="452" t="s">
        <v>1079</v>
      </c>
      <c r="BC19" s="453" t="s">
        <v>1070</v>
      </c>
      <c r="BD19" s="439">
        <f t="shared" si="5"/>
        <v>1</v>
      </c>
      <c r="BE19" s="439">
        <f t="shared" si="0"/>
        <v>0</v>
      </c>
      <c r="BF19" s="440">
        <f t="shared" si="1"/>
        <v>46044</v>
      </c>
      <c r="BG19" s="439">
        <f t="shared" si="2"/>
        <v>0</v>
      </c>
      <c r="BH19" s="441">
        <f t="shared" si="3"/>
        <v>1</v>
      </c>
      <c r="BI19" s="442">
        <f t="shared" si="4"/>
        <v>0</v>
      </c>
      <c r="BJ19" s="443" t="s">
        <v>74</v>
      </c>
    </row>
    <row r="20" spans="1:62" s="444" customFormat="1" ht="12" customHeight="1">
      <c r="A20" s="423"/>
      <c r="B20" s="414"/>
      <c r="C20" s="414"/>
      <c r="D20" s="414"/>
      <c r="E20" s="414"/>
      <c r="F20" s="414"/>
      <c r="G20" s="414"/>
      <c r="H20" s="414"/>
      <c r="I20" s="447"/>
      <c r="J20" s="417">
        <v>46001</v>
      </c>
      <c r="K20" s="418">
        <v>46044</v>
      </c>
      <c r="L20" s="418"/>
      <c r="M20" s="419" t="s">
        <v>1078</v>
      </c>
      <c r="N20" s="448"/>
      <c r="O20" s="420">
        <f>INDEX([3]光真稼働日早見表!$M:$M,MATCH($P20,[3]光真稼働日早見表!$Q:$Q,0),1)</f>
        <v>46039</v>
      </c>
      <c r="P20" s="422">
        <v>46044</v>
      </c>
      <c r="Q20" s="449" t="s">
        <v>1064</v>
      </c>
      <c r="R20" s="428"/>
      <c r="S20" s="428"/>
      <c r="T20" s="425"/>
      <c r="U20" s="426"/>
      <c r="V20" s="424" t="s">
        <v>1065</v>
      </c>
      <c r="W20" s="426"/>
      <c r="X20" s="428"/>
      <c r="Y20" s="427"/>
      <c r="Z20" s="426"/>
      <c r="AA20" s="448"/>
      <c r="AB20" s="428"/>
      <c r="AC20" s="426"/>
      <c r="AD20" s="446"/>
      <c r="AE20" s="428"/>
      <c r="AF20" s="427"/>
      <c r="AG20" s="426"/>
      <c r="AH20" s="425"/>
      <c r="AI20" s="427"/>
      <c r="AJ20" s="427"/>
      <c r="AK20" s="426"/>
      <c r="AL20" s="428"/>
      <c r="AM20" s="427"/>
      <c r="AN20" s="427"/>
      <c r="AO20" s="426"/>
      <c r="AP20" s="428"/>
      <c r="AQ20" s="427"/>
      <c r="AR20" s="427"/>
      <c r="AS20" s="427"/>
      <c r="AT20" s="427"/>
      <c r="AU20" s="427"/>
      <c r="AV20" s="426"/>
      <c r="AW20" s="428"/>
      <c r="AX20" s="426"/>
      <c r="AY20" s="446"/>
      <c r="AZ20" s="450" t="s">
        <v>713</v>
      </c>
      <c r="BA20" s="451" t="s">
        <v>635</v>
      </c>
      <c r="BB20" s="452" t="s">
        <v>1080</v>
      </c>
      <c r="BC20" s="453" t="s">
        <v>1070</v>
      </c>
      <c r="BD20" s="439">
        <f t="shared" si="5"/>
        <v>1</v>
      </c>
      <c r="BE20" s="439">
        <f t="shared" si="0"/>
        <v>0</v>
      </c>
      <c r="BF20" s="440">
        <f t="shared" si="1"/>
        <v>46044</v>
      </c>
      <c r="BG20" s="439">
        <f t="shared" si="2"/>
        <v>0</v>
      </c>
      <c r="BH20" s="441">
        <f t="shared" si="3"/>
        <v>1</v>
      </c>
      <c r="BI20" s="442">
        <f t="shared" si="4"/>
        <v>0</v>
      </c>
      <c r="BJ20" s="443" t="s">
        <v>74</v>
      </c>
    </row>
    <row r="21" spans="1:62" s="444" customFormat="1" ht="12" customHeight="1">
      <c r="A21" s="423"/>
      <c r="B21" s="414"/>
      <c r="C21" s="414"/>
      <c r="D21" s="414"/>
      <c r="E21" s="414"/>
      <c r="F21" s="414"/>
      <c r="G21" s="414"/>
      <c r="H21" s="414"/>
      <c r="I21" s="447"/>
      <c r="J21" s="417">
        <v>46001</v>
      </c>
      <c r="K21" s="418">
        <v>46044</v>
      </c>
      <c r="L21" s="418"/>
      <c r="M21" s="419" t="s">
        <v>1078</v>
      </c>
      <c r="N21" s="448"/>
      <c r="O21" s="420">
        <f>INDEX([3]光真稼働日早見表!$M:$M,MATCH($P21,[3]光真稼働日早見表!$Q:$Q,0),1)</f>
        <v>46039</v>
      </c>
      <c r="P21" s="422">
        <v>46044</v>
      </c>
      <c r="Q21" s="449" t="s">
        <v>1064</v>
      </c>
      <c r="R21" s="428"/>
      <c r="S21" s="428"/>
      <c r="T21" s="425"/>
      <c r="U21" s="426"/>
      <c r="V21" s="424" t="s">
        <v>1065</v>
      </c>
      <c r="W21" s="426"/>
      <c r="X21" s="428"/>
      <c r="Y21" s="427"/>
      <c r="Z21" s="426"/>
      <c r="AA21" s="448"/>
      <c r="AB21" s="428"/>
      <c r="AC21" s="426"/>
      <c r="AD21" s="446"/>
      <c r="AE21" s="428"/>
      <c r="AF21" s="427"/>
      <c r="AG21" s="426"/>
      <c r="AH21" s="425"/>
      <c r="AI21" s="427"/>
      <c r="AJ21" s="427"/>
      <c r="AK21" s="426"/>
      <c r="AL21" s="428"/>
      <c r="AM21" s="427"/>
      <c r="AN21" s="427"/>
      <c r="AO21" s="426"/>
      <c r="AP21" s="428"/>
      <c r="AQ21" s="427"/>
      <c r="AR21" s="427"/>
      <c r="AS21" s="427"/>
      <c r="AT21" s="427"/>
      <c r="AU21" s="427"/>
      <c r="AV21" s="426"/>
      <c r="AW21" s="428"/>
      <c r="AX21" s="426"/>
      <c r="AY21" s="446"/>
      <c r="AZ21" s="450" t="s">
        <v>713</v>
      </c>
      <c r="BA21" s="451" t="s">
        <v>635</v>
      </c>
      <c r="BB21" s="452" t="s">
        <v>1081</v>
      </c>
      <c r="BC21" s="453" t="s">
        <v>1070</v>
      </c>
      <c r="BD21" s="439">
        <f t="shared" si="5"/>
        <v>1</v>
      </c>
      <c r="BE21" s="439">
        <f t="shared" si="0"/>
        <v>0</v>
      </c>
      <c r="BF21" s="440">
        <f t="shared" si="1"/>
        <v>46044</v>
      </c>
      <c r="BG21" s="439">
        <f t="shared" si="2"/>
        <v>0</v>
      </c>
      <c r="BH21" s="441">
        <f t="shared" si="3"/>
        <v>1</v>
      </c>
      <c r="BI21" s="442">
        <f t="shared" si="4"/>
        <v>0</v>
      </c>
      <c r="BJ21" s="443" t="s">
        <v>74</v>
      </c>
    </row>
    <row r="22" spans="1:62" s="444" customFormat="1" ht="12" customHeight="1">
      <c r="A22" s="423"/>
      <c r="B22" s="414"/>
      <c r="C22" s="414"/>
      <c r="D22" s="414"/>
      <c r="E22" s="414"/>
      <c r="F22" s="414"/>
      <c r="G22" s="414"/>
      <c r="H22" s="414"/>
      <c r="I22" s="447"/>
      <c r="J22" s="417">
        <v>46001</v>
      </c>
      <c r="K22" s="418">
        <v>46044</v>
      </c>
      <c r="L22" s="418"/>
      <c r="M22" s="419" t="s">
        <v>1082</v>
      </c>
      <c r="N22" s="448"/>
      <c r="O22" s="420">
        <f>INDEX([3]光真稼働日早見表!$M:$M,MATCH($P22,[3]光真稼働日早見表!$Q:$Q,0),1)</f>
        <v>46039</v>
      </c>
      <c r="P22" s="422">
        <v>46044</v>
      </c>
      <c r="Q22" s="449" t="s">
        <v>1064</v>
      </c>
      <c r="R22" s="428"/>
      <c r="S22" s="428"/>
      <c r="T22" s="425"/>
      <c r="U22" s="426"/>
      <c r="V22" s="424" t="s">
        <v>1083</v>
      </c>
      <c r="W22" s="426"/>
      <c r="X22" s="428"/>
      <c r="Y22" s="427"/>
      <c r="Z22" s="426"/>
      <c r="AA22" s="448"/>
      <c r="AB22" s="428"/>
      <c r="AC22" s="426"/>
      <c r="AD22" s="446"/>
      <c r="AE22" s="428"/>
      <c r="AF22" s="427"/>
      <c r="AG22" s="426"/>
      <c r="AH22" s="425"/>
      <c r="AI22" s="427"/>
      <c r="AJ22" s="427"/>
      <c r="AK22" s="426"/>
      <c r="AL22" s="428"/>
      <c r="AM22" s="427"/>
      <c r="AN22" s="427"/>
      <c r="AO22" s="426"/>
      <c r="AP22" s="428"/>
      <c r="AQ22" s="427"/>
      <c r="AR22" s="427"/>
      <c r="AS22" s="427"/>
      <c r="AT22" s="427"/>
      <c r="AU22" s="427"/>
      <c r="AV22" s="426"/>
      <c r="AW22" s="428"/>
      <c r="AX22" s="426"/>
      <c r="AY22" s="446"/>
      <c r="AZ22" s="450" t="s">
        <v>713</v>
      </c>
      <c r="BA22" s="451" t="s">
        <v>635</v>
      </c>
      <c r="BB22" s="452" t="s">
        <v>1084</v>
      </c>
      <c r="BC22" s="453" t="s">
        <v>1070</v>
      </c>
      <c r="BD22" s="439">
        <f t="shared" si="5"/>
        <v>1</v>
      </c>
      <c r="BE22" s="439">
        <f t="shared" si="0"/>
        <v>0</v>
      </c>
      <c r="BF22" s="440">
        <f t="shared" si="1"/>
        <v>46044</v>
      </c>
      <c r="BG22" s="439">
        <f t="shared" si="2"/>
        <v>0</v>
      </c>
      <c r="BH22" s="441">
        <f t="shared" si="3"/>
        <v>1</v>
      </c>
      <c r="BI22" s="442">
        <f t="shared" si="4"/>
        <v>0</v>
      </c>
      <c r="BJ22" s="443" t="s">
        <v>74</v>
      </c>
    </row>
    <row r="23" spans="1:62" s="444" customFormat="1" ht="12" customHeight="1">
      <c r="A23" s="423"/>
      <c r="B23" s="414"/>
      <c r="C23" s="414"/>
      <c r="D23" s="414"/>
      <c r="E23" s="414"/>
      <c r="F23" s="414"/>
      <c r="G23" s="414"/>
      <c r="H23" s="414"/>
      <c r="I23" s="447"/>
      <c r="J23" s="417">
        <v>46001</v>
      </c>
      <c r="K23" s="418">
        <v>46044</v>
      </c>
      <c r="L23" s="418"/>
      <c r="M23" s="419" t="s">
        <v>1082</v>
      </c>
      <c r="N23" s="448"/>
      <c r="O23" s="420">
        <f>INDEX([3]光真稼働日早見表!$M:$M,MATCH($P23,[3]光真稼働日早見表!$Q:$Q,0),1)</f>
        <v>46039</v>
      </c>
      <c r="P23" s="422">
        <v>46044</v>
      </c>
      <c r="Q23" s="449" t="s">
        <v>1064</v>
      </c>
      <c r="R23" s="428"/>
      <c r="S23" s="428"/>
      <c r="T23" s="425"/>
      <c r="U23" s="426"/>
      <c r="V23" s="424" t="s">
        <v>1083</v>
      </c>
      <c r="W23" s="426"/>
      <c r="X23" s="428"/>
      <c r="Y23" s="427"/>
      <c r="Z23" s="426"/>
      <c r="AA23" s="448"/>
      <c r="AB23" s="428"/>
      <c r="AC23" s="426"/>
      <c r="AD23" s="446"/>
      <c r="AE23" s="428"/>
      <c r="AF23" s="427"/>
      <c r="AG23" s="426"/>
      <c r="AH23" s="425"/>
      <c r="AI23" s="427"/>
      <c r="AJ23" s="427"/>
      <c r="AK23" s="426"/>
      <c r="AL23" s="428"/>
      <c r="AM23" s="427"/>
      <c r="AN23" s="427"/>
      <c r="AO23" s="426"/>
      <c r="AP23" s="428"/>
      <c r="AQ23" s="427"/>
      <c r="AR23" s="427"/>
      <c r="AS23" s="427"/>
      <c r="AT23" s="427"/>
      <c r="AU23" s="427"/>
      <c r="AV23" s="426"/>
      <c r="AW23" s="428"/>
      <c r="AX23" s="426"/>
      <c r="AY23" s="446"/>
      <c r="AZ23" s="450" t="s">
        <v>713</v>
      </c>
      <c r="BA23" s="451" t="s">
        <v>635</v>
      </c>
      <c r="BB23" s="452" t="s">
        <v>1085</v>
      </c>
      <c r="BC23" s="453" t="s">
        <v>1070</v>
      </c>
      <c r="BD23" s="439">
        <f t="shared" si="5"/>
        <v>1</v>
      </c>
      <c r="BE23" s="439">
        <f t="shared" si="0"/>
        <v>0</v>
      </c>
      <c r="BF23" s="440">
        <f t="shared" si="1"/>
        <v>46044</v>
      </c>
      <c r="BG23" s="439">
        <f t="shared" si="2"/>
        <v>0</v>
      </c>
      <c r="BH23" s="441">
        <f t="shared" si="3"/>
        <v>1</v>
      </c>
      <c r="BI23" s="442">
        <f t="shared" si="4"/>
        <v>0</v>
      </c>
      <c r="BJ23" s="443" t="s">
        <v>74</v>
      </c>
    </row>
    <row r="24" spans="1:62" s="444" customFormat="1" ht="12" customHeight="1">
      <c r="A24" s="423"/>
      <c r="B24" s="414"/>
      <c r="C24" s="414"/>
      <c r="D24" s="414"/>
      <c r="E24" s="414"/>
      <c r="F24" s="414"/>
      <c r="G24" s="414"/>
      <c r="H24" s="414"/>
      <c r="I24" s="447"/>
      <c r="J24" s="417">
        <v>46001</v>
      </c>
      <c r="K24" s="418">
        <v>46044</v>
      </c>
      <c r="L24" s="418"/>
      <c r="M24" s="419" t="s">
        <v>666</v>
      </c>
      <c r="N24" s="448"/>
      <c r="O24" s="420">
        <f>INDEX([3]光真稼働日早見表!$M:$M,MATCH($P24,[3]光真稼働日早見表!$Q:$Q,0),1)</f>
        <v>46039</v>
      </c>
      <c r="P24" s="422">
        <v>46044</v>
      </c>
      <c r="Q24" s="449" t="s">
        <v>1064</v>
      </c>
      <c r="R24" s="428"/>
      <c r="S24" s="428"/>
      <c r="T24" s="425"/>
      <c r="U24" s="426"/>
      <c r="V24" s="428"/>
      <c r="W24" s="426"/>
      <c r="X24" s="424" t="s">
        <v>1083</v>
      </c>
      <c r="Y24" s="427"/>
      <c r="Z24" s="426"/>
      <c r="AA24" s="448"/>
      <c r="AB24" s="428"/>
      <c r="AC24" s="426"/>
      <c r="AD24" s="446"/>
      <c r="AE24" s="428"/>
      <c r="AF24" s="427"/>
      <c r="AG24" s="426"/>
      <c r="AH24" s="425"/>
      <c r="AI24" s="427"/>
      <c r="AJ24" s="427"/>
      <c r="AK24" s="426"/>
      <c r="AL24" s="428"/>
      <c r="AM24" s="427"/>
      <c r="AN24" s="427"/>
      <c r="AO24" s="426"/>
      <c r="AP24" s="428"/>
      <c r="AQ24" s="427"/>
      <c r="AR24" s="427"/>
      <c r="AS24" s="427"/>
      <c r="AT24" s="427"/>
      <c r="AU24" s="427"/>
      <c r="AV24" s="426"/>
      <c r="AW24" s="428"/>
      <c r="AX24" s="426"/>
      <c r="AY24" s="446"/>
      <c r="AZ24" s="450" t="s">
        <v>1086</v>
      </c>
      <c r="BA24" s="451" t="s">
        <v>635</v>
      </c>
      <c r="BB24" s="452" t="s">
        <v>1087</v>
      </c>
      <c r="BC24" s="453" t="s">
        <v>1070</v>
      </c>
      <c r="BD24" s="439">
        <f t="shared" si="5"/>
        <v>1</v>
      </c>
      <c r="BE24" s="439">
        <f t="shared" si="0"/>
        <v>0</v>
      </c>
      <c r="BF24" s="440">
        <f t="shared" si="1"/>
        <v>46044</v>
      </c>
      <c r="BG24" s="439">
        <f t="shared" si="2"/>
        <v>0</v>
      </c>
      <c r="BH24" s="441">
        <f t="shared" si="3"/>
        <v>1</v>
      </c>
      <c r="BI24" s="442">
        <f t="shared" si="4"/>
        <v>0</v>
      </c>
      <c r="BJ24" s="443" t="s">
        <v>76</v>
      </c>
    </row>
    <row r="25" spans="1:62" s="444" customFormat="1" ht="12" customHeight="1">
      <c r="A25" s="423"/>
      <c r="B25" s="414"/>
      <c r="C25" s="414"/>
      <c r="D25" s="414"/>
      <c r="E25" s="414"/>
      <c r="F25" s="414"/>
      <c r="G25" s="414"/>
      <c r="H25" s="414"/>
      <c r="I25" s="447"/>
      <c r="J25" s="417">
        <v>46001</v>
      </c>
      <c r="K25" s="418">
        <v>46044</v>
      </c>
      <c r="L25" s="418"/>
      <c r="M25" s="419" t="s">
        <v>666</v>
      </c>
      <c r="N25" s="448"/>
      <c r="O25" s="420">
        <f>INDEX([3]光真稼働日早見表!$M:$M,MATCH($P25,[3]光真稼働日早見表!$Q:$Q,0),1)</f>
        <v>46039</v>
      </c>
      <c r="P25" s="422">
        <v>46044</v>
      </c>
      <c r="Q25" s="449" t="s">
        <v>1064</v>
      </c>
      <c r="R25" s="428"/>
      <c r="S25" s="428"/>
      <c r="T25" s="425"/>
      <c r="U25" s="426"/>
      <c r="V25" s="428"/>
      <c r="W25" s="426"/>
      <c r="X25" s="424" t="s">
        <v>1065</v>
      </c>
      <c r="Y25" s="427"/>
      <c r="Z25" s="426"/>
      <c r="AA25" s="448"/>
      <c r="AB25" s="428"/>
      <c r="AC25" s="426"/>
      <c r="AD25" s="446"/>
      <c r="AE25" s="428"/>
      <c r="AF25" s="427"/>
      <c r="AG25" s="426"/>
      <c r="AH25" s="425"/>
      <c r="AI25" s="427"/>
      <c r="AJ25" s="427"/>
      <c r="AK25" s="426"/>
      <c r="AL25" s="428"/>
      <c r="AM25" s="427"/>
      <c r="AN25" s="427"/>
      <c r="AO25" s="426"/>
      <c r="AP25" s="428"/>
      <c r="AQ25" s="427"/>
      <c r="AR25" s="427"/>
      <c r="AS25" s="427"/>
      <c r="AT25" s="427"/>
      <c r="AU25" s="427"/>
      <c r="AV25" s="426"/>
      <c r="AW25" s="428"/>
      <c r="AX25" s="426"/>
      <c r="AY25" s="446"/>
      <c r="AZ25" s="450" t="s">
        <v>1086</v>
      </c>
      <c r="BA25" s="451" t="s">
        <v>635</v>
      </c>
      <c r="BB25" s="452" t="s">
        <v>1088</v>
      </c>
      <c r="BC25" s="453" t="s">
        <v>1070</v>
      </c>
      <c r="BD25" s="439">
        <f t="shared" si="5"/>
        <v>1</v>
      </c>
      <c r="BE25" s="439">
        <f t="shared" si="0"/>
        <v>0</v>
      </c>
      <c r="BF25" s="440">
        <f t="shared" si="1"/>
        <v>46044</v>
      </c>
      <c r="BG25" s="439">
        <f t="shared" si="2"/>
        <v>0</v>
      </c>
      <c r="BH25" s="441">
        <f t="shared" si="3"/>
        <v>1</v>
      </c>
      <c r="BI25" s="442">
        <f t="shared" si="4"/>
        <v>0</v>
      </c>
      <c r="BJ25" s="443" t="s">
        <v>76</v>
      </c>
    </row>
    <row r="26" spans="1:62" s="444" customFormat="1" ht="12" customHeight="1">
      <c r="A26" s="423"/>
      <c r="B26" s="414"/>
      <c r="C26" s="414"/>
      <c r="D26" s="414"/>
      <c r="E26" s="414"/>
      <c r="F26" s="414"/>
      <c r="G26" s="414"/>
      <c r="H26" s="414"/>
      <c r="I26" s="447"/>
      <c r="J26" s="417">
        <v>46001</v>
      </c>
      <c r="K26" s="418">
        <v>46044</v>
      </c>
      <c r="L26" s="418"/>
      <c r="M26" s="419" t="s">
        <v>1089</v>
      </c>
      <c r="N26" s="448"/>
      <c r="O26" s="448"/>
      <c r="P26" s="422">
        <v>46044</v>
      </c>
      <c r="Q26" s="449" t="s">
        <v>1064</v>
      </c>
      <c r="R26" s="428"/>
      <c r="S26" s="428"/>
      <c r="T26" s="425"/>
      <c r="U26" s="426"/>
      <c r="V26" s="428"/>
      <c r="W26" s="426"/>
      <c r="X26" s="428"/>
      <c r="Y26" s="427"/>
      <c r="Z26" s="426"/>
      <c r="AA26" s="421">
        <f>INDEX([3]光真稼働日早見表!$N:$N,MATCH($P26,[3]光真稼働日早見表!$Q:$Q,0),1)</f>
        <v>46041</v>
      </c>
      <c r="AB26" s="430" t="s">
        <v>1065</v>
      </c>
      <c r="AC26" s="426"/>
      <c r="AD26" s="446"/>
      <c r="AE26" s="428"/>
      <c r="AF26" s="427"/>
      <c r="AG26" s="426"/>
      <c r="AH26" s="425"/>
      <c r="AI26" s="427"/>
      <c r="AJ26" s="427"/>
      <c r="AK26" s="426"/>
      <c r="AL26" s="428"/>
      <c r="AM26" s="427"/>
      <c r="AN26" s="427"/>
      <c r="AO26" s="426"/>
      <c r="AP26" s="428"/>
      <c r="AQ26" s="427"/>
      <c r="AR26" s="427"/>
      <c r="AS26" s="427"/>
      <c r="AT26" s="427"/>
      <c r="AU26" s="427"/>
      <c r="AV26" s="426"/>
      <c r="AW26" s="428"/>
      <c r="AX26" s="426"/>
      <c r="AY26" s="446"/>
      <c r="AZ26" s="450" t="s">
        <v>708</v>
      </c>
      <c r="BA26" s="451" t="s">
        <v>635</v>
      </c>
      <c r="BB26" s="452" t="s">
        <v>1090</v>
      </c>
      <c r="BC26" s="453" t="s">
        <v>1070</v>
      </c>
      <c r="BD26" s="439">
        <f t="shared" si="5"/>
        <v>2</v>
      </c>
      <c r="BE26" s="439">
        <f t="shared" si="0"/>
        <v>0</v>
      </c>
      <c r="BF26" s="440">
        <f t="shared" si="1"/>
        <v>46044</v>
      </c>
      <c r="BG26" s="439">
        <f t="shared" si="2"/>
        <v>0</v>
      </c>
      <c r="BH26" s="441">
        <f t="shared" si="3"/>
        <v>0</v>
      </c>
      <c r="BI26" s="442">
        <f t="shared" si="4"/>
        <v>1</v>
      </c>
      <c r="BJ26" s="443" t="s">
        <v>79</v>
      </c>
    </row>
    <row r="27" spans="1:62" s="444" customFormat="1" ht="12" customHeight="1">
      <c r="A27" s="423"/>
      <c r="B27" s="414"/>
      <c r="C27" s="414"/>
      <c r="D27" s="414"/>
      <c r="E27" s="414"/>
      <c r="F27" s="414"/>
      <c r="G27" s="414"/>
      <c r="H27" s="414"/>
      <c r="I27" s="447"/>
      <c r="J27" s="417">
        <v>46001</v>
      </c>
      <c r="K27" s="418">
        <v>46044</v>
      </c>
      <c r="L27" s="418"/>
      <c r="M27" s="419" t="s">
        <v>1089</v>
      </c>
      <c r="N27" s="448"/>
      <c r="O27" s="448"/>
      <c r="P27" s="422">
        <v>46044</v>
      </c>
      <c r="Q27" s="449" t="s">
        <v>1064</v>
      </c>
      <c r="R27" s="428"/>
      <c r="S27" s="428"/>
      <c r="T27" s="425"/>
      <c r="U27" s="426"/>
      <c r="V27" s="428"/>
      <c r="W27" s="426"/>
      <c r="X27" s="428"/>
      <c r="Y27" s="427"/>
      <c r="Z27" s="426"/>
      <c r="AA27" s="421">
        <f>INDEX([3]光真稼働日早見表!$N:$N,MATCH($P27,[3]光真稼働日早見表!$Q:$Q,0),1)</f>
        <v>46041</v>
      </c>
      <c r="AB27" s="430" t="s">
        <v>1083</v>
      </c>
      <c r="AC27" s="426"/>
      <c r="AD27" s="446"/>
      <c r="AE27" s="428"/>
      <c r="AF27" s="427"/>
      <c r="AG27" s="426"/>
      <c r="AH27" s="425"/>
      <c r="AI27" s="427"/>
      <c r="AJ27" s="427"/>
      <c r="AK27" s="426"/>
      <c r="AL27" s="428"/>
      <c r="AM27" s="427"/>
      <c r="AN27" s="427"/>
      <c r="AO27" s="426"/>
      <c r="AP27" s="428"/>
      <c r="AQ27" s="427"/>
      <c r="AR27" s="427"/>
      <c r="AS27" s="427"/>
      <c r="AT27" s="427"/>
      <c r="AU27" s="427"/>
      <c r="AV27" s="426"/>
      <c r="AW27" s="428"/>
      <c r="AX27" s="426"/>
      <c r="AY27" s="446"/>
      <c r="AZ27" s="450" t="s">
        <v>708</v>
      </c>
      <c r="BA27" s="451" t="s">
        <v>635</v>
      </c>
      <c r="BB27" s="452" t="s">
        <v>1091</v>
      </c>
      <c r="BC27" s="453" t="s">
        <v>1070</v>
      </c>
      <c r="BD27" s="439">
        <f t="shared" si="5"/>
        <v>2</v>
      </c>
      <c r="BE27" s="439">
        <f t="shared" si="0"/>
        <v>0</v>
      </c>
      <c r="BF27" s="440">
        <f t="shared" si="1"/>
        <v>46044</v>
      </c>
      <c r="BG27" s="439">
        <f t="shared" si="2"/>
        <v>0</v>
      </c>
      <c r="BH27" s="441">
        <f t="shared" si="3"/>
        <v>0</v>
      </c>
      <c r="BI27" s="442">
        <f t="shared" si="4"/>
        <v>1</v>
      </c>
      <c r="BJ27" s="443" t="s">
        <v>79</v>
      </c>
    </row>
    <row r="28" spans="1:62" s="444" customFormat="1" ht="12" customHeight="1">
      <c r="A28" s="423"/>
      <c r="B28" s="414"/>
      <c r="C28" s="414"/>
      <c r="D28" s="414"/>
      <c r="E28" s="414"/>
      <c r="F28" s="414"/>
      <c r="G28" s="414"/>
      <c r="H28" s="414"/>
      <c r="I28" s="447"/>
      <c r="J28" s="417">
        <v>46001</v>
      </c>
      <c r="K28" s="418">
        <v>46044</v>
      </c>
      <c r="L28" s="418"/>
      <c r="M28" s="419" t="s">
        <v>1089</v>
      </c>
      <c r="N28" s="448"/>
      <c r="O28" s="448"/>
      <c r="P28" s="422">
        <v>46044</v>
      </c>
      <c r="Q28" s="449" t="s">
        <v>1064</v>
      </c>
      <c r="R28" s="428"/>
      <c r="S28" s="428"/>
      <c r="T28" s="425"/>
      <c r="U28" s="426"/>
      <c r="V28" s="428"/>
      <c r="W28" s="426"/>
      <c r="X28" s="428"/>
      <c r="Y28" s="427"/>
      <c r="Z28" s="426"/>
      <c r="AA28" s="421">
        <f>INDEX([3]光真稼働日早見表!$N:$N,MATCH($P28,[3]光真稼働日早見表!$Q:$Q,0),1)</f>
        <v>46041</v>
      </c>
      <c r="AB28" s="430" t="s">
        <v>1065</v>
      </c>
      <c r="AC28" s="426"/>
      <c r="AD28" s="446"/>
      <c r="AE28" s="428"/>
      <c r="AF28" s="427"/>
      <c r="AG28" s="426"/>
      <c r="AH28" s="425"/>
      <c r="AI28" s="427"/>
      <c r="AJ28" s="427"/>
      <c r="AK28" s="426"/>
      <c r="AL28" s="428"/>
      <c r="AM28" s="427"/>
      <c r="AN28" s="427"/>
      <c r="AO28" s="426"/>
      <c r="AP28" s="428"/>
      <c r="AQ28" s="427"/>
      <c r="AR28" s="427"/>
      <c r="AS28" s="427"/>
      <c r="AT28" s="427"/>
      <c r="AU28" s="427"/>
      <c r="AV28" s="426"/>
      <c r="AW28" s="428"/>
      <c r="AX28" s="426"/>
      <c r="AY28" s="446"/>
      <c r="AZ28" s="450" t="s">
        <v>708</v>
      </c>
      <c r="BA28" s="451" t="s">
        <v>635</v>
      </c>
      <c r="BB28" s="452" t="s">
        <v>1092</v>
      </c>
      <c r="BC28" s="453" t="s">
        <v>1070</v>
      </c>
      <c r="BD28" s="439">
        <f t="shared" si="5"/>
        <v>2</v>
      </c>
      <c r="BE28" s="439">
        <f t="shared" si="0"/>
        <v>0</v>
      </c>
      <c r="BF28" s="440">
        <f t="shared" si="1"/>
        <v>46044</v>
      </c>
      <c r="BG28" s="439">
        <f t="shared" si="2"/>
        <v>0</v>
      </c>
      <c r="BH28" s="441">
        <f t="shared" si="3"/>
        <v>0</v>
      </c>
      <c r="BI28" s="442">
        <f t="shared" si="4"/>
        <v>1</v>
      </c>
      <c r="BJ28" s="443" t="s">
        <v>79</v>
      </c>
    </row>
    <row r="29" spans="1:62" s="444" customFormat="1" ht="12" customHeight="1">
      <c r="A29" s="423"/>
      <c r="B29" s="414"/>
      <c r="C29" s="414"/>
      <c r="D29" s="414"/>
      <c r="E29" s="414"/>
      <c r="F29" s="414"/>
      <c r="G29" s="414"/>
      <c r="H29" s="414"/>
      <c r="I29" s="447"/>
      <c r="J29" s="417">
        <v>46001</v>
      </c>
      <c r="K29" s="418">
        <v>46044</v>
      </c>
      <c r="L29" s="418"/>
      <c r="M29" s="419" t="s">
        <v>1089</v>
      </c>
      <c r="N29" s="448"/>
      <c r="O29" s="448"/>
      <c r="P29" s="422">
        <v>46044</v>
      </c>
      <c r="Q29" s="449" t="s">
        <v>1064</v>
      </c>
      <c r="R29" s="428"/>
      <c r="S29" s="428"/>
      <c r="T29" s="425"/>
      <c r="U29" s="426"/>
      <c r="V29" s="428"/>
      <c r="W29" s="426"/>
      <c r="X29" s="428"/>
      <c r="Y29" s="427"/>
      <c r="Z29" s="426"/>
      <c r="AA29" s="421">
        <f>INDEX([3]光真稼働日早見表!$N:$N,MATCH($P29,[3]光真稼働日早見表!$Q:$Q,0),1)</f>
        <v>46041</v>
      </c>
      <c r="AB29" s="430" t="s">
        <v>1065</v>
      </c>
      <c r="AC29" s="426"/>
      <c r="AD29" s="446"/>
      <c r="AE29" s="428"/>
      <c r="AF29" s="427"/>
      <c r="AG29" s="426"/>
      <c r="AH29" s="425"/>
      <c r="AI29" s="427"/>
      <c r="AJ29" s="427"/>
      <c r="AK29" s="426"/>
      <c r="AL29" s="428"/>
      <c r="AM29" s="427"/>
      <c r="AN29" s="427"/>
      <c r="AO29" s="426"/>
      <c r="AP29" s="428"/>
      <c r="AQ29" s="427"/>
      <c r="AR29" s="427"/>
      <c r="AS29" s="427"/>
      <c r="AT29" s="427"/>
      <c r="AU29" s="427"/>
      <c r="AV29" s="426"/>
      <c r="AW29" s="428"/>
      <c r="AX29" s="426"/>
      <c r="AY29" s="446"/>
      <c r="AZ29" s="450" t="s">
        <v>708</v>
      </c>
      <c r="BA29" s="451" t="s">
        <v>635</v>
      </c>
      <c r="BB29" s="452" t="s">
        <v>1093</v>
      </c>
      <c r="BC29" s="453" t="s">
        <v>1070</v>
      </c>
      <c r="BD29" s="439">
        <f t="shared" si="5"/>
        <v>2</v>
      </c>
      <c r="BE29" s="439">
        <f t="shared" si="0"/>
        <v>0</v>
      </c>
      <c r="BF29" s="440">
        <f t="shared" si="1"/>
        <v>46044</v>
      </c>
      <c r="BG29" s="439">
        <f t="shared" si="2"/>
        <v>0</v>
      </c>
      <c r="BH29" s="441">
        <f t="shared" si="3"/>
        <v>0</v>
      </c>
      <c r="BI29" s="442">
        <f t="shared" si="4"/>
        <v>1</v>
      </c>
      <c r="BJ29" s="443" t="s">
        <v>79</v>
      </c>
    </row>
    <row r="30" spans="1:62" s="444" customFormat="1" ht="12" customHeight="1">
      <c r="A30" s="423"/>
      <c r="B30" s="414"/>
      <c r="C30" s="414"/>
      <c r="D30" s="414"/>
      <c r="E30" s="414"/>
      <c r="F30" s="414"/>
      <c r="G30" s="414"/>
      <c r="H30" s="414"/>
      <c r="I30" s="447"/>
      <c r="J30" s="417">
        <v>46001</v>
      </c>
      <c r="K30" s="418">
        <v>46044</v>
      </c>
      <c r="L30" s="418"/>
      <c r="M30" s="419" t="s">
        <v>1089</v>
      </c>
      <c r="N30" s="448"/>
      <c r="O30" s="448"/>
      <c r="P30" s="422">
        <v>46044</v>
      </c>
      <c r="Q30" s="449" t="s">
        <v>1064</v>
      </c>
      <c r="R30" s="428"/>
      <c r="S30" s="428"/>
      <c r="T30" s="425"/>
      <c r="U30" s="426"/>
      <c r="V30" s="428"/>
      <c r="W30" s="426"/>
      <c r="X30" s="428"/>
      <c r="Y30" s="427"/>
      <c r="Z30" s="426"/>
      <c r="AA30" s="421">
        <f>INDEX([3]光真稼働日早見表!$N:$N,MATCH($P30,[3]光真稼働日早見表!$Q:$Q,0),1)</f>
        <v>46041</v>
      </c>
      <c r="AB30" s="430" t="s">
        <v>1065</v>
      </c>
      <c r="AC30" s="426"/>
      <c r="AD30" s="446"/>
      <c r="AE30" s="428"/>
      <c r="AF30" s="427"/>
      <c r="AG30" s="426"/>
      <c r="AH30" s="425"/>
      <c r="AI30" s="427"/>
      <c r="AJ30" s="427"/>
      <c r="AK30" s="426"/>
      <c r="AL30" s="428"/>
      <c r="AM30" s="427"/>
      <c r="AN30" s="427"/>
      <c r="AO30" s="426"/>
      <c r="AP30" s="428"/>
      <c r="AQ30" s="427"/>
      <c r="AR30" s="427"/>
      <c r="AS30" s="427"/>
      <c r="AT30" s="427"/>
      <c r="AU30" s="427"/>
      <c r="AV30" s="426"/>
      <c r="AW30" s="428"/>
      <c r="AX30" s="426"/>
      <c r="AY30" s="446"/>
      <c r="AZ30" s="450" t="s">
        <v>708</v>
      </c>
      <c r="BA30" s="451" t="s">
        <v>635</v>
      </c>
      <c r="BB30" s="452" t="s">
        <v>1094</v>
      </c>
      <c r="BC30" s="453" t="s">
        <v>1070</v>
      </c>
      <c r="BD30" s="439">
        <f t="shared" si="5"/>
        <v>2</v>
      </c>
      <c r="BE30" s="439">
        <f t="shared" si="0"/>
        <v>0</v>
      </c>
      <c r="BF30" s="440">
        <f t="shared" si="1"/>
        <v>46044</v>
      </c>
      <c r="BG30" s="439">
        <f t="shared" si="2"/>
        <v>0</v>
      </c>
      <c r="BH30" s="441">
        <f t="shared" si="3"/>
        <v>0</v>
      </c>
      <c r="BI30" s="442">
        <f t="shared" si="4"/>
        <v>1</v>
      </c>
      <c r="BJ30" s="443" t="s">
        <v>79</v>
      </c>
    </row>
    <row r="31" spans="1:62" s="444" customFormat="1" ht="12" customHeight="1">
      <c r="A31" s="423"/>
      <c r="B31" s="414"/>
      <c r="C31" s="414"/>
      <c r="D31" s="414"/>
      <c r="E31" s="414"/>
      <c r="F31" s="414"/>
      <c r="G31" s="414"/>
      <c r="H31" s="414"/>
      <c r="I31" s="447"/>
      <c r="J31" s="417">
        <v>46001</v>
      </c>
      <c r="K31" s="418">
        <v>46044</v>
      </c>
      <c r="L31" s="418"/>
      <c r="M31" s="419" t="s">
        <v>1095</v>
      </c>
      <c r="N31" s="448"/>
      <c r="O31" s="448"/>
      <c r="P31" s="422">
        <v>46044</v>
      </c>
      <c r="Q31" s="449" t="s">
        <v>1064</v>
      </c>
      <c r="R31" s="428"/>
      <c r="S31" s="428"/>
      <c r="T31" s="425"/>
      <c r="U31" s="426"/>
      <c r="V31" s="428"/>
      <c r="W31" s="426"/>
      <c r="X31" s="428"/>
      <c r="Y31" s="427"/>
      <c r="Z31" s="426"/>
      <c r="AA31" s="421">
        <f>INDEX([3]光真稼働日早見表!$N:$N,MATCH($P31,[3]光真稼働日早見表!$Q:$Q,0),1)</f>
        <v>46041</v>
      </c>
      <c r="AB31" s="428"/>
      <c r="AC31" s="426"/>
      <c r="AD31" s="446"/>
      <c r="AE31" s="430" t="s">
        <v>1065</v>
      </c>
      <c r="AF31" s="427"/>
      <c r="AG31" s="426"/>
      <c r="AH31" s="425"/>
      <c r="AI31" s="427"/>
      <c r="AJ31" s="427"/>
      <c r="AK31" s="426"/>
      <c r="AL31" s="428"/>
      <c r="AM31" s="427"/>
      <c r="AN31" s="427"/>
      <c r="AO31" s="426"/>
      <c r="AP31" s="428"/>
      <c r="AQ31" s="427"/>
      <c r="AR31" s="427"/>
      <c r="AS31" s="427"/>
      <c r="AT31" s="427"/>
      <c r="AU31" s="427"/>
      <c r="AV31" s="426"/>
      <c r="AW31" s="428"/>
      <c r="AX31" s="426"/>
      <c r="AY31" s="446"/>
      <c r="AZ31" s="450" t="s">
        <v>703</v>
      </c>
      <c r="BA31" s="451" t="s">
        <v>635</v>
      </c>
      <c r="BB31" s="452" t="s">
        <v>1096</v>
      </c>
      <c r="BC31" s="453" t="s">
        <v>1070</v>
      </c>
      <c r="BD31" s="439">
        <f t="shared" si="5"/>
        <v>2</v>
      </c>
      <c r="BE31" s="439">
        <f t="shared" si="0"/>
        <v>0</v>
      </c>
      <c r="BF31" s="440">
        <f t="shared" si="1"/>
        <v>46044</v>
      </c>
      <c r="BG31" s="439">
        <f t="shared" si="2"/>
        <v>0</v>
      </c>
      <c r="BH31" s="441">
        <f t="shared" si="3"/>
        <v>0</v>
      </c>
      <c r="BI31" s="442">
        <f t="shared" si="4"/>
        <v>1</v>
      </c>
      <c r="BJ31" s="443" t="s">
        <v>82</v>
      </c>
    </row>
    <row r="32" spans="1:62" s="444" customFormat="1" ht="12" customHeight="1">
      <c r="A32" s="423"/>
      <c r="B32" s="414"/>
      <c r="C32" s="414"/>
      <c r="D32" s="414"/>
      <c r="E32" s="414"/>
      <c r="F32" s="414"/>
      <c r="G32" s="414"/>
      <c r="H32" s="414"/>
      <c r="I32" s="447"/>
      <c r="J32" s="417">
        <v>46001</v>
      </c>
      <c r="K32" s="418">
        <v>46044</v>
      </c>
      <c r="L32" s="418"/>
      <c r="M32" s="419" t="s">
        <v>1097</v>
      </c>
      <c r="N32" s="448"/>
      <c r="O32" s="448"/>
      <c r="P32" s="422">
        <v>46044</v>
      </c>
      <c r="Q32" s="449" t="s">
        <v>1064</v>
      </c>
      <c r="R32" s="428"/>
      <c r="S32" s="428"/>
      <c r="T32" s="425"/>
      <c r="U32" s="426"/>
      <c r="V32" s="428"/>
      <c r="W32" s="426"/>
      <c r="X32" s="428"/>
      <c r="Y32" s="427"/>
      <c r="Z32" s="426"/>
      <c r="AA32" s="421">
        <f>INDEX([3]光真稼働日早見表!$N:$N,MATCH($P32,[3]光真稼働日早見表!$Q:$Q,0),1)</f>
        <v>46041</v>
      </c>
      <c r="AB32" s="428"/>
      <c r="AC32" s="426"/>
      <c r="AD32" s="446"/>
      <c r="AE32" s="428"/>
      <c r="AF32" s="427"/>
      <c r="AG32" s="426"/>
      <c r="AH32" s="431" t="s">
        <v>1065</v>
      </c>
      <c r="AI32" s="427"/>
      <c r="AJ32" s="427"/>
      <c r="AK32" s="426"/>
      <c r="AL32" s="428"/>
      <c r="AM32" s="427"/>
      <c r="AN32" s="427"/>
      <c r="AO32" s="426"/>
      <c r="AP32" s="428"/>
      <c r="AQ32" s="427"/>
      <c r="AR32" s="427"/>
      <c r="AS32" s="427"/>
      <c r="AT32" s="427"/>
      <c r="AU32" s="427"/>
      <c r="AV32" s="426"/>
      <c r="AW32" s="428"/>
      <c r="AX32" s="426"/>
      <c r="AY32" s="446"/>
      <c r="AZ32" s="450" t="s">
        <v>671</v>
      </c>
      <c r="BA32" s="451" t="s">
        <v>635</v>
      </c>
      <c r="BB32" s="452" t="s">
        <v>1098</v>
      </c>
      <c r="BC32" s="453" t="s">
        <v>1070</v>
      </c>
      <c r="BD32" s="439">
        <f t="shared" si="5"/>
        <v>2</v>
      </c>
      <c r="BE32" s="439">
        <f t="shared" si="0"/>
        <v>0</v>
      </c>
      <c r="BF32" s="440">
        <f t="shared" si="1"/>
        <v>46044</v>
      </c>
      <c r="BG32" s="439">
        <f t="shared" si="2"/>
        <v>0</v>
      </c>
      <c r="BH32" s="441">
        <f t="shared" si="3"/>
        <v>0</v>
      </c>
      <c r="BI32" s="442">
        <f t="shared" si="4"/>
        <v>1</v>
      </c>
      <c r="BJ32" s="443" t="s">
        <v>85</v>
      </c>
    </row>
    <row r="33" spans="1:62" s="444" customFormat="1" ht="12" customHeight="1">
      <c r="A33" s="423"/>
      <c r="B33" s="414"/>
      <c r="C33" s="414"/>
      <c r="D33" s="414"/>
      <c r="E33" s="414"/>
      <c r="F33" s="414"/>
      <c r="G33" s="414"/>
      <c r="H33" s="414"/>
      <c r="I33" s="447"/>
      <c r="J33" s="417">
        <v>46001</v>
      </c>
      <c r="K33" s="418">
        <v>46044</v>
      </c>
      <c r="L33" s="418"/>
      <c r="M33" s="419" t="s">
        <v>685</v>
      </c>
      <c r="N33" s="448"/>
      <c r="O33" s="448"/>
      <c r="P33" s="422">
        <v>46044</v>
      </c>
      <c r="Q33" s="449" t="s">
        <v>1064</v>
      </c>
      <c r="R33" s="428"/>
      <c r="S33" s="428"/>
      <c r="T33" s="425"/>
      <c r="U33" s="426"/>
      <c r="V33" s="428"/>
      <c r="W33" s="426"/>
      <c r="X33" s="428"/>
      <c r="Y33" s="427"/>
      <c r="Z33" s="426"/>
      <c r="AA33" s="421">
        <f>INDEX([3]光真稼働日早見表!$N:$N,MATCH($P33,[3]光真稼働日早見表!$Q:$Q,0),1)</f>
        <v>46041</v>
      </c>
      <c r="AB33" s="428"/>
      <c r="AC33" s="426"/>
      <c r="AD33" s="446"/>
      <c r="AE33" s="428"/>
      <c r="AF33" s="427"/>
      <c r="AG33" s="426"/>
      <c r="AH33" s="425"/>
      <c r="AI33" s="427"/>
      <c r="AJ33" s="427"/>
      <c r="AK33" s="426"/>
      <c r="AL33" s="430" t="s">
        <v>1099</v>
      </c>
      <c r="AM33" s="427"/>
      <c r="AN33" s="427"/>
      <c r="AO33" s="426"/>
      <c r="AP33" s="428"/>
      <c r="AQ33" s="427"/>
      <c r="AR33" s="427"/>
      <c r="AS33" s="427"/>
      <c r="AT33" s="427"/>
      <c r="AU33" s="427"/>
      <c r="AV33" s="426"/>
      <c r="AW33" s="428"/>
      <c r="AX33" s="426"/>
      <c r="AY33" s="446"/>
      <c r="AZ33" s="450" t="s">
        <v>681</v>
      </c>
      <c r="BA33" s="451" t="s">
        <v>635</v>
      </c>
      <c r="BB33" s="452" t="s">
        <v>1100</v>
      </c>
      <c r="BC33" s="453" t="s">
        <v>1070</v>
      </c>
      <c r="BD33" s="439">
        <f t="shared" si="5"/>
        <v>2</v>
      </c>
      <c r="BE33" s="439">
        <f t="shared" si="0"/>
        <v>0</v>
      </c>
      <c r="BF33" s="440">
        <f t="shared" si="1"/>
        <v>46044</v>
      </c>
      <c r="BG33" s="439">
        <f t="shared" si="2"/>
        <v>0</v>
      </c>
      <c r="BH33" s="441">
        <f t="shared" si="3"/>
        <v>0</v>
      </c>
      <c r="BI33" s="442">
        <f t="shared" si="4"/>
        <v>1</v>
      </c>
      <c r="BJ33" s="443" t="s">
        <v>89</v>
      </c>
    </row>
    <row r="34" spans="1:62" s="444" customFormat="1" ht="12" customHeight="1">
      <c r="A34" s="423"/>
      <c r="B34" s="414"/>
      <c r="C34" s="414"/>
      <c r="D34" s="414"/>
      <c r="E34" s="414"/>
      <c r="F34" s="414"/>
      <c r="G34" s="414"/>
      <c r="H34" s="414"/>
      <c r="I34" s="447"/>
      <c r="J34" s="417">
        <v>46001</v>
      </c>
      <c r="K34" s="418">
        <v>46044</v>
      </c>
      <c r="L34" s="418"/>
      <c r="M34" s="419" t="s">
        <v>685</v>
      </c>
      <c r="N34" s="448"/>
      <c r="O34" s="448"/>
      <c r="P34" s="422">
        <v>46044</v>
      </c>
      <c r="Q34" s="449" t="s">
        <v>1064</v>
      </c>
      <c r="R34" s="428"/>
      <c r="S34" s="428"/>
      <c r="T34" s="425"/>
      <c r="U34" s="426"/>
      <c r="V34" s="428"/>
      <c r="W34" s="426"/>
      <c r="X34" s="428"/>
      <c r="Y34" s="427"/>
      <c r="Z34" s="426"/>
      <c r="AA34" s="421">
        <f>INDEX([3]光真稼働日早見表!$N:$N,MATCH($P34,[3]光真稼働日早見表!$Q:$Q,0),1)</f>
        <v>46041</v>
      </c>
      <c r="AB34" s="428"/>
      <c r="AC34" s="426"/>
      <c r="AD34" s="446"/>
      <c r="AE34" s="428"/>
      <c r="AF34" s="427"/>
      <c r="AG34" s="426"/>
      <c r="AH34" s="425"/>
      <c r="AI34" s="427"/>
      <c r="AJ34" s="427"/>
      <c r="AK34" s="426"/>
      <c r="AL34" s="430" t="s">
        <v>1065</v>
      </c>
      <c r="AM34" s="427"/>
      <c r="AN34" s="427"/>
      <c r="AO34" s="426"/>
      <c r="AP34" s="428"/>
      <c r="AQ34" s="427"/>
      <c r="AR34" s="427"/>
      <c r="AS34" s="427"/>
      <c r="AT34" s="427"/>
      <c r="AU34" s="427"/>
      <c r="AV34" s="426"/>
      <c r="AW34" s="428"/>
      <c r="AX34" s="426"/>
      <c r="AY34" s="446"/>
      <c r="AZ34" s="450" t="s">
        <v>681</v>
      </c>
      <c r="BA34" s="451" t="s">
        <v>635</v>
      </c>
      <c r="BB34" s="452" t="s">
        <v>1101</v>
      </c>
      <c r="BC34" s="453" t="s">
        <v>1070</v>
      </c>
      <c r="BD34" s="439">
        <f t="shared" si="5"/>
        <v>2</v>
      </c>
      <c r="BE34" s="439">
        <f t="shared" ref="BE34:BE65" si="6">I34</f>
        <v>0</v>
      </c>
      <c r="BF34" s="440">
        <f t="shared" ref="BF34:BF65" si="7">K34</f>
        <v>46044</v>
      </c>
      <c r="BG34" s="439">
        <f t="shared" ref="BG34:BG65" si="8">A34</f>
        <v>0</v>
      </c>
      <c r="BH34" s="441">
        <f t="shared" ref="BH34:BH65" si="9">COUNTA(R34:Z34)</f>
        <v>0</v>
      </c>
      <c r="BI34" s="442">
        <f t="shared" ref="BI34:BI65" si="10">COUNTA(AB34:AO34)</f>
        <v>1</v>
      </c>
      <c r="BJ34" s="443" t="s">
        <v>89</v>
      </c>
    </row>
    <row r="35" spans="1:62" s="444" customFormat="1" ht="12" customHeight="1">
      <c r="A35" s="423"/>
      <c r="B35" s="414"/>
      <c r="C35" s="414"/>
      <c r="D35" s="414"/>
      <c r="E35" s="414"/>
      <c r="F35" s="414"/>
      <c r="G35" s="414"/>
      <c r="H35" s="414"/>
      <c r="I35" s="447"/>
      <c r="J35" s="417">
        <v>46001</v>
      </c>
      <c r="K35" s="418">
        <v>46044</v>
      </c>
      <c r="L35" s="418"/>
      <c r="M35" s="419" t="s">
        <v>685</v>
      </c>
      <c r="N35" s="448"/>
      <c r="O35" s="448"/>
      <c r="P35" s="422">
        <v>46044</v>
      </c>
      <c r="Q35" s="449" t="s">
        <v>1064</v>
      </c>
      <c r="R35" s="428"/>
      <c r="S35" s="428"/>
      <c r="T35" s="425"/>
      <c r="U35" s="426"/>
      <c r="V35" s="428"/>
      <c r="W35" s="426"/>
      <c r="X35" s="428"/>
      <c r="Y35" s="427"/>
      <c r="Z35" s="426"/>
      <c r="AA35" s="421">
        <f>INDEX([3]光真稼働日早見表!$N:$N,MATCH($P35,[3]光真稼働日早見表!$Q:$Q,0),1)</f>
        <v>46041</v>
      </c>
      <c r="AB35" s="428"/>
      <c r="AC35" s="426"/>
      <c r="AD35" s="446"/>
      <c r="AE35" s="428"/>
      <c r="AF35" s="427"/>
      <c r="AG35" s="426"/>
      <c r="AH35" s="425"/>
      <c r="AI35" s="427"/>
      <c r="AJ35" s="427"/>
      <c r="AK35" s="426"/>
      <c r="AL35" s="430" t="s">
        <v>1065</v>
      </c>
      <c r="AM35" s="427"/>
      <c r="AN35" s="427"/>
      <c r="AO35" s="426"/>
      <c r="AP35" s="428"/>
      <c r="AQ35" s="427"/>
      <c r="AR35" s="427"/>
      <c r="AS35" s="427"/>
      <c r="AT35" s="427"/>
      <c r="AU35" s="427"/>
      <c r="AV35" s="426"/>
      <c r="AW35" s="428"/>
      <c r="AX35" s="426"/>
      <c r="AY35" s="446"/>
      <c r="AZ35" s="450" t="s">
        <v>681</v>
      </c>
      <c r="BA35" s="451" t="s">
        <v>635</v>
      </c>
      <c r="BB35" s="452" t="s">
        <v>1102</v>
      </c>
      <c r="BC35" s="453" t="s">
        <v>1070</v>
      </c>
      <c r="BD35" s="439">
        <f t="shared" si="5"/>
        <v>2</v>
      </c>
      <c r="BE35" s="439">
        <f t="shared" si="6"/>
        <v>0</v>
      </c>
      <c r="BF35" s="440">
        <f t="shared" si="7"/>
        <v>46044</v>
      </c>
      <c r="BG35" s="439">
        <f t="shared" si="8"/>
        <v>0</v>
      </c>
      <c r="BH35" s="441">
        <f t="shared" si="9"/>
        <v>0</v>
      </c>
      <c r="BI35" s="442">
        <f t="shared" si="10"/>
        <v>1</v>
      </c>
      <c r="BJ35" s="443" t="s">
        <v>89</v>
      </c>
    </row>
    <row r="36" spans="1:62" s="444" customFormat="1" ht="12" customHeight="1">
      <c r="A36" s="423"/>
      <c r="B36" s="414"/>
      <c r="C36" s="414"/>
      <c r="D36" s="414"/>
      <c r="E36" s="414"/>
      <c r="F36" s="414"/>
      <c r="G36" s="414"/>
      <c r="H36" s="414"/>
      <c r="I36" s="447"/>
      <c r="J36" s="417">
        <v>46001</v>
      </c>
      <c r="K36" s="418">
        <v>46044</v>
      </c>
      <c r="L36" s="418"/>
      <c r="M36" s="419" t="s">
        <v>685</v>
      </c>
      <c r="N36" s="448"/>
      <c r="O36" s="448"/>
      <c r="P36" s="422">
        <v>46044</v>
      </c>
      <c r="Q36" s="449" t="s">
        <v>1064</v>
      </c>
      <c r="R36" s="428"/>
      <c r="S36" s="428"/>
      <c r="T36" s="425"/>
      <c r="U36" s="426"/>
      <c r="V36" s="428"/>
      <c r="W36" s="426"/>
      <c r="X36" s="428"/>
      <c r="Y36" s="427"/>
      <c r="Z36" s="426"/>
      <c r="AA36" s="421">
        <f>INDEX([3]光真稼働日早見表!$N:$N,MATCH($P36,[3]光真稼働日早見表!$Q:$Q,0),1)</f>
        <v>46041</v>
      </c>
      <c r="AB36" s="428"/>
      <c r="AC36" s="426"/>
      <c r="AD36" s="446"/>
      <c r="AE36" s="428"/>
      <c r="AF36" s="427"/>
      <c r="AG36" s="426"/>
      <c r="AH36" s="425"/>
      <c r="AI36" s="427"/>
      <c r="AJ36" s="427"/>
      <c r="AK36" s="426"/>
      <c r="AL36" s="430" t="s">
        <v>1065</v>
      </c>
      <c r="AM36" s="427"/>
      <c r="AN36" s="427"/>
      <c r="AO36" s="426"/>
      <c r="AP36" s="428"/>
      <c r="AQ36" s="427"/>
      <c r="AR36" s="427"/>
      <c r="AS36" s="427"/>
      <c r="AT36" s="427"/>
      <c r="AU36" s="427"/>
      <c r="AV36" s="426"/>
      <c r="AW36" s="428"/>
      <c r="AX36" s="426"/>
      <c r="AY36" s="446"/>
      <c r="AZ36" s="450" t="s">
        <v>681</v>
      </c>
      <c r="BA36" s="451" t="s">
        <v>635</v>
      </c>
      <c r="BB36" s="452" t="s">
        <v>1103</v>
      </c>
      <c r="BC36" s="453" t="s">
        <v>1070</v>
      </c>
      <c r="BD36" s="439">
        <f t="shared" si="5"/>
        <v>2</v>
      </c>
      <c r="BE36" s="439">
        <f t="shared" si="6"/>
        <v>0</v>
      </c>
      <c r="BF36" s="440">
        <f t="shared" si="7"/>
        <v>46044</v>
      </c>
      <c r="BG36" s="439">
        <f t="shared" si="8"/>
        <v>0</v>
      </c>
      <c r="BH36" s="441">
        <f t="shared" si="9"/>
        <v>0</v>
      </c>
      <c r="BI36" s="442">
        <f t="shared" si="10"/>
        <v>1</v>
      </c>
      <c r="BJ36" s="443" t="s">
        <v>89</v>
      </c>
    </row>
    <row r="37" spans="1:62" s="444" customFormat="1" ht="12" customHeight="1">
      <c r="A37" s="423"/>
      <c r="B37" s="414"/>
      <c r="C37" s="414"/>
      <c r="D37" s="414"/>
      <c r="E37" s="414"/>
      <c r="F37" s="414"/>
      <c r="G37" s="414"/>
      <c r="H37" s="414"/>
      <c r="I37" s="447"/>
      <c r="J37" s="417">
        <v>46001</v>
      </c>
      <c r="K37" s="418">
        <v>46044</v>
      </c>
      <c r="L37" s="418"/>
      <c r="M37" s="419" t="s">
        <v>685</v>
      </c>
      <c r="N37" s="448"/>
      <c r="O37" s="448"/>
      <c r="P37" s="422">
        <v>46044</v>
      </c>
      <c r="Q37" s="449" t="s">
        <v>1064</v>
      </c>
      <c r="R37" s="428"/>
      <c r="S37" s="428"/>
      <c r="T37" s="425"/>
      <c r="U37" s="426"/>
      <c r="V37" s="428"/>
      <c r="W37" s="426"/>
      <c r="X37" s="428"/>
      <c r="Y37" s="427"/>
      <c r="Z37" s="426"/>
      <c r="AA37" s="421">
        <f>INDEX([3]光真稼働日早見表!$N:$N,MATCH($P37,[3]光真稼働日早見表!$Q:$Q,0),1)</f>
        <v>46041</v>
      </c>
      <c r="AB37" s="428"/>
      <c r="AC37" s="426"/>
      <c r="AD37" s="446"/>
      <c r="AE37" s="428"/>
      <c r="AF37" s="427"/>
      <c r="AG37" s="426"/>
      <c r="AH37" s="425"/>
      <c r="AI37" s="427"/>
      <c r="AJ37" s="427"/>
      <c r="AK37" s="426"/>
      <c r="AL37" s="430" t="s">
        <v>1065</v>
      </c>
      <c r="AM37" s="427"/>
      <c r="AN37" s="427"/>
      <c r="AO37" s="426"/>
      <c r="AP37" s="428"/>
      <c r="AQ37" s="427"/>
      <c r="AR37" s="427"/>
      <c r="AS37" s="427"/>
      <c r="AT37" s="427"/>
      <c r="AU37" s="427"/>
      <c r="AV37" s="426"/>
      <c r="AW37" s="428"/>
      <c r="AX37" s="426"/>
      <c r="AY37" s="446"/>
      <c r="AZ37" s="450" t="s">
        <v>681</v>
      </c>
      <c r="BA37" s="451" t="s">
        <v>635</v>
      </c>
      <c r="BB37" s="452" t="s">
        <v>1104</v>
      </c>
      <c r="BC37" s="453" t="s">
        <v>1070</v>
      </c>
      <c r="BD37" s="439">
        <f t="shared" si="5"/>
        <v>2</v>
      </c>
      <c r="BE37" s="439">
        <f t="shared" si="6"/>
        <v>0</v>
      </c>
      <c r="BF37" s="440">
        <f t="shared" si="7"/>
        <v>46044</v>
      </c>
      <c r="BG37" s="439">
        <f t="shared" si="8"/>
        <v>0</v>
      </c>
      <c r="BH37" s="441">
        <f t="shared" si="9"/>
        <v>0</v>
      </c>
      <c r="BI37" s="442">
        <f t="shared" si="10"/>
        <v>1</v>
      </c>
      <c r="BJ37" s="443" t="s">
        <v>89</v>
      </c>
    </row>
    <row r="38" spans="1:62" s="444" customFormat="1" ht="12" customHeight="1">
      <c r="A38" s="413">
        <v>21368</v>
      </c>
      <c r="B38" s="414"/>
      <c r="C38" s="414"/>
      <c r="D38" s="414"/>
      <c r="E38" s="415">
        <v>8230</v>
      </c>
      <c r="F38" s="414"/>
      <c r="G38" s="414"/>
      <c r="H38" s="414"/>
      <c r="I38" s="416" t="s">
        <v>190</v>
      </c>
      <c r="J38" s="417">
        <v>46035</v>
      </c>
      <c r="K38" s="418">
        <v>46045</v>
      </c>
      <c r="L38" s="418"/>
      <c r="M38" s="419" t="s">
        <v>1058</v>
      </c>
      <c r="N38" s="417">
        <v>46044</v>
      </c>
      <c r="O38" s="420">
        <v>46039</v>
      </c>
      <c r="P38" s="422">
        <v>46045</v>
      </c>
      <c r="Q38" s="423"/>
      <c r="R38" s="424" t="s">
        <v>1058</v>
      </c>
      <c r="S38" s="424" t="s">
        <v>1058</v>
      </c>
      <c r="T38" s="425"/>
      <c r="U38" s="426"/>
      <c r="V38" s="424" t="s">
        <v>1058</v>
      </c>
      <c r="W38" s="426"/>
      <c r="X38" s="424" t="s">
        <v>1058</v>
      </c>
      <c r="Y38" s="427"/>
      <c r="Z38" s="426"/>
      <c r="AA38" s="421">
        <v>46042</v>
      </c>
      <c r="AB38" s="428"/>
      <c r="AC38" s="445" t="s">
        <v>1058</v>
      </c>
      <c r="AD38" s="446"/>
      <c r="AE38" s="430" t="s">
        <v>1058</v>
      </c>
      <c r="AF38" s="427"/>
      <c r="AG38" s="426"/>
      <c r="AH38" s="431" t="s">
        <v>1058</v>
      </c>
      <c r="AI38" s="427"/>
      <c r="AJ38" s="427"/>
      <c r="AK38" s="426"/>
      <c r="AL38" s="430" t="s">
        <v>1058</v>
      </c>
      <c r="AM38" s="427"/>
      <c r="AN38" s="427"/>
      <c r="AO38" s="426"/>
      <c r="AP38" s="428"/>
      <c r="AQ38" s="427"/>
      <c r="AR38" s="427"/>
      <c r="AS38" s="432" t="s">
        <v>1058</v>
      </c>
      <c r="AT38" s="427"/>
      <c r="AU38" s="427"/>
      <c r="AV38" s="426"/>
      <c r="AW38" s="433" t="s">
        <v>1058</v>
      </c>
      <c r="AX38" s="426"/>
      <c r="AY38" s="434" t="s">
        <v>1058</v>
      </c>
      <c r="AZ38" s="435" t="s">
        <v>327</v>
      </c>
      <c r="BA38" s="436" t="s">
        <v>164</v>
      </c>
      <c r="BB38" s="437" t="s">
        <v>328</v>
      </c>
      <c r="BC38" s="438"/>
      <c r="BD38" s="439">
        <v>11</v>
      </c>
      <c r="BE38" s="439" t="str">
        <f t="shared" si="6"/>
        <v>VU-LB106</v>
      </c>
      <c r="BF38" s="440">
        <f t="shared" si="7"/>
        <v>46045</v>
      </c>
      <c r="BG38" s="439">
        <f t="shared" si="8"/>
        <v>21368</v>
      </c>
      <c r="BH38" s="441">
        <f t="shared" si="9"/>
        <v>4</v>
      </c>
      <c r="BI38" s="442">
        <f t="shared" si="10"/>
        <v>4</v>
      </c>
      <c r="BJ38" s="443"/>
    </row>
    <row r="39" spans="1:62" s="444" customFormat="1" ht="12" customHeight="1">
      <c r="A39" s="423"/>
      <c r="B39" s="414"/>
      <c r="C39" s="414"/>
      <c r="D39" s="414"/>
      <c r="E39" s="414"/>
      <c r="F39" s="414"/>
      <c r="G39" s="414"/>
      <c r="H39" s="414"/>
      <c r="I39" s="447"/>
      <c r="J39" s="417">
        <v>46001</v>
      </c>
      <c r="K39" s="418">
        <v>46045</v>
      </c>
      <c r="L39" s="418"/>
      <c r="M39" s="419" t="s">
        <v>1105</v>
      </c>
      <c r="N39" s="448"/>
      <c r="O39" s="420">
        <f>INDEX([3]光真稼働日早見表!$M:$M,MATCH($P39,[3]光真稼働日早見表!$Q:$Q,0),1)</f>
        <v>46041</v>
      </c>
      <c r="P39" s="422">
        <v>46045</v>
      </c>
      <c r="Q39" s="449" t="s">
        <v>1064</v>
      </c>
      <c r="R39" s="424" t="s">
        <v>1065</v>
      </c>
      <c r="S39" s="428"/>
      <c r="T39" s="425"/>
      <c r="U39" s="426"/>
      <c r="V39" s="428"/>
      <c r="W39" s="426"/>
      <c r="X39" s="428"/>
      <c r="Y39" s="427"/>
      <c r="Z39" s="426"/>
      <c r="AA39" s="448"/>
      <c r="AB39" s="428"/>
      <c r="AC39" s="426"/>
      <c r="AD39" s="446"/>
      <c r="AE39" s="428"/>
      <c r="AF39" s="427"/>
      <c r="AG39" s="426"/>
      <c r="AH39" s="425"/>
      <c r="AI39" s="427"/>
      <c r="AJ39" s="427"/>
      <c r="AK39" s="426"/>
      <c r="AL39" s="428"/>
      <c r="AM39" s="427"/>
      <c r="AN39" s="427"/>
      <c r="AO39" s="426"/>
      <c r="AP39" s="428"/>
      <c r="AQ39" s="427"/>
      <c r="AR39" s="427"/>
      <c r="AS39" s="427"/>
      <c r="AT39" s="427"/>
      <c r="AU39" s="427"/>
      <c r="AV39" s="426"/>
      <c r="AW39" s="428"/>
      <c r="AX39" s="426"/>
      <c r="AY39" s="446"/>
      <c r="AZ39" s="450" t="s">
        <v>647</v>
      </c>
      <c r="BA39" s="451" t="s">
        <v>635</v>
      </c>
      <c r="BB39" s="452" t="s">
        <v>1106</v>
      </c>
      <c r="BC39" s="453" t="s">
        <v>1070</v>
      </c>
      <c r="BD39" s="439">
        <f t="shared" ref="BD39:BD54" si="11">COUNTA(R39:AY39)</f>
        <v>1</v>
      </c>
      <c r="BE39" s="439">
        <f t="shared" si="6"/>
        <v>0</v>
      </c>
      <c r="BF39" s="440">
        <f t="shared" si="7"/>
        <v>46045</v>
      </c>
      <c r="BG39" s="439">
        <f t="shared" si="8"/>
        <v>0</v>
      </c>
      <c r="BH39" s="441">
        <f t="shared" si="9"/>
        <v>1</v>
      </c>
      <c r="BI39" s="442">
        <f t="shared" si="10"/>
        <v>0</v>
      </c>
      <c r="BJ39" s="443" t="s">
        <v>70</v>
      </c>
    </row>
    <row r="40" spans="1:62" s="444" customFormat="1" ht="12" customHeight="1">
      <c r="A40" s="423"/>
      <c r="B40" s="414"/>
      <c r="C40" s="414"/>
      <c r="D40" s="414"/>
      <c r="E40" s="414"/>
      <c r="F40" s="414"/>
      <c r="G40" s="414"/>
      <c r="H40" s="414"/>
      <c r="I40" s="447"/>
      <c r="J40" s="417">
        <v>46001</v>
      </c>
      <c r="K40" s="418">
        <v>46045</v>
      </c>
      <c r="L40" s="418"/>
      <c r="M40" s="419" t="s">
        <v>1105</v>
      </c>
      <c r="N40" s="448"/>
      <c r="O40" s="420">
        <f>INDEX([3]光真稼働日早見表!$M:$M,MATCH($P40,[3]光真稼働日早見表!$Q:$Q,0),1)</f>
        <v>46041</v>
      </c>
      <c r="P40" s="422">
        <v>46045</v>
      </c>
      <c r="Q40" s="449" t="s">
        <v>1064</v>
      </c>
      <c r="R40" s="424" t="s">
        <v>1065</v>
      </c>
      <c r="S40" s="428"/>
      <c r="T40" s="425"/>
      <c r="U40" s="426"/>
      <c r="V40" s="428"/>
      <c r="W40" s="426"/>
      <c r="X40" s="428"/>
      <c r="Y40" s="427"/>
      <c r="Z40" s="426"/>
      <c r="AA40" s="448"/>
      <c r="AB40" s="428"/>
      <c r="AC40" s="426"/>
      <c r="AD40" s="446"/>
      <c r="AE40" s="428"/>
      <c r="AF40" s="427"/>
      <c r="AG40" s="426"/>
      <c r="AH40" s="425"/>
      <c r="AI40" s="427"/>
      <c r="AJ40" s="427"/>
      <c r="AK40" s="426"/>
      <c r="AL40" s="428"/>
      <c r="AM40" s="427"/>
      <c r="AN40" s="427"/>
      <c r="AO40" s="426"/>
      <c r="AP40" s="428"/>
      <c r="AQ40" s="427"/>
      <c r="AR40" s="427"/>
      <c r="AS40" s="427"/>
      <c r="AT40" s="427"/>
      <c r="AU40" s="427"/>
      <c r="AV40" s="426"/>
      <c r="AW40" s="428"/>
      <c r="AX40" s="426"/>
      <c r="AY40" s="446"/>
      <c r="AZ40" s="450" t="s">
        <v>647</v>
      </c>
      <c r="BA40" s="451" t="s">
        <v>635</v>
      </c>
      <c r="BB40" s="452" t="s">
        <v>1107</v>
      </c>
      <c r="BC40" s="453" t="s">
        <v>1070</v>
      </c>
      <c r="BD40" s="439">
        <f t="shared" si="11"/>
        <v>1</v>
      </c>
      <c r="BE40" s="439">
        <f t="shared" si="6"/>
        <v>0</v>
      </c>
      <c r="BF40" s="440">
        <f t="shared" si="7"/>
        <v>46045</v>
      </c>
      <c r="BG40" s="439">
        <f t="shared" si="8"/>
        <v>0</v>
      </c>
      <c r="BH40" s="441">
        <f t="shared" si="9"/>
        <v>1</v>
      </c>
      <c r="BI40" s="442">
        <f t="shared" si="10"/>
        <v>0</v>
      </c>
      <c r="BJ40" s="443" t="s">
        <v>70</v>
      </c>
    </row>
    <row r="41" spans="1:62" s="444" customFormat="1" ht="12" customHeight="1">
      <c r="A41" s="423"/>
      <c r="B41" s="414"/>
      <c r="C41" s="414"/>
      <c r="D41" s="414"/>
      <c r="E41" s="414"/>
      <c r="F41" s="414"/>
      <c r="G41" s="414"/>
      <c r="H41" s="414"/>
      <c r="I41" s="447"/>
      <c r="J41" s="417">
        <v>46001</v>
      </c>
      <c r="K41" s="418">
        <v>46045</v>
      </c>
      <c r="L41" s="418"/>
      <c r="M41" s="419" t="s">
        <v>1105</v>
      </c>
      <c r="N41" s="448"/>
      <c r="O41" s="420">
        <f>INDEX([3]光真稼働日早見表!$M:$M,MATCH($P41,[3]光真稼働日早見表!$Q:$Q,0),1)</f>
        <v>46041</v>
      </c>
      <c r="P41" s="422">
        <v>46045</v>
      </c>
      <c r="Q41" s="449" t="s">
        <v>1064</v>
      </c>
      <c r="R41" s="424" t="s">
        <v>1099</v>
      </c>
      <c r="S41" s="428"/>
      <c r="T41" s="425"/>
      <c r="U41" s="426"/>
      <c r="V41" s="428"/>
      <c r="W41" s="426"/>
      <c r="X41" s="428"/>
      <c r="Y41" s="427"/>
      <c r="Z41" s="426"/>
      <c r="AA41" s="448"/>
      <c r="AB41" s="428"/>
      <c r="AC41" s="426"/>
      <c r="AD41" s="446"/>
      <c r="AE41" s="428"/>
      <c r="AF41" s="427"/>
      <c r="AG41" s="426"/>
      <c r="AH41" s="425"/>
      <c r="AI41" s="427"/>
      <c r="AJ41" s="427"/>
      <c r="AK41" s="426"/>
      <c r="AL41" s="428"/>
      <c r="AM41" s="427"/>
      <c r="AN41" s="427"/>
      <c r="AO41" s="426"/>
      <c r="AP41" s="428"/>
      <c r="AQ41" s="427"/>
      <c r="AR41" s="427"/>
      <c r="AS41" s="427"/>
      <c r="AT41" s="427"/>
      <c r="AU41" s="427"/>
      <c r="AV41" s="426"/>
      <c r="AW41" s="428"/>
      <c r="AX41" s="426"/>
      <c r="AY41" s="446"/>
      <c r="AZ41" s="450" t="s">
        <v>647</v>
      </c>
      <c r="BA41" s="451" t="s">
        <v>635</v>
      </c>
      <c r="BB41" s="452" t="s">
        <v>1108</v>
      </c>
      <c r="BC41" s="453" t="s">
        <v>1070</v>
      </c>
      <c r="BD41" s="439">
        <f t="shared" si="11"/>
        <v>1</v>
      </c>
      <c r="BE41" s="439">
        <f t="shared" si="6"/>
        <v>0</v>
      </c>
      <c r="BF41" s="440">
        <f t="shared" si="7"/>
        <v>46045</v>
      </c>
      <c r="BG41" s="439">
        <f t="shared" si="8"/>
        <v>0</v>
      </c>
      <c r="BH41" s="441">
        <f t="shared" si="9"/>
        <v>1</v>
      </c>
      <c r="BI41" s="442">
        <f t="shared" si="10"/>
        <v>0</v>
      </c>
      <c r="BJ41" s="443" t="s">
        <v>70</v>
      </c>
    </row>
    <row r="42" spans="1:62" s="444" customFormat="1" ht="12" customHeight="1">
      <c r="A42" s="423"/>
      <c r="B42" s="414"/>
      <c r="C42" s="414"/>
      <c r="D42" s="414"/>
      <c r="E42" s="414"/>
      <c r="F42" s="414"/>
      <c r="G42" s="414"/>
      <c r="H42" s="414"/>
      <c r="I42" s="447"/>
      <c r="J42" s="417">
        <v>46001</v>
      </c>
      <c r="K42" s="418">
        <v>46045</v>
      </c>
      <c r="L42" s="418"/>
      <c r="M42" s="419" t="s">
        <v>1105</v>
      </c>
      <c r="N42" s="448"/>
      <c r="O42" s="420">
        <f>INDEX([3]光真稼働日早見表!$M:$M,MATCH($P42,[3]光真稼働日早見表!$Q:$Q,0),1)</f>
        <v>46041</v>
      </c>
      <c r="P42" s="422">
        <v>46045</v>
      </c>
      <c r="Q42" s="449" t="s">
        <v>1064</v>
      </c>
      <c r="R42" s="424" t="s">
        <v>1065</v>
      </c>
      <c r="S42" s="428"/>
      <c r="T42" s="425"/>
      <c r="U42" s="426"/>
      <c r="V42" s="428"/>
      <c r="W42" s="426"/>
      <c r="X42" s="428"/>
      <c r="Y42" s="427"/>
      <c r="Z42" s="426"/>
      <c r="AA42" s="448"/>
      <c r="AB42" s="428"/>
      <c r="AC42" s="426"/>
      <c r="AD42" s="446"/>
      <c r="AE42" s="428"/>
      <c r="AF42" s="427"/>
      <c r="AG42" s="426"/>
      <c r="AH42" s="425"/>
      <c r="AI42" s="427"/>
      <c r="AJ42" s="427"/>
      <c r="AK42" s="426"/>
      <c r="AL42" s="428"/>
      <c r="AM42" s="427"/>
      <c r="AN42" s="427"/>
      <c r="AO42" s="426"/>
      <c r="AP42" s="428"/>
      <c r="AQ42" s="427"/>
      <c r="AR42" s="427"/>
      <c r="AS42" s="427"/>
      <c r="AT42" s="427"/>
      <c r="AU42" s="427"/>
      <c r="AV42" s="426"/>
      <c r="AW42" s="428"/>
      <c r="AX42" s="426"/>
      <c r="AY42" s="446"/>
      <c r="AZ42" s="450" t="s">
        <v>647</v>
      </c>
      <c r="BA42" s="451" t="s">
        <v>635</v>
      </c>
      <c r="BB42" s="452" t="s">
        <v>1109</v>
      </c>
      <c r="BC42" s="453" t="s">
        <v>1070</v>
      </c>
      <c r="BD42" s="439">
        <f t="shared" si="11"/>
        <v>1</v>
      </c>
      <c r="BE42" s="439">
        <f t="shared" si="6"/>
        <v>0</v>
      </c>
      <c r="BF42" s="440">
        <f t="shared" si="7"/>
        <v>46045</v>
      </c>
      <c r="BG42" s="439">
        <f t="shared" si="8"/>
        <v>0</v>
      </c>
      <c r="BH42" s="441">
        <f t="shared" si="9"/>
        <v>1</v>
      </c>
      <c r="BI42" s="442">
        <f t="shared" si="10"/>
        <v>0</v>
      </c>
      <c r="BJ42" s="443" t="s">
        <v>70</v>
      </c>
    </row>
    <row r="43" spans="1:62" s="444" customFormat="1" ht="12" customHeight="1">
      <c r="A43" s="423"/>
      <c r="B43" s="414"/>
      <c r="C43" s="414"/>
      <c r="D43" s="414"/>
      <c r="E43" s="414"/>
      <c r="F43" s="414"/>
      <c r="G43" s="414"/>
      <c r="H43" s="414"/>
      <c r="I43" s="447"/>
      <c r="J43" s="417">
        <v>46001</v>
      </c>
      <c r="K43" s="418">
        <v>46045</v>
      </c>
      <c r="L43" s="418"/>
      <c r="M43" s="419" t="s">
        <v>1110</v>
      </c>
      <c r="N43" s="448"/>
      <c r="O43" s="420">
        <f>INDEX([3]光真稼働日早見表!$M:$M,MATCH($P43,[3]光真稼働日早見表!$Q:$Q,0),1)</f>
        <v>46041</v>
      </c>
      <c r="P43" s="422">
        <v>46045</v>
      </c>
      <c r="Q43" s="449" t="s">
        <v>1064</v>
      </c>
      <c r="R43" s="424" t="s">
        <v>1065</v>
      </c>
      <c r="S43" s="428"/>
      <c r="T43" s="425"/>
      <c r="U43" s="426"/>
      <c r="V43" s="428"/>
      <c r="W43" s="426"/>
      <c r="X43" s="428"/>
      <c r="Y43" s="427"/>
      <c r="Z43" s="426"/>
      <c r="AA43" s="448"/>
      <c r="AB43" s="428"/>
      <c r="AC43" s="426"/>
      <c r="AD43" s="446"/>
      <c r="AE43" s="428"/>
      <c r="AF43" s="427"/>
      <c r="AG43" s="426"/>
      <c r="AH43" s="425"/>
      <c r="AI43" s="427"/>
      <c r="AJ43" s="427"/>
      <c r="AK43" s="426"/>
      <c r="AL43" s="428"/>
      <c r="AM43" s="427"/>
      <c r="AN43" s="427"/>
      <c r="AO43" s="426"/>
      <c r="AP43" s="428"/>
      <c r="AQ43" s="427"/>
      <c r="AR43" s="427"/>
      <c r="AS43" s="427"/>
      <c r="AT43" s="427"/>
      <c r="AU43" s="427"/>
      <c r="AV43" s="426"/>
      <c r="AW43" s="428"/>
      <c r="AX43" s="426"/>
      <c r="AY43" s="446"/>
      <c r="AZ43" s="450" t="s">
        <v>647</v>
      </c>
      <c r="BA43" s="451" t="s">
        <v>635</v>
      </c>
      <c r="BB43" s="452" t="s">
        <v>1111</v>
      </c>
      <c r="BC43" s="453" t="s">
        <v>1070</v>
      </c>
      <c r="BD43" s="439">
        <f t="shared" si="11"/>
        <v>1</v>
      </c>
      <c r="BE43" s="439">
        <f t="shared" si="6"/>
        <v>0</v>
      </c>
      <c r="BF43" s="440">
        <f t="shared" si="7"/>
        <v>46045</v>
      </c>
      <c r="BG43" s="439">
        <f t="shared" si="8"/>
        <v>0</v>
      </c>
      <c r="BH43" s="441">
        <f t="shared" si="9"/>
        <v>1</v>
      </c>
      <c r="BI43" s="442">
        <f t="shared" si="10"/>
        <v>0</v>
      </c>
      <c r="BJ43" s="443" t="s">
        <v>70</v>
      </c>
    </row>
    <row r="44" spans="1:62" s="444" customFormat="1" ht="12" customHeight="1">
      <c r="A44" s="423"/>
      <c r="B44" s="414"/>
      <c r="C44" s="414"/>
      <c r="D44" s="414"/>
      <c r="E44" s="414"/>
      <c r="F44" s="414"/>
      <c r="G44" s="414"/>
      <c r="H44" s="414"/>
      <c r="I44" s="447"/>
      <c r="J44" s="417">
        <v>46001</v>
      </c>
      <c r="K44" s="418">
        <v>46045</v>
      </c>
      <c r="L44" s="418"/>
      <c r="M44" s="419" t="s">
        <v>1112</v>
      </c>
      <c r="N44" s="448"/>
      <c r="O44" s="420">
        <f>INDEX([3]光真稼働日早見表!$M:$M,MATCH($P44,[3]光真稼働日早見表!$Q:$Q,0),1)</f>
        <v>46041</v>
      </c>
      <c r="P44" s="422">
        <v>46045</v>
      </c>
      <c r="Q44" s="449" t="s">
        <v>1064</v>
      </c>
      <c r="R44" s="428"/>
      <c r="S44" s="428"/>
      <c r="T44" s="425"/>
      <c r="U44" s="426"/>
      <c r="V44" s="424" t="s">
        <v>1083</v>
      </c>
      <c r="W44" s="426"/>
      <c r="X44" s="428"/>
      <c r="Y44" s="427"/>
      <c r="Z44" s="426"/>
      <c r="AA44" s="448"/>
      <c r="AB44" s="428"/>
      <c r="AC44" s="426"/>
      <c r="AD44" s="446"/>
      <c r="AE44" s="428"/>
      <c r="AF44" s="427"/>
      <c r="AG44" s="426"/>
      <c r="AH44" s="425"/>
      <c r="AI44" s="427"/>
      <c r="AJ44" s="427"/>
      <c r="AK44" s="426"/>
      <c r="AL44" s="428"/>
      <c r="AM44" s="427"/>
      <c r="AN44" s="427"/>
      <c r="AO44" s="426"/>
      <c r="AP44" s="428"/>
      <c r="AQ44" s="427"/>
      <c r="AR44" s="427"/>
      <c r="AS44" s="427"/>
      <c r="AT44" s="427"/>
      <c r="AU44" s="427"/>
      <c r="AV44" s="426"/>
      <c r="AW44" s="428"/>
      <c r="AX44" s="426"/>
      <c r="AY44" s="446"/>
      <c r="AZ44" s="450" t="s">
        <v>718</v>
      </c>
      <c r="BA44" s="451" t="s">
        <v>635</v>
      </c>
      <c r="BB44" s="452" t="s">
        <v>1113</v>
      </c>
      <c r="BC44" s="453" t="s">
        <v>1070</v>
      </c>
      <c r="BD44" s="439">
        <f t="shared" si="11"/>
        <v>1</v>
      </c>
      <c r="BE44" s="439">
        <f t="shared" si="6"/>
        <v>0</v>
      </c>
      <c r="BF44" s="440">
        <f t="shared" si="7"/>
        <v>46045</v>
      </c>
      <c r="BG44" s="439">
        <f t="shared" si="8"/>
        <v>0</v>
      </c>
      <c r="BH44" s="441">
        <f t="shared" si="9"/>
        <v>1</v>
      </c>
      <c r="BI44" s="442">
        <f t="shared" si="10"/>
        <v>0</v>
      </c>
      <c r="BJ44" s="443" t="s">
        <v>74</v>
      </c>
    </row>
    <row r="45" spans="1:62" s="444" customFormat="1" ht="12" customHeight="1">
      <c r="A45" s="423"/>
      <c r="B45" s="414"/>
      <c r="C45" s="414"/>
      <c r="D45" s="414"/>
      <c r="E45" s="414"/>
      <c r="F45" s="414"/>
      <c r="G45" s="414"/>
      <c r="H45" s="414"/>
      <c r="I45" s="447"/>
      <c r="J45" s="417">
        <v>46001</v>
      </c>
      <c r="K45" s="418">
        <v>46045</v>
      </c>
      <c r="L45" s="418"/>
      <c r="M45" s="419" t="s">
        <v>1114</v>
      </c>
      <c r="N45" s="448"/>
      <c r="O45" s="420">
        <f>INDEX([3]光真稼働日早見表!$M:$M,MATCH($P45,[3]光真稼働日早見表!$Q:$Q,0),1)</f>
        <v>46041</v>
      </c>
      <c r="P45" s="422">
        <v>46045</v>
      </c>
      <c r="Q45" s="449" t="s">
        <v>1064</v>
      </c>
      <c r="R45" s="428"/>
      <c r="S45" s="428"/>
      <c r="T45" s="425"/>
      <c r="U45" s="426"/>
      <c r="V45" s="424" t="s">
        <v>1083</v>
      </c>
      <c r="W45" s="426"/>
      <c r="X45" s="428"/>
      <c r="Y45" s="427"/>
      <c r="Z45" s="426"/>
      <c r="AA45" s="448"/>
      <c r="AB45" s="428"/>
      <c r="AC45" s="426"/>
      <c r="AD45" s="446"/>
      <c r="AE45" s="428"/>
      <c r="AF45" s="427"/>
      <c r="AG45" s="426"/>
      <c r="AH45" s="425"/>
      <c r="AI45" s="427"/>
      <c r="AJ45" s="427"/>
      <c r="AK45" s="426"/>
      <c r="AL45" s="428"/>
      <c r="AM45" s="427"/>
      <c r="AN45" s="427"/>
      <c r="AO45" s="426"/>
      <c r="AP45" s="428"/>
      <c r="AQ45" s="427"/>
      <c r="AR45" s="427"/>
      <c r="AS45" s="427"/>
      <c r="AT45" s="427"/>
      <c r="AU45" s="427"/>
      <c r="AV45" s="426"/>
      <c r="AW45" s="428"/>
      <c r="AX45" s="426"/>
      <c r="AY45" s="446"/>
      <c r="AZ45" s="450" t="s">
        <v>718</v>
      </c>
      <c r="BA45" s="451" t="s">
        <v>635</v>
      </c>
      <c r="BB45" s="452" t="s">
        <v>1115</v>
      </c>
      <c r="BC45" s="453" t="s">
        <v>1070</v>
      </c>
      <c r="BD45" s="439">
        <f t="shared" si="11"/>
        <v>1</v>
      </c>
      <c r="BE45" s="439">
        <f t="shared" si="6"/>
        <v>0</v>
      </c>
      <c r="BF45" s="440">
        <f t="shared" si="7"/>
        <v>46045</v>
      </c>
      <c r="BG45" s="439">
        <f t="shared" si="8"/>
        <v>0</v>
      </c>
      <c r="BH45" s="441">
        <f t="shared" si="9"/>
        <v>1</v>
      </c>
      <c r="BI45" s="442">
        <f t="shared" si="10"/>
        <v>0</v>
      </c>
      <c r="BJ45" s="443" t="s">
        <v>74</v>
      </c>
    </row>
    <row r="46" spans="1:62" s="444" customFormat="1" ht="12" customHeight="1">
      <c r="A46" s="423"/>
      <c r="B46" s="414"/>
      <c r="C46" s="414"/>
      <c r="D46" s="414"/>
      <c r="E46" s="414"/>
      <c r="F46" s="414"/>
      <c r="G46" s="414"/>
      <c r="H46" s="414"/>
      <c r="I46" s="447"/>
      <c r="J46" s="417">
        <v>46001</v>
      </c>
      <c r="K46" s="418">
        <v>46045</v>
      </c>
      <c r="L46" s="418"/>
      <c r="M46" s="419" t="s">
        <v>1114</v>
      </c>
      <c r="N46" s="448"/>
      <c r="O46" s="420">
        <f>INDEX([3]光真稼働日早見表!$M:$M,MATCH($P46,[3]光真稼働日早見表!$Q:$Q,0),1)</f>
        <v>46041</v>
      </c>
      <c r="P46" s="422">
        <v>46045</v>
      </c>
      <c r="Q46" s="449" t="s">
        <v>1064</v>
      </c>
      <c r="R46" s="428"/>
      <c r="S46" s="428"/>
      <c r="T46" s="425"/>
      <c r="U46" s="426"/>
      <c r="V46" s="424" t="s">
        <v>1065</v>
      </c>
      <c r="W46" s="426"/>
      <c r="X46" s="428"/>
      <c r="Y46" s="427"/>
      <c r="Z46" s="426"/>
      <c r="AA46" s="448"/>
      <c r="AB46" s="428"/>
      <c r="AC46" s="426"/>
      <c r="AD46" s="446"/>
      <c r="AE46" s="428"/>
      <c r="AF46" s="427"/>
      <c r="AG46" s="426"/>
      <c r="AH46" s="425"/>
      <c r="AI46" s="427"/>
      <c r="AJ46" s="427"/>
      <c r="AK46" s="426"/>
      <c r="AL46" s="428"/>
      <c r="AM46" s="427"/>
      <c r="AN46" s="427"/>
      <c r="AO46" s="426"/>
      <c r="AP46" s="428"/>
      <c r="AQ46" s="427"/>
      <c r="AR46" s="427"/>
      <c r="AS46" s="427"/>
      <c r="AT46" s="427"/>
      <c r="AU46" s="427"/>
      <c r="AV46" s="426"/>
      <c r="AW46" s="428"/>
      <c r="AX46" s="426"/>
      <c r="AY46" s="446"/>
      <c r="AZ46" s="450" t="s">
        <v>718</v>
      </c>
      <c r="BA46" s="451" t="s">
        <v>635</v>
      </c>
      <c r="BB46" s="452" t="s">
        <v>1116</v>
      </c>
      <c r="BC46" s="453" t="s">
        <v>1070</v>
      </c>
      <c r="BD46" s="439">
        <f t="shared" si="11"/>
        <v>1</v>
      </c>
      <c r="BE46" s="439">
        <f t="shared" si="6"/>
        <v>0</v>
      </c>
      <c r="BF46" s="440">
        <f t="shared" si="7"/>
        <v>46045</v>
      </c>
      <c r="BG46" s="439">
        <f t="shared" si="8"/>
        <v>0</v>
      </c>
      <c r="BH46" s="441">
        <f t="shared" si="9"/>
        <v>1</v>
      </c>
      <c r="BI46" s="442">
        <f t="shared" si="10"/>
        <v>0</v>
      </c>
      <c r="BJ46" s="443" t="s">
        <v>74</v>
      </c>
    </row>
    <row r="47" spans="1:62" s="444" customFormat="1" ht="12" customHeight="1">
      <c r="A47" s="423"/>
      <c r="B47" s="414"/>
      <c r="C47" s="414"/>
      <c r="D47" s="414"/>
      <c r="E47" s="414"/>
      <c r="F47" s="414"/>
      <c r="G47" s="414"/>
      <c r="H47" s="414"/>
      <c r="I47" s="447"/>
      <c r="J47" s="417">
        <v>46001</v>
      </c>
      <c r="K47" s="418">
        <v>46045</v>
      </c>
      <c r="L47" s="418"/>
      <c r="M47" s="419" t="s">
        <v>1114</v>
      </c>
      <c r="N47" s="448"/>
      <c r="O47" s="420">
        <f>INDEX([3]光真稼働日早見表!$M:$M,MATCH($P47,[3]光真稼働日早見表!$Q:$Q,0),1)</f>
        <v>46041</v>
      </c>
      <c r="P47" s="422">
        <v>46045</v>
      </c>
      <c r="Q47" s="449" t="s">
        <v>1064</v>
      </c>
      <c r="R47" s="428"/>
      <c r="S47" s="428"/>
      <c r="T47" s="425"/>
      <c r="U47" s="426"/>
      <c r="V47" s="424" t="s">
        <v>1099</v>
      </c>
      <c r="W47" s="426"/>
      <c r="X47" s="428"/>
      <c r="Y47" s="427"/>
      <c r="Z47" s="426"/>
      <c r="AA47" s="448"/>
      <c r="AB47" s="428"/>
      <c r="AC47" s="426"/>
      <c r="AD47" s="446"/>
      <c r="AE47" s="428"/>
      <c r="AF47" s="427"/>
      <c r="AG47" s="426"/>
      <c r="AH47" s="425"/>
      <c r="AI47" s="427"/>
      <c r="AJ47" s="427"/>
      <c r="AK47" s="426"/>
      <c r="AL47" s="428"/>
      <c r="AM47" s="427"/>
      <c r="AN47" s="427"/>
      <c r="AO47" s="426"/>
      <c r="AP47" s="428"/>
      <c r="AQ47" s="427"/>
      <c r="AR47" s="427"/>
      <c r="AS47" s="427"/>
      <c r="AT47" s="427"/>
      <c r="AU47" s="427"/>
      <c r="AV47" s="426"/>
      <c r="AW47" s="428"/>
      <c r="AX47" s="426"/>
      <c r="AY47" s="446"/>
      <c r="AZ47" s="450" t="s">
        <v>718</v>
      </c>
      <c r="BA47" s="451" t="s">
        <v>635</v>
      </c>
      <c r="BB47" s="452" t="s">
        <v>1117</v>
      </c>
      <c r="BC47" s="453" t="s">
        <v>1070</v>
      </c>
      <c r="BD47" s="439">
        <f t="shared" si="11"/>
        <v>1</v>
      </c>
      <c r="BE47" s="439">
        <f t="shared" si="6"/>
        <v>0</v>
      </c>
      <c r="BF47" s="440">
        <f t="shared" si="7"/>
        <v>46045</v>
      </c>
      <c r="BG47" s="439">
        <f t="shared" si="8"/>
        <v>0</v>
      </c>
      <c r="BH47" s="441">
        <f t="shared" si="9"/>
        <v>1</v>
      </c>
      <c r="BI47" s="442">
        <f t="shared" si="10"/>
        <v>0</v>
      </c>
      <c r="BJ47" s="443" t="s">
        <v>74</v>
      </c>
    </row>
    <row r="48" spans="1:62" s="444" customFormat="1" ht="12" customHeight="1">
      <c r="A48" s="423"/>
      <c r="B48" s="414"/>
      <c r="C48" s="414"/>
      <c r="D48" s="414"/>
      <c r="E48" s="414"/>
      <c r="F48" s="414"/>
      <c r="G48" s="414"/>
      <c r="H48" s="414"/>
      <c r="I48" s="447"/>
      <c r="J48" s="417">
        <v>46001</v>
      </c>
      <c r="K48" s="418">
        <v>46045</v>
      </c>
      <c r="L48" s="418"/>
      <c r="M48" s="419" t="s">
        <v>1118</v>
      </c>
      <c r="N48" s="448"/>
      <c r="O48" s="420">
        <f>INDEX([3]光真稼働日早見表!$M:$M,MATCH($P48,[3]光真稼働日早見表!$Q:$Q,0),1)</f>
        <v>46041</v>
      </c>
      <c r="P48" s="422">
        <v>46045</v>
      </c>
      <c r="Q48" s="449" t="s">
        <v>1064</v>
      </c>
      <c r="R48" s="428"/>
      <c r="S48" s="428"/>
      <c r="T48" s="425"/>
      <c r="U48" s="426"/>
      <c r="V48" s="428"/>
      <c r="W48" s="426"/>
      <c r="X48" s="424" t="s">
        <v>1083</v>
      </c>
      <c r="Y48" s="427"/>
      <c r="Z48" s="426"/>
      <c r="AA48" s="448"/>
      <c r="AB48" s="428"/>
      <c r="AC48" s="426"/>
      <c r="AD48" s="446"/>
      <c r="AE48" s="428"/>
      <c r="AF48" s="427"/>
      <c r="AG48" s="426"/>
      <c r="AH48" s="425"/>
      <c r="AI48" s="427"/>
      <c r="AJ48" s="427"/>
      <c r="AK48" s="426"/>
      <c r="AL48" s="428"/>
      <c r="AM48" s="427"/>
      <c r="AN48" s="427"/>
      <c r="AO48" s="426"/>
      <c r="AP48" s="428"/>
      <c r="AQ48" s="427"/>
      <c r="AR48" s="427"/>
      <c r="AS48" s="427"/>
      <c r="AT48" s="427"/>
      <c r="AU48" s="427"/>
      <c r="AV48" s="426"/>
      <c r="AW48" s="428"/>
      <c r="AX48" s="426"/>
      <c r="AY48" s="446"/>
      <c r="AZ48" s="450" t="s">
        <v>667</v>
      </c>
      <c r="BA48" s="451" t="s">
        <v>635</v>
      </c>
      <c r="BB48" s="452" t="s">
        <v>1119</v>
      </c>
      <c r="BC48" s="453" t="s">
        <v>1070</v>
      </c>
      <c r="BD48" s="439">
        <f t="shared" si="11"/>
        <v>1</v>
      </c>
      <c r="BE48" s="439">
        <f t="shared" si="6"/>
        <v>0</v>
      </c>
      <c r="BF48" s="440">
        <f t="shared" si="7"/>
        <v>46045</v>
      </c>
      <c r="BG48" s="439">
        <f t="shared" si="8"/>
        <v>0</v>
      </c>
      <c r="BH48" s="441">
        <f t="shared" si="9"/>
        <v>1</v>
      </c>
      <c r="BI48" s="442">
        <f t="shared" si="10"/>
        <v>0</v>
      </c>
      <c r="BJ48" s="443" t="s">
        <v>76</v>
      </c>
    </row>
    <row r="49" spans="1:62" s="444" customFormat="1" ht="12" customHeight="1">
      <c r="A49" s="423"/>
      <c r="B49" s="414"/>
      <c r="C49" s="414"/>
      <c r="D49" s="414"/>
      <c r="E49" s="414"/>
      <c r="F49" s="414"/>
      <c r="G49" s="414"/>
      <c r="H49" s="414"/>
      <c r="I49" s="447"/>
      <c r="J49" s="417">
        <v>46001</v>
      </c>
      <c r="K49" s="418">
        <v>46045</v>
      </c>
      <c r="L49" s="418"/>
      <c r="M49" s="419" t="s">
        <v>1120</v>
      </c>
      <c r="N49" s="448"/>
      <c r="O49" s="420">
        <f>INDEX([3]光真稼働日早見表!$M:$M,MATCH($P49,[3]光真稼働日早見表!$Q:$Q,0),1)</f>
        <v>46041</v>
      </c>
      <c r="P49" s="422">
        <v>46045</v>
      </c>
      <c r="Q49" s="449" t="s">
        <v>1064</v>
      </c>
      <c r="R49" s="428"/>
      <c r="S49" s="428"/>
      <c r="T49" s="425"/>
      <c r="U49" s="426"/>
      <c r="V49" s="428"/>
      <c r="W49" s="426"/>
      <c r="X49" s="424" t="s">
        <v>1065</v>
      </c>
      <c r="Y49" s="427"/>
      <c r="Z49" s="426"/>
      <c r="AA49" s="448"/>
      <c r="AB49" s="428"/>
      <c r="AC49" s="426"/>
      <c r="AD49" s="446"/>
      <c r="AE49" s="428"/>
      <c r="AF49" s="427"/>
      <c r="AG49" s="426"/>
      <c r="AH49" s="425"/>
      <c r="AI49" s="427"/>
      <c r="AJ49" s="427"/>
      <c r="AK49" s="426"/>
      <c r="AL49" s="428"/>
      <c r="AM49" s="427"/>
      <c r="AN49" s="427"/>
      <c r="AO49" s="426"/>
      <c r="AP49" s="428"/>
      <c r="AQ49" s="427"/>
      <c r="AR49" s="427"/>
      <c r="AS49" s="427"/>
      <c r="AT49" s="427"/>
      <c r="AU49" s="427"/>
      <c r="AV49" s="426"/>
      <c r="AW49" s="428"/>
      <c r="AX49" s="426"/>
      <c r="AY49" s="446"/>
      <c r="AZ49" s="450" t="s">
        <v>667</v>
      </c>
      <c r="BA49" s="451" t="s">
        <v>635</v>
      </c>
      <c r="BB49" s="452" t="s">
        <v>1121</v>
      </c>
      <c r="BC49" s="453" t="s">
        <v>1070</v>
      </c>
      <c r="BD49" s="439">
        <f t="shared" si="11"/>
        <v>1</v>
      </c>
      <c r="BE49" s="439">
        <f t="shared" si="6"/>
        <v>0</v>
      </c>
      <c r="BF49" s="440">
        <f t="shared" si="7"/>
        <v>46045</v>
      </c>
      <c r="BG49" s="439">
        <f t="shared" si="8"/>
        <v>0</v>
      </c>
      <c r="BH49" s="441">
        <f t="shared" si="9"/>
        <v>1</v>
      </c>
      <c r="BI49" s="442">
        <f t="shared" si="10"/>
        <v>0</v>
      </c>
      <c r="BJ49" s="443" t="s">
        <v>76</v>
      </c>
    </row>
    <row r="50" spans="1:62" s="444" customFormat="1" ht="12" customHeight="1">
      <c r="A50" s="423"/>
      <c r="B50" s="414"/>
      <c r="C50" s="414"/>
      <c r="D50" s="414"/>
      <c r="E50" s="414"/>
      <c r="F50" s="414"/>
      <c r="G50" s="414"/>
      <c r="H50" s="414"/>
      <c r="I50" s="447"/>
      <c r="J50" s="417">
        <v>46001</v>
      </c>
      <c r="K50" s="418">
        <v>46045</v>
      </c>
      <c r="L50" s="418"/>
      <c r="M50" s="419" t="s">
        <v>1120</v>
      </c>
      <c r="N50" s="448"/>
      <c r="O50" s="420">
        <f>INDEX([3]光真稼働日早見表!$M:$M,MATCH($P50,[3]光真稼働日早見表!$Q:$Q,0),1)</f>
        <v>46041</v>
      </c>
      <c r="P50" s="422">
        <v>46045</v>
      </c>
      <c r="Q50" s="449" t="s">
        <v>1064</v>
      </c>
      <c r="R50" s="428"/>
      <c r="S50" s="428"/>
      <c r="T50" s="425"/>
      <c r="U50" s="426"/>
      <c r="V50" s="428"/>
      <c r="W50" s="426"/>
      <c r="X50" s="424" t="s">
        <v>1065</v>
      </c>
      <c r="Y50" s="427"/>
      <c r="Z50" s="426"/>
      <c r="AA50" s="448"/>
      <c r="AB50" s="428"/>
      <c r="AC50" s="426"/>
      <c r="AD50" s="446"/>
      <c r="AE50" s="428"/>
      <c r="AF50" s="427"/>
      <c r="AG50" s="426"/>
      <c r="AH50" s="425"/>
      <c r="AI50" s="427"/>
      <c r="AJ50" s="427"/>
      <c r="AK50" s="426"/>
      <c r="AL50" s="428"/>
      <c r="AM50" s="427"/>
      <c r="AN50" s="427"/>
      <c r="AO50" s="426"/>
      <c r="AP50" s="428"/>
      <c r="AQ50" s="427"/>
      <c r="AR50" s="427"/>
      <c r="AS50" s="427"/>
      <c r="AT50" s="427"/>
      <c r="AU50" s="427"/>
      <c r="AV50" s="426"/>
      <c r="AW50" s="428"/>
      <c r="AX50" s="426"/>
      <c r="AY50" s="446"/>
      <c r="AZ50" s="450" t="s">
        <v>667</v>
      </c>
      <c r="BA50" s="451" t="s">
        <v>635</v>
      </c>
      <c r="BB50" s="452" t="s">
        <v>1122</v>
      </c>
      <c r="BC50" s="453" t="s">
        <v>1070</v>
      </c>
      <c r="BD50" s="439">
        <f t="shared" si="11"/>
        <v>1</v>
      </c>
      <c r="BE50" s="439">
        <f t="shared" si="6"/>
        <v>0</v>
      </c>
      <c r="BF50" s="440">
        <f t="shared" si="7"/>
        <v>46045</v>
      </c>
      <c r="BG50" s="439">
        <f t="shared" si="8"/>
        <v>0</v>
      </c>
      <c r="BH50" s="441">
        <f t="shared" si="9"/>
        <v>1</v>
      </c>
      <c r="BI50" s="442">
        <f t="shared" si="10"/>
        <v>0</v>
      </c>
      <c r="BJ50" s="443" t="s">
        <v>76</v>
      </c>
    </row>
    <row r="51" spans="1:62" s="444" customFormat="1" ht="12" customHeight="1">
      <c r="A51" s="423"/>
      <c r="B51" s="414"/>
      <c r="C51" s="414"/>
      <c r="D51" s="414"/>
      <c r="E51" s="414"/>
      <c r="F51" s="414"/>
      <c r="G51" s="414"/>
      <c r="H51" s="414"/>
      <c r="I51" s="447"/>
      <c r="J51" s="417">
        <v>46001</v>
      </c>
      <c r="K51" s="418">
        <v>46045</v>
      </c>
      <c r="L51" s="418"/>
      <c r="M51" s="419" t="s">
        <v>1123</v>
      </c>
      <c r="N51" s="448"/>
      <c r="O51" s="448"/>
      <c r="P51" s="422">
        <v>46045</v>
      </c>
      <c r="Q51" s="449" t="s">
        <v>1064</v>
      </c>
      <c r="R51" s="428"/>
      <c r="S51" s="428"/>
      <c r="T51" s="425"/>
      <c r="U51" s="426"/>
      <c r="V51" s="428"/>
      <c r="W51" s="426"/>
      <c r="X51" s="428"/>
      <c r="Y51" s="427"/>
      <c r="Z51" s="426"/>
      <c r="AA51" s="421">
        <f>INDEX([3]光真稼働日早見表!$N:$N,MATCH($P51,[3]光真稼働日早見表!$Q:$Q,0),1)</f>
        <v>46042</v>
      </c>
      <c r="AB51" s="428"/>
      <c r="AC51" s="426"/>
      <c r="AD51" s="446"/>
      <c r="AE51" s="428"/>
      <c r="AF51" s="427"/>
      <c r="AG51" s="426"/>
      <c r="AH51" s="425"/>
      <c r="AI51" s="427"/>
      <c r="AJ51" s="427"/>
      <c r="AK51" s="426"/>
      <c r="AL51" s="430" t="s">
        <v>1065</v>
      </c>
      <c r="AM51" s="427"/>
      <c r="AN51" s="427"/>
      <c r="AO51" s="426"/>
      <c r="AP51" s="428"/>
      <c r="AQ51" s="427"/>
      <c r="AR51" s="427"/>
      <c r="AS51" s="427"/>
      <c r="AT51" s="427"/>
      <c r="AU51" s="427"/>
      <c r="AV51" s="426"/>
      <c r="AW51" s="428"/>
      <c r="AX51" s="426"/>
      <c r="AY51" s="446"/>
      <c r="AZ51" s="450" t="s">
        <v>686</v>
      </c>
      <c r="BA51" s="451" t="s">
        <v>635</v>
      </c>
      <c r="BB51" s="452" t="s">
        <v>1124</v>
      </c>
      <c r="BC51" s="453" t="s">
        <v>1070</v>
      </c>
      <c r="BD51" s="439">
        <f t="shared" si="11"/>
        <v>2</v>
      </c>
      <c r="BE51" s="439">
        <f t="shared" si="6"/>
        <v>0</v>
      </c>
      <c r="BF51" s="440">
        <f t="shared" si="7"/>
        <v>46045</v>
      </c>
      <c r="BG51" s="439">
        <f t="shared" si="8"/>
        <v>0</v>
      </c>
      <c r="BH51" s="441">
        <f t="shared" si="9"/>
        <v>0</v>
      </c>
      <c r="BI51" s="442">
        <f t="shared" si="10"/>
        <v>1</v>
      </c>
      <c r="BJ51" s="443" t="s">
        <v>89</v>
      </c>
    </row>
    <row r="52" spans="1:62" s="444" customFormat="1" ht="12" customHeight="1">
      <c r="A52" s="423"/>
      <c r="B52" s="414"/>
      <c r="C52" s="414"/>
      <c r="D52" s="414"/>
      <c r="E52" s="414"/>
      <c r="F52" s="414"/>
      <c r="G52" s="414"/>
      <c r="H52" s="414"/>
      <c r="I52" s="447"/>
      <c r="J52" s="417">
        <v>46001</v>
      </c>
      <c r="K52" s="418">
        <v>46045</v>
      </c>
      <c r="L52" s="418"/>
      <c r="M52" s="419" t="s">
        <v>1125</v>
      </c>
      <c r="N52" s="448"/>
      <c r="O52" s="448"/>
      <c r="P52" s="422">
        <v>46045</v>
      </c>
      <c r="Q52" s="449" t="s">
        <v>1064</v>
      </c>
      <c r="R52" s="428"/>
      <c r="S52" s="428"/>
      <c r="T52" s="425"/>
      <c r="U52" s="426"/>
      <c r="V52" s="428"/>
      <c r="W52" s="426"/>
      <c r="X52" s="428"/>
      <c r="Y52" s="427"/>
      <c r="Z52" s="426"/>
      <c r="AA52" s="421">
        <f>INDEX([3]光真稼働日早見表!$N:$N,MATCH($P52,[3]光真稼働日早見表!$Q:$Q,0),1)</f>
        <v>46042</v>
      </c>
      <c r="AB52" s="428"/>
      <c r="AC52" s="426"/>
      <c r="AD52" s="446"/>
      <c r="AE52" s="428"/>
      <c r="AF52" s="427"/>
      <c r="AG52" s="426"/>
      <c r="AH52" s="425"/>
      <c r="AI52" s="427"/>
      <c r="AJ52" s="427"/>
      <c r="AK52" s="426"/>
      <c r="AL52" s="430" t="s">
        <v>1065</v>
      </c>
      <c r="AM52" s="427"/>
      <c r="AN52" s="427"/>
      <c r="AO52" s="426"/>
      <c r="AP52" s="428"/>
      <c r="AQ52" s="427"/>
      <c r="AR52" s="427"/>
      <c r="AS52" s="427"/>
      <c r="AT52" s="427"/>
      <c r="AU52" s="427"/>
      <c r="AV52" s="426"/>
      <c r="AW52" s="428"/>
      <c r="AX52" s="426"/>
      <c r="AY52" s="446"/>
      <c r="AZ52" s="450" t="s">
        <v>686</v>
      </c>
      <c r="BA52" s="451" t="s">
        <v>635</v>
      </c>
      <c r="BB52" s="452" t="s">
        <v>1126</v>
      </c>
      <c r="BC52" s="453" t="s">
        <v>1070</v>
      </c>
      <c r="BD52" s="439">
        <f t="shared" si="11"/>
        <v>2</v>
      </c>
      <c r="BE52" s="439">
        <f t="shared" si="6"/>
        <v>0</v>
      </c>
      <c r="BF52" s="440">
        <f t="shared" si="7"/>
        <v>46045</v>
      </c>
      <c r="BG52" s="439">
        <f t="shared" si="8"/>
        <v>0</v>
      </c>
      <c r="BH52" s="441">
        <f t="shared" si="9"/>
        <v>0</v>
      </c>
      <c r="BI52" s="442">
        <f t="shared" si="10"/>
        <v>1</v>
      </c>
      <c r="BJ52" s="443" t="s">
        <v>89</v>
      </c>
    </row>
    <row r="53" spans="1:62" s="444" customFormat="1" ht="12" customHeight="1">
      <c r="A53" s="423"/>
      <c r="B53" s="414"/>
      <c r="C53" s="414"/>
      <c r="D53" s="414"/>
      <c r="E53" s="414"/>
      <c r="F53" s="414"/>
      <c r="G53" s="414"/>
      <c r="H53" s="414"/>
      <c r="I53" s="447"/>
      <c r="J53" s="417">
        <v>46001</v>
      </c>
      <c r="K53" s="418">
        <v>46045</v>
      </c>
      <c r="L53" s="418"/>
      <c r="M53" s="419" t="s">
        <v>1127</v>
      </c>
      <c r="N53" s="448"/>
      <c r="O53" s="448"/>
      <c r="P53" s="422">
        <v>46045</v>
      </c>
      <c r="Q53" s="449" t="s">
        <v>1064</v>
      </c>
      <c r="R53" s="428"/>
      <c r="S53" s="428"/>
      <c r="T53" s="425"/>
      <c r="U53" s="426"/>
      <c r="V53" s="428"/>
      <c r="W53" s="426"/>
      <c r="X53" s="428"/>
      <c r="Y53" s="427"/>
      <c r="Z53" s="426"/>
      <c r="AA53" s="421">
        <f>INDEX([3]光真稼働日早見表!$N:$N,MATCH($P53,[3]光真稼働日早見表!$Q:$Q,0),1)</f>
        <v>46042</v>
      </c>
      <c r="AB53" s="428"/>
      <c r="AC53" s="426"/>
      <c r="AD53" s="446"/>
      <c r="AE53" s="428"/>
      <c r="AF53" s="427"/>
      <c r="AG53" s="426"/>
      <c r="AH53" s="425"/>
      <c r="AI53" s="427"/>
      <c r="AJ53" s="427"/>
      <c r="AK53" s="426"/>
      <c r="AL53" s="430" t="s">
        <v>1083</v>
      </c>
      <c r="AM53" s="427"/>
      <c r="AN53" s="427"/>
      <c r="AO53" s="426"/>
      <c r="AP53" s="428"/>
      <c r="AQ53" s="427"/>
      <c r="AR53" s="427"/>
      <c r="AS53" s="427"/>
      <c r="AT53" s="427"/>
      <c r="AU53" s="427"/>
      <c r="AV53" s="426"/>
      <c r="AW53" s="428"/>
      <c r="AX53" s="426"/>
      <c r="AY53" s="446"/>
      <c r="AZ53" s="450" t="s">
        <v>686</v>
      </c>
      <c r="BA53" s="451" t="s">
        <v>635</v>
      </c>
      <c r="BB53" s="452" t="s">
        <v>1128</v>
      </c>
      <c r="BC53" s="453" t="s">
        <v>1070</v>
      </c>
      <c r="BD53" s="439">
        <f t="shared" si="11"/>
        <v>2</v>
      </c>
      <c r="BE53" s="439">
        <f t="shared" si="6"/>
        <v>0</v>
      </c>
      <c r="BF53" s="440">
        <f t="shared" si="7"/>
        <v>46045</v>
      </c>
      <c r="BG53" s="439">
        <f t="shared" si="8"/>
        <v>0</v>
      </c>
      <c r="BH53" s="441">
        <f t="shared" si="9"/>
        <v>0</v>
      </c>
      <c r="BI53" s="442">
        <f t="shared" si="10"/>
        <v>1</v>
      </c>
      <c r="BJ53" s="443" t="s">
        <v>89</v>
      </c>
    </row>
    <row r="54" spans="1:62" s="444" customFormat="1" ht="12" customHeight="1">
      <c r="A54" s="423"/>
      <c r="B54" s="414"/>
      <c r="C54" s="414"/>
      <c r="D54" s="414"/>
      <c r="E54" s="414"/>
      <c r="F54" s="414"/>
      <c r="G54" s="414"/>
      <c r="H54" s="414"/>
      <c r="I54" s="447"/>
      <c r="J54" s="417">
        <v>46001</v>
      </c>
      <c r="K54" s="418">
        <v>46045</v>
      </c>
      <c r="L54" s="418"/>
      <c r="M54" s="419" t="s">
        <v>1123</v>
      </c>
      <c r="N54" s="448"/>
      <c r="O54" s="448"/>
      <c r="P54" s="422">
        <v>46045</v>
      </c>
      <c r="Q54" s="449" t="s">
        <v>1064</v>
      </c>
      <c r="R54" s="428"/>
      <c r="S54" s="428"/>
      <c r="T54" s="425"/>
      <c r="U54" s="426"/>
      <c r="V54" s="428"/>
      <c r="W54" s="426"/>
      <c r="X54" s="428"/>
      <c r="Y54" s="427"/>
      <c r="Z54" s="426"/>
      <c r="AA54" s="421">
        <f>INDEX([3]光真稼働日早見表!$N:$N,MATCH($P54,[3]光真稼働日早見表!$Q:$Q,0),1)</f>
        <v>46042</v>
      </c>
      <c r="AB54" s="428"/>
      <c r="AC54" s="426"/>
      <c r="AD54" s="446"/>
      <c r="AE54" s="428"/>
      <c r="AF54" s="427"/>
      <c r="AG54" s="426"/>
      <c r="AH54" s="425"/>
      <c r="AI54" s="427"/>
      <c r="AJ54" s="427"/>
      <c r="AK54" s="426"/>
      <c r="AL54" s="430" t="s">
        <v>1099</v>
      </c>
      <c r="AM54" s="427"/>
      <c r="AN54" s="427"/>
      <c r="AO54" s="426"/>
      <c r="AP54" s="428"/>
      <c r="AQ54" s="427"/>
      <c r="AR54" s="427"/>
      <c r="AS54" s="427"/>
      <c r="AT54" s="427"/>
      <c r="AU54" s="427"/>
      <c r="AV54" s="426"/>
      <c r="AW54" s="428"/>
      <c r="AX54" s="426"/>
      <c r="AY54" s="446"/>
      <c r="AZ54" s="450" t="s">
        <v>686</v>
      </c>
      <c r="BA54" s="451" t="s">
        <v>635</v>
      </c>
      <c r="BB54" s="452" t="s">
        <v>1129</v>
      </c>
      <c r="BC54" s="453" t="s">
        <v>1070</v>
      </c>
      <c r="BD54" s="439">
        <f t="shared" si="11"/>
        <v>2</v>
      </c>
      <c r="BE54" s="439">
        <f t="shared" si="6"/>
        <v>0</v>
      </c>
      <c r="BF54" s="440">
        <f t="shared" si="7"/>
        <v>46045</v>
      </c>
      <c r="BG54" s="439">
        <f t="shared" si="8"/>
        <v>0</v>
      </c>
      <c r="BH54" s="441">
        <f t="shared" si="9"/>
        <v>0</v>
      </c>
      <c r="BI54" s="442">
        <f t="shared" si="10"/>
        <v>1</v>
      </c>
      <c r="BJ54" s="443" t="s">
        <v>89</v>
      </c>
    </row>
    <row r="55" spans="1:62" s="444" customFormat="1" ht="12" customHeight="1">
      <c r="A55" s="413">
        <v>21369</v>
      </c>
      <c r="B55" s="414"/>
      <c r="C55" s="414"/>
      <c r="D55" s="414"/>
      <c r="E55" s="414"/>
      <c r="F55" s="415">
        <v>1254</v>
      </c>
      <c r="G55" s="414"/>
      <c r="H55" s="414"/>
      <c r="I55" s="416" t="s">
        <v>285</v>
      </c>
      <c r="J55" s="417">
        <v>46036</v>
      </c>
      <c r="K55" s="418">
        <v>46048</v>
      </c>
      <c r="L55" s="418"/>
      <c r="M55" s="419" t="s">
        <v>1058</v>
      </c>
      <c r="N55" s="417">
        <v>46045</v>
      </c>
      <c r="O55" s="420">
        <v>46041</v>
      </c>
      <c r="P55" s="422">
        <v>46048</v>
      </c>
      <c r="Q55" s="423"/>
      <c r="R55" s="424" t="s">
        <v>1058</v>
      </c>
      <c r="S55" s="424" t="s">
        <v>1058</v>
      </c>
      <c r="T55" s="425"/>
      <c r="U55" s="426"/>
      <c r="V55" s="424" t="s">
        <v>1058</v>
      </c>
      <c r="W55" s="426"/>
      <c r="X55" s="428"/>
      <c r="Y55" s="454" t="s">
        <v>1058</v>
      </c>
      <c r="Z55" s="426"/>
      <c r="AA55" s="421">
        <v>46043</v>
      </c>
      <c r="AB55" s="428"/>
      <c r="AC55" s="445" t="s">
        <v>1058</v>
      </c>
      <c r="AD55" s="446"/>
      <c r="AE55" s="430" t="s">
        <v>1058</v>
      </c>
      <c r="AF55" s="427"/>
      <c r="AG55" s="426"/>
      <c r="AH55" s="431" t="s">
        <v>1058</v>
      </c>
      <c r="AI55" s="427"/>
      <c r="AJ55" s="427"/>
      <c r="AK55" s="426"/>
      <c r="AL55" s="430" t="s">
        <v>1058</v>
      </c>
      <c r="AM55" s="427"/>
      <c r="AN55" s="427"/>
      <c r="AO55" s="426"/>
      <c r="AP55" s="428"/>
      <c r="AQ55" s="427"/>
      <c r="AR55" s="427"/>
      <c r="AS55" s="427"/>
      <c r="AT55" s="432" t="s">
        <v>1058</v>
      </c>
      <c r="AU55" s="427"/>
      <c r="AV55" s="426"/>
      <c r="AW55" s="433" t="s">
        <v>1058</v>
      </c>
      <c r="AX55" s="426"/>
      <c r="AY55" s="434" t="s">
        <v>1058</v>
      </c>
      <c r="AZ55" s="435" t="s">
        <v>329</v>
      </c>
      <c r="BA55" s="436" t="s">
        <v>279</v>
      </c>
      <c r="BB55" s="437" t="s">
        <v>330</v>
      </c>
      <c r="BC55" s="438"/>
      <c r="BD55" s="439">
        <v>11</v>
      </c>
      <c r="BE55" s="439" t="str">
        <f t="shared" si="6"/>
        <v>VU-LB112</v>
      </c>
      <c r="BF55" s="440">
        <f t="shared" si="7"/>
        <v>46048</v>
      </c>
      <c r="BG55" s="439">
        <f t="shared" si="8"/>
        <v>21369</v>
      </c>
      <c r="BH55" s="441">
        <f t="shared" si="9"/>
        <v>4</v>
      </c>
      <c r="BI55" s="442">
        <f t="shared" si="10"/>
        <v>4</v>
      </c>
      <c r="BJ55" s="443"/>
    </row>
    <row r="56" spans="1:62" s="444" customFormat="1" ht="12" customHeight="1">
      <c r="A56" s="423"/>
      <c r="B56" s="414"/>
      <c r="C56" s="414"/>
      <c r="D56" s="414"/>
      <c r="E56" s="414"/>
      <c r="F56" s="414"/>
      <c r="G56" s="414"/>
      <c r="H56" s="414"/>
      <c r="I56" s="447"/>
      <c r="J56" s="417">
        <v>46001</v>
      </c>
      <c r="K56" s="418">
        <v>46048</v>
      </c>
      <c r="L56" s="418"/>
      <c r="M56" s="419" t="s">
        <v>1130</v>
      </c>
      <c r="N56" s="448"/>
      <c r="O56" s="420">
        <f>INDEX([3]光真稼働日早見表!$M:$M,MATCH($P56,[3]光真稼働日早見表!$Q:$Q,0),1)</f>
        <v>46042</v>
      </c>
      <c r="P56" s="422">
        <v>46048</v>
      </c>
      <c r="Q56" s="449" t="s">
        <v>1064</v>
      </c>
      <c r="R56" s="424" t="s">
        <v>1065</v>
      </c>
      <c r="S56" s="428"/>
      <c r="T56" s="425"/>
      <c r="U56" s="426"/>
      <c r="V56" s="428"/>
      <c r="W56" s="426"/>
      <c r="X56" s="428"/>
      <c r="Y56" s="427"/>
      <c r="Z56" s="426"/>
      <c r="AA56" s="448"/>
      <c r="AB56" s="428"/>
      <c r="AC56" s="426"/>
      <c r="AD56" s="446"/>
      <c r="AE56" s="428"/>
      <c r="AF56" s="427"/>
      <c r="AG56" s="426"/>
      <c r="AH56" s="425"/>
      <c r="AI56" s="427"/>
      <c r="AJ56" s="427"/>
      <c r="AK56" s="426"/>
      <c r="AL56" s="428"/>
      <c r="AM56" s="427"/>
      <c r="AN56" s="427"/>
      <c r="AO56" s="426"/>
      <c r="AP56" s="428"/>
      <c r="AQ56" s="427"/>
      <c r="AR56" s="427"/>
      <c r="AS56" s="427"/>
      <c r="AT56" s="427"/>
      <c r="AU56" s="427"/>
      <c r="AV56" s="426"/>
      <c r="AW56" s="428"/>
      <c r="AX56" s="426"/>
      <c r="AY56" s="446"/>
      <c r="AZ56" s="450" t="s">
        <v>649</v>
      </c>
      <c r="BA56" s="451" t="s">
        <v>635</v>
      </c>
      <c r="BB56" s="452" t="s">
        <v>1131</v>
      </c>
      <c r="BC56" s="453" t="s">
        <v>1070</v>
      </c>
      <c r="BD56" s="439">
        <f t="shared" ref="BD56:BD87" si="12">COUNTA(R56:AY56)</f>
        <v>1</v>
      </c>
      <c r="BE56" s="439">
        <f t="shared" si="6"/>
        <v>0</v>
      </c>
      <c r="BF56" s="440">
        <f t="shared" si="7"/>
        <v>46048</v>
      </c>
      <c r="BG56" s="439">
        <f t="shared" si="8"/>
        <v>0</v>
      </c>
      <c r="BH56" s="441">
        <f t="shared" si="9"/>
        <v>1</v>
      </c>
      <c r="BI56" s="442">
        <f t="shared" si="10"/>
        <v>0</v>
      </c>
      <c r="BJ56" s="443" t="s">
        <v>70</v>
      </c>
    </row>
    <row r="57" spans="1:62" s="444" customFormat="1" ht="12" customHeight="1">
      <c r="A57" s="423"/>
      <c r="B57" s="414"/>
      <c r="C57" s="414"/>
      <c r="D57" s="414"/>
      <c r="E57" s="414"/>
      <c r="F57" s="414"/>
      <c r="G57" s="414"/>
      <c r="H57" s="414"/>
      <c r="I57" s="447"/>
      <c r="J57" s="417">
        <v>46001</v>
      </c>
      <c r="K57" s="418">
        <v>46048</v>
      </c>
      <c r="L57" s="418"/>
      <c r="M57" s="419" t="s">
        <v>1132</v>
      </c>
      <c r="N57" s="448"/>
      <c r="O57" s="420">
        <f>INDEX([3]光真稼働日早見表!$M:$M,MATCH($P57,[3]光真稼働日早見表!$Q:$Q,0),1)</f>
        <v>46042</v>
      </c>
      <c r="P57" s="422">
        <v>46048</v>
      </c>
      <c r="Q57" s="449" t="s">
        <v>1064</v>
      </c>
      <c r="R57" s="424" t="s">
        <v>1065</v>
      </c>
      <c r="S57" s="428"/>
      <c r="T57" s="425"/>
      <c r="U57" s="426"/>
      <c r="V57" s="428"/>
      <c r="W57" s="426"/>
      <c r="X57" s="428"/>
      <c r="Y57" s="427"/>
      <c r="Z57" s="426"/>
      <c r="AA57" s="448"/>
      <c r="AB57" s="428"/>
      <c r="AC57" s="426"/>
      <c r="AD57" s="446"/>
      <c r="AE57" s="428"/>
      <c r="AF57" s="427"/>
      <c r="AG57" s="426"/>
      <c r="AH57" s="425"/>
      <c r="AI57" s="427"/>
      <c r="AJ57" s="427"/>
      <c r="AK57" s="426"/>
      <c r="AL57" s="428"/>
      <c r="AM57" s="427"/>
      <c r="AN57" s="427"/>
      <c r="AO57" s="426"/>
      <c r="AP57" s="428"/>
      <c r="AQ57" s="427"/>
      <c r="AR57" s="427"/>
      <c r="AS57" s="427"/>
      <c r="AT57" s="427"/>
      <c r="AU57" s="427"/>
      <c r="AV57" s="426"/>
      <c r="AW57" s="428"/>
      <c r="AX57" s="426"/>
      <c r="AY57" s="446"/>
      <c r="AZ57" s="450" t="s">
        <v>649</v>
      </c>
      <c r="BA57" s="451" t="s">
        <v>635</v>
      </c>
      <c r="BB57" s="452" t="s">
        <v>1133</v>
      </c>
      <c r="BC57" s="453" t="s">
        <v>1070</v>
      </c>
      <c r="BD57" s="439">
        <f t="shared" si="12"/>
        <v>1</v>
      </c>
      <c r="BE57" s="439">
        <f t="shared" si="6"/>
        <v>0</v>
      </c>
      <c r="BF57" s="440">
        <f t="shared" si="7"/>
        <v>46048</v>
      </c>
      <c r="BG57" s="439">
        <f t="shared" si="8"/>
        <v>0</v>
      </c>
      <c r="BH57" s="441">
        <f t="shared" si="9"/>
        <v>1</v>
      </c>
      <c r="BI57" s="442">
        <f t="shared" si="10"/>
        <v>0</v>
      </c>
      <c r="BJ57" s="443" t="s">
        <v>70</v>
      </c>
    </row>
    <row r="58" spans="1:62" s="444" customFormat="1" ht="12" customHeight="1">
      <c r="A58" s="423"/>
      <c r="B58" s="414"/>
      <c r="C58" s="414"/>
      <c r="D58" s="414"/>
      <c r="E58" s="414"/>
      <c r="F58" s="414"/>
      <c r="G58" s="414"/>
      <c r="H58" s="414"/>
      <c r="I58" s="447"/>
      <c r="J58" s="417">
        <v>46001</v>
      </c>
      <c r="K58" s="418">
        <v>46048</v>
      </c>
      <c r="L58" s="418"/>
      <c r="M58" s="419" t="s">
        <v>1130</v>
      </c>
      <c r="N58" s="448"/>
      <c r="O58" s="420">
        <f>INDEX([3]光真稼働日早見表!$M:$M,MATCH($P58,[3]光真稼働日早見表!$Q:$Q,0),1)</f>
        <v>46042</v>
      </c>
      <c r="P58" s="422">
        <v>46048</v>
      </c>
      <c r="Q58" s="449" t="s">
        <v>1064</v>
      </c>
      <c r="R58" s="424" t="s">
        <v>1065</v>
      </c>
      <c r="S58" s="428"/>
      <c r="T58" s="425"/>
      <c r="U58" s="426"/>
      <c r="V58" s="428"/>
      <c r="W58" s="426"/>
      <c r="X58" s="428"/>
      <c r="Y58" s="427"/>
      <c r="Z58" s="426"/>
      <c r="AA58" s="448"/>
      <c r="AB58" s="428"/>
      <c r="AC58" s="426"/>
      <c r="AD58" s="446"/>
      <c r="AE58" s="428"/>
      <c r="AF58" s="427"/>
      <c r="AG58" s="426"/>
      <c r="AH58" s="425"/>
      <c r="AI58" s="427"/>
      <c r="AJ58" s="427"/>
      <c r="AK58" s="426"/>
      <c r="AL58" s="428"/>
      <c r="AM58" s="427"/>
      <c r="AN58" s="427"/>
      <c r="AO58" s="426"/>
      <c r="AP58" s="428"/>
      <c r="AQ58" s="427"/>
      <c r="AR58" s="427"/>
      <c r="AS58" s="427"/>
      <c r="AT58" s="427"/>
      <c r="AU58" s="427"/>
      <c r="AV58" s="426"/>
      <c r="AW58" s="428"/>
      <c r="AX58" s="426"/>
      <c r="AY58" s="446"/>
      <c r="AZ58" s="450" t="s">
        <v>649</v>
      </c>
      <c r="BA58" s="451" t="s">
        <v>635</v>
      </c>
      <c r="BB58" s="452" t="s">
        <v>1134</v>
      </c>
      <c r="BC58" s="453" t="s">
        <v>1070</v>
      </c>
      <c r="BD58" s="439">
        <f t="shared" si="12"/>
        <v>1</v>
      </c>
      <c r="BE58" s="439">
        <f t="shared" si="6"/>
        <v>0</v>
      </c>
      <c r="BF58" s="440">
        <f t="shared" si="7"/>
        <v>46048</v>
      </c>
      <c r="BG58" s="439">
        <f t="shared" si="8"/>
        <v>0</v>
      </c>
      <c r="BH58" s="441">
        <f t="shared" si="9"/>
        <v>1</v>
      </c>
      <c r="BI58" s="442">
        <f t="shared" si="10"/>
        <v>0</v>
      </c>
      <c r="BJ58" s="443" t="s">
        <v>70</v>
      </c>
    </row>
    <row r="59" spans="1:62" s="444" customFormat="1" ht="12" customHeight="1">
      <c r="A59" s="423"/>
      <c r="B59" s="414"/>
      <c r="C59" s="414"/>
      <c r="D59" s="414"/>
      <c r="E59" s="414"/>
      <c r="F59" s="414"/>
      <c r="G59" s="414"/>
      <c r="H59" s="414"/>
      <c r="I59" s="447"/>
      <c r="J59" s="417">
        <v>46001</v>
      </c>
      <c r="K59" s="418">
        <v>46048</v>
      </c>
      <c r="L59" s="418"/>
      <c r="M59" s="419" t="s">
        <v>1130</v>
      </c>
      <c r="N59" s="448"/>
      <c r="O59" s="420">
        <f>INDEX([3]光真稼働日早見表!$M:$M,MATCH($P59,[3]光真稼働日早見表!$Q:$Q,0),1)</f>
        <v>46042</v>
      </c>
      <c r="P59" s="422">
        <v>46048</v>
      </c>
      <c r="Q59" s="449" t="s">
        <v>1064</v>
      </c>
      <c r="R59" s="424" t="s">
        <v>1065</v>
      </c>
      <c r="S59" s="428"/>
      <c r="T59" s="425"/>
      <c r="U59" s="426"/>
      <c r="V59" s="428"/>
      <c r="W59" s="426"/>
      <c r="X59" s="428"/>
      <c r="Y59" s="427"/>
      <c r="Z59" s="426"/>
      <c r="AA59" s="448"/>
      <c r="AB59" s="428"/>
      <c r="AC59" s="426"/>
      <c r="AD59" s="446"/>
      <c r="AE59" s="428"/>
      <c r="AF59" s="427"/>
      <c r="AG59" s="426"/>
      <c r="AH59" s="425"/>
      <c r="AI59" s="427"/>
      <c r="AJ59" s="427"/>
      <c r="AK59" s="426"/>
      <c r="AL59" s="428"/>
      <c r="AM59" s="427"/>
      <c r="AN59" s="427"/>
      <c r="AO59" s="426"/>
      <c r="AP59" s="428"/>
      <c r="AQ59" s="427"/>
      <c r="AR59" s="427"/>
      <c r="AS59" s="427"/>
      <c r="AT59" s="427"/>
      <c r="AU59" s="427"/>
      <c r="AV59" s="426"/>
      <c r="AW59" s="428"/>
      <c r="AX59" s="426"/>
      <c r="AY59" s="446"/>
      <c r="AZ59" s="450" t="s">
        <v>649</v>
      </c>
      <c r="BA59" s="451" t="s">
        <v>635</v>
      </c>
      <c r="BB59" s="452" t="s">
        <v>1135</v>
      </c>
      <c r="BC59" s="453" t="s">
        <v>1070</v>
      </c>
      <c r="BD59" s="439">
        <f t="shared" si="12"/>
        <v>1</v>
      </c>
      <c r="BE59" s="439">
        <f t="shared" si="6"/>
        <v>0</v>
      </c>
      <c r="BF59" s="440">
        <f t="shared" si="7"/>
        <v>46048</v>
      </c>
      <c r="BG59" s="439">
        <f t="shared" si="8"/>
        <v>0</v>
      </c>
      <c r="BH59" s="441">
        <f t="shared" si="9"/>
        <v>1</v>
      </c>
      <c r="BI59" s="442">
        <f t="shared" si="10"/>
        <v>0</v>
      </c>
      <c r="BJ59" s="443" t="s">
        <v>70</v>
      </c>
    </row>
    <row r="60" spans="1:62" s="444" customFormat="1" ht="12" customHeight="1">
      <c r="A60" s="423"/>
      <c r="B60" s="414"/>
      <c r="C60" s="414"/>
      <c r="D60" s="414"/>
      <c r="E60" s="414"/>
      <c r="F60" s="414"/>
      <c r="G60" s="414"/>
      <c r="H60" s="414"/>
      <c r="I60" s="447"/>
      <c r="J60" s="417">
        <v>46001</v>
      </c>
      <c r="K60" s="418">
        <v>46048</v>
      </c>
      <c r="L60" s="418"/>
      <c r="M60" s="419" t="s">
        <v>1136</v>
      </c>
      <c r="N60" s="448"/>
      <c r="O60" s="420">
        <f>INDEX([3]光真稼働日早見表!$M:$M,MATCH($P60,[3]光真稼働日早見表!$Q:$Q,0),1)</f>
        <v>46042</v>
      </c>
      <c r="P60" s="422">
        <v>46048</v>
      </c>
      <c r="Q60" s="449" t="s">
        <v>1064</v>
      </c>
      <c r="R60" s="428"/>
      <c r="S60" s="424" t="s">
        <v>1065</v>
      </c>
      <c r="T60" s="425"/>
      <c r="U60" s="426"/>
      <c r="V60" s="428"/>
      <c r="W60" s="426"/>
      <c r="X60" s="428"/>
      <c r="Y60" s="427"/>
      <c r="Z60" s="426"/>
      <c r="AA60" s="448"/>
      <c r="AB60" s="428"/>
      <c r="AC60" s="426"/>
      <c r="AD60" s="446"/>
      <c r="AE60" s="428"/>
      <c r="AF60" s="427"/>
      <c r="AG60" s="426"/>
      <c r="AH60" s="425"/>
      <c r="AI60" s="427"/>
      <c r="AJ60" s="427"/>
      <c r="AK60" s="426"/>
      <c r="AL60" s="428"/>
      <c r="AM60" s="427"/>
      <c r="AN60" s="427"/>
      <c r="AO60" s="426"/>
      <c r="AP60" s="428"/>
      <c r="AQ60" s="427"/>
      <c r="AR60" s="427"/>
      <c r="AS60" s="427"/>
      <c r="AT60" s="427"/>
      <c r="AU60" s="427"/>
      <c r="AV60" s="426"/>
      <c r="AW60" s="428"/>
      <c r="AX60" s="426"/>
      <c r="AY60" s="446"/>
      <c r="AZ60" s="450" t="s">
        <v>695</v>
      </c>
      <c r="BA60" s="451" t="s">
        <v>635</v>
      </c>
      <c r="BB60" s="452" t="s">
        <v>1137</v>
      </c>
      <c r="BC60" s="453" t="s">
        <v>1070</v>
      </c>
      <c r="BD60" s="439">
        <f t="shared" si="12"/>
        <v>1</v>
      </c>
      <c r="BE60" s="439">
        <f t="shared" si="6"/>
        <v>0</v>
      </c>
      <c r="BF60" s="440">
        <f t="shared" si="7"/>
        <v>46048</v>
      </c>
      <c r="BG60" s="439">
        <f t="shared" si="8"/>
        <v>0</v>
      </c>
      <c r="BH60" s="441">
        <f t="shared" si="9"/>
        <v>1</v>
      </c>
      <c r="BI60" s="442">
        <f t="shared" si="10"/>
        <v>0</v>
      </c>
      <c r="BJ60" s="443" t="s">
        <v>71</v>
      </c>
    </row>
    <row r="61" spans="1:62" s="444" customFormat="1" ht="12" customHeight="1">
      <c r="A61" s="423"/>
      <c r="B61" s="414"/>
      <c r="C61" s="414"/>
      <c r="D61" s="414"/>
      <c r="E61" s="414"/>
      <c r="F61" s="414"/>
      <c r="G61" s="414"/>
      <c r="H61" s="414"/>
      <c r="I61" s="447"/>
      <c r="J61" s="417">
        <v>46001</v>
      </c>
      <c r="K61" s="418">
        <v>46048</v>
      </c>
      <c r="L61" s="418"/>
      <c r="M61" s="419" t="s">
        <v>1136</v>
      </c>
      <c r="N61" s="448"/>
      <c r="O61" s="420">
        <f>INDEX([3]光真稼働日早見表!$M:$M,MATCH($P61,[3]光真稼働日早見表!$Q:$Q,0),1)</f>
        <v>46042</v>
      </c>
      <c r="P61" s="422">
        <v>46048</v>
      </c>
      <c r="Q61" s="449" t="s">
        <v>1064</v>
      </c>
      <c r="R61" s="428"/>
      <c r="S61" s="424" t="s">
        <v>1065</v>
      </c>
      <c r="T61" s="425"/>
      <c r="U61" s="426"/>
      <c r="V61" s="428"/>
      <c r="W61" s="426"/>
      <c r="X61" s="428"/>
      <c r="Y61" s="427"/>
      <c r="Z61" s="426"/>
      <c r="AA61" s="448"/>
      <c r="AB61" s="428"/>
      <c r="AC61" s="426"/>
      <c r="AD61" s="446"/>
      <c r="AE61" s="428"/>
      <c r="AF61" s="427"/>
      <c r="AG61" s="426"/>
      <c r="AH61" s="425"/>
      <c r="AI61" s="427"/>
      <c r="AJ61" s="427"/>
      <c r="AK61" s="426"/>
      <c r="AL61" s="428"/>
      <c r="AM61" s="427"/>
      <c r="AN61" s="427"/>
      <c r="AO61" s="426"/>
      <c r="AP61" s="428"/>
      <c r="AQ61" s="427"/>
      <c r="AR61" s="427"/>
      <c r="AS61" s="427"/>
      <c r="AT61" s="427"/>
      <c r="AU61" s="427"/>
      <c r="AV61" s="426"/>
      <c r="AW61" s="428"/>
      <c r="AX61" s="426"/>
      <c r="AY61" s="446"/>
      <c r="AZ61" s="450" t="s">
        <v>695</v>
      </c>
      <c r="BA61" s="451" t="s">
        <v>635</v>
      </c>
      <c r="BB61" s="452" t="s">
        <v>1138</v>
      </c>
      <c r="BC61" s="453" t="s">
        <v>1070</v>
      </c>
      <c r="BD61" s="439">
        <f t="shared" si="12"/>
        <v>1</v>
      </c>
      <c r="BE61" s="439">
        <f t="shared" si="6"/>
        <v>0</v>
      </c>
      <c r="BF61" s="440">
        <f t="shared" si="7"/>
        <v>46048</v>
      </c>
      <c r="BG61" s="439">
        <f t="shared" si="8"/>
        <v>0</v>
      </c>
      <c r="BH61" s="441">
        <f t="shared" si="9"/>
        <v>1</v>
      </c>
      <c r="BI61" s="442">
        <f t="shared" si="10"/>
        <v>0</v>
      </c>
      <c r="BJ61" s="443" t="s">
        <v>71</v>
      </c>
    </row>
    <row r="62" spans="1:62" s="444" customFormat="1" ht="12" customHeight="1">
      <c r="A62" s="423"/>
      <c r="B62" s="414"/>
      <c r="C62" s="414"/>
      <c r="D62" s="414"/>
      <c r="E62" s="414"/>
      <c r="F62" s="414"/>
      <c r="G62" s="414"/>
      <c r="H62" s="414"/>
      <c r="I62" s="447"/>
      <c r="J62" s="417">
        <v>46001</v>
      </c>
      <c r="K62" s="418">
        <v>46048</v>
      </c>
      <c r="L62" s="418"/>
      <c r="M62" s="419" t="s">
        <v>1136</v>
      </c>
      <c r="N62" s="448"/>
      <c r="O62" s="420">
        <f>INDEX([3]光真稼働日早見表!$M:$M,MATCH($P62,[3]光真稼働日早見表!$Q:$Q,0),1)</f>
        <v>46042</v>
      </c>
      <c r="P62" s="422">
        <v>46048</v>
      </c>
      <c r="Q62" s="449" t="s">
        <v>1064</v>
      </c>
      <c r="R62" s="428"/>
      <c r="S62" s="424" t="s">
        <v>1065</v>
      </c>
      <c r="T62" s="425"/>
      <c r="U62" s="426"/>
      <c r="V62" s="428"/>
      <c r="W62" s="426"/>
      <c r="X62" s="428"/>
      <c r="Y62" s="427"/>
      <c r="Z62" s="426"/>
      <c r="AA62" s="448"/>
      <c r="AB62" s="428"/>
      <c r="AC62" s="426"/>
      <c r="AD62" s="446"/>
      <c r="AE62" s="428"/>
      <c r="AF62" s="427"/>
      <c r="AG62" s="426"/>
      <c r="AH62" s="425"/>
      <c r="AI62" s="427"/>
      <c r="AJ62" s="427"/>
      <c r="AK62" s="426"/>
      <c r="AL62" s="428"/>
      <c r="AM62" s="427"/>
      <c r="AN62" s="427"/>
      <c r="AO62" s="426"/>
      <c r="AP62" s="428"/>
      <c r="AQ62" s="427"/>
      <c r="AR62" s="427"/>
      <c r="AS62" s="427"/>
      <c r="AT62" s="427"/>
      <c r="AU62" s="427"/>
      <c r="AV62" s="426"/>
      <c r="AW62" s="428"/>
      <c r="AX62" s="426"/>
      <c r="AY62" s="446"/>
      <c r="AZ62" s="450" t="s">
        <v>695</v>
      </c>
      <c r="BA62" s="451" t="s">
        <v>635</v>
      </c>
      <c r="BB62" s="452" t="s">
        <v>1139</v>
      </c>
      <c r="BC62" s="453" t="s">
        <v>1070</v>
      </c>
      <c r="BD62" s="439">
        <f t="shared" si="12"/>
        <v>1</v>
      </c>
      <c r="BE62" s="439">
        <f t="shared" si="6"/>
        <v>0</v>
      </c>
      <c r="BF62" s="440">
        <f t="shared" si="7"/>
        <v>46048</v>
      </c>
      <c r="BG62" s="439">
        <f t="shared" si="8"/>
        <v>0</v>
      </c>
      <c r="BH62" s="441">
        <f t="shared" si="9"/>
        <v>1</v>
      </c>
      <c r="BI62" s="442">
        <f t="shared" si="10"/>
        <v>0</v>
      </c>
      <c r="BJ62" s="443" t="s">
        <v>71</v>
      </c>
    </row>
    <row r="63" spans="1:62" s="444" customFormat="1" ht="12" customHeight="1">
      <c r="A63" s="423"/>
      <c r="B63" s="414"/>
      <c r="C63" s="414"/>
      <c r="D63" s="414"/>
      <c r="E63" s="414"/>
      <c r="F63" s="414"/>
      <c r="G63" s="414"/>
      <c r="H63" s="414"/>
      <c r="I63" s="447"/>
      <c r="J63" s="417">
        <v>46001</v>
      </c>
      <c r="K63" s="418">
        <v>46048</v>
      </c>
      <c r="L63" s="418"/>
      <c r="M63" s="419" t="s">
        <v>1136</v>
      </c>
      <c r="N63" s="448"/>
      <c r="O63" s="420">
        <f>INDEX([3]光真稼働日早見表!$M:$M,MATCH($P63,[3]光真稼働日早見表!$Q:$Q,0),1)</f>
        <v>46042</v>
      </c>
      <c r="P63" s="422">
        <v>46048</v>
      </c>
      <c r="Q63" s="449" t="s">
        <v>1064</v>
      </c>
      <c r="R63" s="428"/>
      <c r="S63" s="424" t="s">
        <v>1065</v>
      </c>
      <c r="T63" s="425"/>
      <c r="U63" s="426"/>
      <c r="V63" s="428"/>
      <c r="W63" s="426"/>
      <c r="X63" s="428"/>
      <c r="Y63" s="427"/>
      <c r="Z63" s="426"/>
      <c r="AA63" s="448"/>
      <c r="AB63" s="428"/>
      <c r="AC63" s="426"/>
      <c r="AD63" s="446"/>
      <c r="AE63" s="428"/>
      <c r="AF63" s="427"/>
      <c r="AG63" s="426"/>
      <c r="AH63" s="425"/>
      <c r="AI63" s="427"/>
      <c r="AJ63" s="427"/>
      <c r="AK63" s="426"/>
      <c r="AL63" s="428"/>
      <c r="AM63" s="427"/>
      <c r="AN63" s="427"/>
      <c r="AO63" s="426"/>
      <c r="AP63" s="428"/>
      <c r="AQ63" s="427"/>
      <c r="AR63" s="427"/>
      <c r="AS63" s="427"/>
      <c r="AT63" s="427"/>
      <c r="AU63" s="427"/>
      <c r="AV63" s="426"/>
      <c r="AW63" s="428"/>
      <c r="AX63" s="426"/>
      <c r="AY63" s="446"/>
      <c r="AZ63" s="450" t="s">
        <v>695</v>
      </c>
      <c r="BA63" s="451" t="s">
        <v>635</v>
      </c>
      <c r="BB63" s="452" t="s">
        <v>1140</v>
      </c>
      <c r="BC63" s="453" t="s">
        <v>1070</v>
      </c>
      <c r="BD63" s="439">
        <f t="shared" si="12"/>
        <v>1</v>
      </c>
      <c r="BE63" s="439">
        <f t="shared" si="6"/>
        <v>0</v>
      </c>
      <c r="BF63" s="440">
        <f t="shared" si="7"/>
        <v>46048</v>
      </c>
      <c r="BG63" s="439">
        <f t="shared" si="8"/>
        <v>0</v>
      </c>
      <c r="BH63" s="441">
        <f t="shared" si="9"/>
        <v>1</v>
      </c>
      <c r="BI63" s="442">
        <f t="shared" si="10"/>
        <v>0</v>
      </c>
      <c r="BJ63" s="443" t="s">
        <v>71</v>
      </c>
    </row>
    <row r="64" spans="1:62" s="444" customFormat="1" ht="12" customHeight="1">
      <c r="A64" s="423"/>
      <c r="B64" s="414"/>
      <c r="C64" s="414"/>
      <c r="D64" s="414"/>
      <c r="E64" s="414"/>
      <c r="F64" s="414"/>
      <c r="G64" s="414"/>
      <c r="H64" s="414"/>
      <c r="I64" s="447"/>
      <c r="J64" s="417">
        <v>46001</v>
      </c>
      <c r="K64" s="418">
        <v>46048</v>
      </c>
      <c r="L64" s="418"/>
      <c r="M64" s="419" t="s">
        <v>1141</v>
      </c>
      <c r="N64" s="448"/>
      <c r="O64" s="420">
        <f>INDEX([3]光真稼働日早見表!$M:$M,MATCH($P64,[3]光真稼働日早見表!$Q:$Q,0),1)</f>
        <v>46042</v>
      </c>
      <c r="P64" s="422">
        <v>46048</v>
      </c>
      <c r="Q64" s="449" t="s">
        <v>1064</v>
      </c>
      <c r="R64" s="428"/>
      <c r="S64" s="428"/>
      <c r="T64" s="425"/>
      <c r="U64" s="426"/>
      <c r="V64" s="424" t="s">
        <v>1065</v>
      </c>
      <c r="W64" s="426"/>
      <c r="X64" s="428"/>
      <c r="Y64" s="427"/>
      <c r="Z64" s="426"/>
      <c r="AA64" s="448"/>
      <c r="AB64" s="428"/>
      <c r="AC64" s="426"/>
      <c r="AD64" s="446"/>
      <c r="AE64" s="428"/>
      <c r="AF64" s="427"/>
      <c r="AG64" s="426"/>
      <c r="AH64" s="425"/>
      <c r="AI64" s="427"/>
      <c r="AJ64" s="427"/>
      <c r="AK64" s="426"/>
      <c r="AL64" s="428"/>
      <c r="AM64" s="427"/>
      <c r="AN64" s="427"/>
      <c r="AO64" s="426"/>
      <c r="AP64" s="428"/>
      <c r="AQ64" s="427"/>
      <c r="AR64" s="427"/>
      <c r="AS64" s="427"/>
      <c r="AT64" s="427"/>
      <c r="AU64" s="427"/>
      <c r="AV64" s="426"/>
      <c r="AW64" s="428"/>
      <c r="AX64" s="426"/>
      <c r="AY64" s="446"/>
      <c r="AZ64" s="450" t="s">
        <v>720</v>
      </c>
      <c r="BA64" s="451" t="s">
        <v>635</v>
      </c>
      <c r="BB64" s="452" t="s">
        <v>1142</v>
      </c>
      <c r="BC64" s="453" t="s">
        <v>1070</v>
      </c>
      <c r="BD64" s="439">
        <f t="shared" si="12"/>
        <v>1</v>
      </c>
      <c r="BE64" s="439">
        <f t="shared" si="6"/>
        <v>0</v>
      </c>
      <c r="BF64" s="440">
        <f t="shared" si="7"/>
        <v>46048</v>
      </c>
      <c r="BG64" s="439">
        <f t="shared" si="8"/>
        <v>0</v>
      </c>
      <c r="BH64" s="441">
        <f t="shared" si="9"/>
        <v>1</v>
      </c>
      <c r="BI64" s="442">
        <f t="shared" si="10"/>
        <v>0</v>
      </c>
      <c r="BJ64" s="443" t="s">
        <v>74</v>
      </c>
    </row>
    <row r="65" spans="1:62" s="444" customFormat="1" ht="12" customHeight="1">
      <c r="A65" s="423"/>
      <c r="B65" s="414"/>
      <c r="C65" s="414"/>
      <c r="D65" s="414"/>
      <c r="E65" s="414"/>
      <c r="F65" s="414"/>
      <c r="G65" s="414"/>
      <c r="H65" s="414"/>
      <c r="I65" s="447"/>
      <c r="J65" s="417">
        <v>46001</v>
      </c>
      <c r="K65" s="418">
        <v>46048</v>
      </c>
      <c r="L65" s="418"/>
      <c r="M65" s="419" t="s">
        <v>1141</v>
      </c>
      <c r="N65" s="448"/>
      <c r="O65" s="420">
        <f>INDEX([3]光真稼働日早見表!$M:$M,MATCH($P65,[3]光真稼働日早見表!$Q:$Q,0),1)</f>
        <v>46042</v>
      </c>
      <c r="P65" s="422">
        <v>46048</v>
      </c>
      <c r="Q65" s="449" t="s">
        <v>1064</v>
      </c>
      <c r="R65" s="428"/>
      <c r="S65" s="428"/>
      <c r="T65" s="425"/>
      <c r="U65" s="426"/>
      <c r="V65" s="424" t="s">
        <v>1065</v>
      </c>
      <c r="W65" s="426"/>
      <c r="X65" s="428"/>
      <c r="Y65" s="427"/>
      <c r="Z65" s="426"/>
      <c r="AA65" s="448"/>
      <c r="AB65" s="428"/>
      <c r="AC65" s="426"/>
      <c r="AD65" s="446"/>
      <c r="AE65" s="428"/>
      <c r="AF65" s="427"/>
      <c r="AG65" s="426"/>
      <c r="AH65" s="425"/>
      <c r="AI65" s="427"/>
      <c r="AJ65" s="427"/>
      <c r="AK65" s="426"/>
      <c r="AL65" s="428"/>
      <c r="AM65" s="427"/>
      <c r="AN65" s="427"/>
      <c r="AO65" s="426"/>
      <c r="AP65" s="428"/>
      <c r="AQ65" s="427"/>
      <c r="AR65" s="427"/>
      <c r="AS65" s="427"/>
      <c r="AT65" s="427"/>
      <c r="AU65" s="427"/>
      <c r="AV65" s="426"/>
      <c r="AW65" s="428"/>
      <c r="AX65" s="426"/>
      <c r="AY65" s="446"/>
      <c r="AZ65" s="450" t="s">
        <v>720</v>
      </c>
      <c r="BA65" s="451" t="s">
        <v>635</v>
      </c>
      <c r="BB65" s="452" t="s">
        <v>1143</v>
      </c>
      <c r="BC65" s="453" t="s">
        <v>1070</v>
      </c>
      <c r="BD65" s="439">
        <f t="shared" si="12"/>
        <v>1</v>
      </c>
      <c r="BE65" s="439">
        <f t="shared" si="6"/>
        <v>0</v>
      </c>
      <c r="BF65" s="440">
        <f t="shared" si="7"/>
        <v>46048</v>
      </c>
      <c r="BG65" s="439">
        <f t="shared" si="8"/>
        <v>0</v>
      </c>
      <c r="BH65" s="441">
        <f t="shared" si="9"/>
        <v>1</v>
      </c>
      <c r="BI65" s="442">
        <f t="shared" si="10"/>
        <v>0</v>
      </c>
      <c r="BJ65" s="443" t="s">
        <v>74</v>
      </c>
    </row>
    <row r="66" spans="1:62" s="444" customFormat="1" ht="12" customHeight="1">
      <c r="A66" s="423"/>
      <c r="B66" s="414"/>
      <c r="C66" s="414"/>
      <c r="D66" s="414"/>
      <c r="E66" s="414"/>
      <c r="F66" s="414"/>
      <c r="G66" s="414"/>
      <c r="H66" s="414"/>
      <c r="I66" s="447"/>
      <c r="J66" s="417">
        <v>46001</v>
      </c>
      <c r="K66" s="418">
        <v>46048</v>
      </c>
      <c r="L66" s="418"/>
      <c r="M66" s="419" t="s">
        <v>1144</v>
      </c>
      <c r="N66" s="448"/>
      <c r="O66" s="420">
        <f>INDEX([3]光真稼働日早見表!$M:$M,MATCH($P66,[3]光真稼働日早見表!$Q:$Q,0),1)</f>
        <v>46042</v>
      </c>
      <c r="P66" s="422">
        <v>46048</v>
      </c>
      <c r="Q66" s="449" t="s">
        <v>1064</v>
      </c>
      <c r="R66" s="428"/>
      <c r="S66" s="428"/>
      <c r="T66" s="425"/>
      <c r="U66" s="426"/>
      <c r="V66" s="424" t="s">
        <v>1065</v>
      </c>
      <c r="W66" s="426"/>
      <c r="X66" s="428"/>
      <c r="Y66" s="427"/>
      <c r="Z66" s="426"/>
      <c r="AA66" s="448"/>
      <c r="AB66" s="428"/>
      <c r="AC66" s="426"/>
      <c r="AD66" s="446"/>
      <c r="AE66" s="428"/>
      <c r="AF66" s="427"/>
      <c r="AG66" s="426"/>
      <c r="AH66" s="425"/>
      <c r="AI66" s="427"/>
      <c r="AJ66" s="427"/>
      <c r="AK66" s="426"/>
      <c r="AL66" s="428"/>
      <c r="AM66" s="427"/>
      <c r="AN66" s="427"/>
      <c r="AO66" s="426"/>
      <c r="AP66" s="428"/>
      <c r="AQ66" s="427"/>
      <c r="AR66" s="427"/>
      <c r="AS66" s="427"/>
      <c r="AT66" s="427"/>
      <c r="AU66" s="427"/>
      <c r="AV66" s="426"/>
      <c r="AW66" s="428"/>
      <c r="AX66" s="426"/>
      <c r="AY66" s="446"/>
      <c r="AZ66" s="450" t="s">
        <v>720</v>
      </c>
      <c r="BA66" s="451" t="s">
        <v>635</v>
      </c>
      <c r="BB66" s="452" t="s">
        <v>1145</v>
      </c>
      <c r="BC66" s="453" t="s">
        <v>1070</v>
      </c>
      <c r="BD66" s="439">
        <f t="shared" si="12"/>
        <v>1</v>
      </c>
      <c r="BE66" s="439">
        <f t="shared" ref="BE66:BE87" si="13">I66</f>
        <v>0</v>
      </c>
      <c r="BF66" s="440">
        <f t="shared" ref="BF66:BF87" si="14">K66</f>
        <v>46048</v>
      </c>
      <c r="BG66" s="439">
        <f t="shared" ref="BG66:BG87" si="15">A66</f>
        <v>0</v>
      </c>
      <c r="BH66" s="441">
        <f t="shared" ref="BH66:BH87" si="16">COUNTA(R66:Z66)</f>
        <v>1</v>
      </c>
      <c r="BI66" s="442">
        <f t="shared" ref="BI66:BI87" si="17">COUNTA(AB66:AO66)</f>
        <v>0</v>
      </c>
      <c r="BJ66" s="443" t="s">
        <v>74</v>
      </c>
    </row>
    <row r="67" spans="1:62" s="444" customFormat="1" ht="12" customHeight="1">
      <c r="A67" s="423"/>
      <c r="B67" s="414"/>
      <c r="C67" s="414"/>
      <c r="D67" s="414"/>
      <c r="E67" s="414"/>
      <c r="F67" s="414"/>
      <c r="G67" s="414"/>
      <c r="H67" s="414"/>
      <c r="I67" s="447"/>
      <c r="J67" s="417">
        <v>46001</v>
      </c>
      <c r="K67" s="418">
        <v>46048</v>
      </c>
      <c r="L67" s="418"/>
      <c r="M67" s="419" t="s">
        <v>1141</v>
      </c>
      <c r="N67" s="448"/>
      <c r="O67" s="420">
        <f>INDEX([3]光真稼働日早見表!$M:$M,MATCH($P67,[3]光真稼働日早見表!$Q:$Q,0),1)</f>
        <v>46042</v>
      </c>
      <c r="P67" s="422">
        <v>46048</v>
      </c>
      <c r="Q67" s="449" t="s">
        <v>1064</v>
      </c>
      <c r="R67" s="428"/>
      <c r="S67" s="428"/>
      <c r="T67" s="425"/>
      <c r="U67" s="426"/>
      <c r="V67" s="424" t="s">
        <v>1065</v>
      </c>
      <c r="W67" s="426"/>
      <c r="X67" s="428"/>
      <c r="Y67" s="427"/>
      <c r="Z67" s="426"/>
      <c r="AA67" s="448"/>
      <c r="AB67" s="428"/>
      <c r="AC67" s="426"/>
      <c r="AD67" s="446"/>
      <c r="AE67" s="428"/>
      <c r="AF67" s="427"/>
      <c r="AG67" s="426"/>
      <c r="AH67" s="425"/>
      <c r="AI67" s="427"/>
      <c r="AJ67" s="427"/>
      <c r="AK67" s="426"/>
      <c r="AL67" s="428"/>
      <c r="AM67" s="427"/>
      <c r="AN67" s="427"/>
      <c r="AO67" s="426"/>
      <c r="AP67" s="428"/>
      <c r="AQ67" s="427"/>
      <c r="AR67" s="427"/>
      <c r="AS67" s="427"/>
      <c r="AT67" s="427"/>
      <c r="AU67" s="427"/>
      <c r="AV67" s="426"/>
      <c r="AW67" s="428"/>
      <c r="AX67" s="426"/>
      <c r="AY67" s="446"/>
      <c r="AZ67" s="450" t="s">
        <v>720</v>
      </c>
      <c r="BA67" s="451" t="s">
        <v>635</v>
      </c>
      <c r="BB67" s="452" t="s">
        <v>1146</v>
      </c>
      <c r="BC67" s="453" t="s">
        <v>1070</v>
      </c>
      <c r="BD67" s="439">
        <f t="shared" si="12"/>
        <v>1</v>
      </c>
      <c r="BE67" s="439">
        <f t="shared" si="13"/>
        <v>0</v>
      </c>
      <c r="BF67" s="440">
        <f t="shared" si="14"/>
        <v>46048</v>
      </c>
      <c r="BG67" s="439">
        <f t="shared" si="15"/>
        <v>0</v>
      </c>
      <c r="BH67" s="441">
        <f t="shared" si="16"/>
        <v>1</v>
      </c>
      <c r="BI67" s="442">
        <f t="shared" si="17"/>
        <v>0</v>
      </c>
      <c r="BJ67" s="443" t="s">
        <v>74</v>
      </c>
    </row>
    <row r="68" spans="1:62" s="444" customFormat="1" ht="12" customHeight="1">
      <c r="A68" s="423"/>
      <c r="B68" s="414"/>
      <c r="C68" s="414"/>
      <c r="D68" s="414"/>
      <c r="E68" s="414"/>
      <c r="F68" s="414"/>
      <c r="G68" s="414"/>
      <c r="H68" s="414"/>
      <c r="I68" s="447"/>
      <c r="J68" s="417">
        <v>46001</v>
      </c>
      <c r="K68" s="418">
        <v>46048</v>
      </c>
      <c r="L68" s="418"/>
      <c r="M68" s="419" t="s">
        <v>1141</v>
      </c>
      <c r="N68" s="448"/>
      <c r="O68" s="420">
        <f>INDEX([3]光真稼働日早見表!$M:$M,MATCH($P68,[3]光真稼働日早見表!$Q:$Q,0),1)</f>
        <v>46042</v>
      </c>
      <c r="P68" s="422">
        <v>46048</v>
      </c>
      <c r="Q68" s="449" t="s">
        <v>1064</v>
      </c>
      <c r="R68" s="428"/>
      <c r="S68" s="428"/>
      <c r="T68" s="425"/>
      <c r="U68" s="426"/>
      <c r="V68" s="424" t="s">
        <v>1065</v>
      </c>
      <c r="W68" s="426"/>
      <c r="X68" s="428"/>
      <c r="Y68" s="427"/>
      <c r="Z68" s="426"/>
      <c r="AA68" s="448"/>
      <c r="AB68" s="428"/>
      <c r="AC68" s="426"/>
      <c r="AD68" s="446"/>
      <c r="AE68" s="428"/>
      <c r="AF68" s="427"/>
      <c r="AG68" s="426"/>
      <c r="AH68" s="425"/>
      <c r="AI68" s="427"/>
      <c r="AJ68" s="427"/>
      <c r="AK68" s="426"/>
      <c r="AL68" s="428"/>
      <c r="AM68" s="427"/>
      <c r="AN68" s="427"/>
      <c r="AO68" s="426"/>
      <c r="AP68" s="428"/>
      <c r="AQ68" s="427"/>
      <c r="AR68" s="427"/>
      <c r="AS68" s="427"/>
      <c r="AT68" s="427"/>
      <c r="AU68" s="427"/>
      <c r="AV68" s="426"/>
      <c r="AW68" s="428"/>
      <c r="AX68" s="426"/>
      <c r="AY68" s="446"/>
      <c r="AZ68" s="450" t="s">
        <v>720</v>
      </c>
      <c r="BA68" s="451" t="s">
        <v>635</v>
      </c>
      <c r="BB68" s="452" t="s">
        <v>1147</v>
      </c>
      <c r="BC68" s="453" t="s">
        <v>1070</v>
      </c>
      <c r="BD68" s="439">
        <f t="shared" si="12"/>
        <v>1</v>
      </c>
      <c r="BE68" s="439">
        <f t="shared" si="13"/>
        <v>0</v>
      </c>
      <c r="BF68" s="440">
        <f t="shared" si="14"/>
        <v>46048</v>
      </c>
      <c r="BG68" s="439">
        <f t="shared" si="15"/>
        <v>0</v>
      </c>
      <c r="BH68" s="441">
        <f t="shared" si="16"/>
        <v>1</v>
      </c>
      <c r="BI68" s="442">
        <f t="shared" si="17"/>
        <v>0</v>
      </c>
      <c r="BJ68" s="443" t="s">
        <v>74</v>
      </c>
    </row>
    <row r="69" spans="1:62" s="444" customFormat="1" ht="12" customHeight="1">
      <c r="A69" s="423"/>
      <c r="B69" s="414"/>
      <c r="C69" s="414"/>
      <c r="D69" s="414"/>
      <c r="E69" s="414"/>
      <c r="F69" s="414"/>
      <c r="G69" s="414"/>
      <c r="H69" s="414"/>
      <c r="I69" s="447"/>
      <c r="J69" s="417">
        <v>46001</v>
      </c>
      <c r="K69" s="418">
        <v>46048</v>
      </c>
      <c r="L69" s="418"/>
      <c r="M69" s="419" t="s">
        <v>1148</v>
      </c>
      <c r="N69" s="448"/>
      <c r="O69" s="448"/>
      <c r="P69" s="422">
        <v>46048</v>
      </c>
      <c r="Q69" s="449" t="s">
        <v>1064</v>
      </c>
      <c r="R69" s="428"/>
      <c r="S69" s="428"/>
      <c r="T69" s="425"/>
      <c r="U69" s="426"/>
      <c r="V69" s="428"/>
      <c r="W69" s="426"/>
      <c r="X69" s="428"/>
      <c r="Y69" s="427"/>
      <c r="Z69" s="426"/>
      <c r="AA69" s="421">
        <f>INDEX([3]光真稼働日早見表!$N:$N,MATCH($P69,[3]光真稼働日早見表!$Q:$Q,0),1)</f>
        <v>46043</v>
      </c>
      <c r="AB69" s="428"/>
      <c r="AC69" s="426"/>
      <c r="AD69" s="446"/>
      <c r="AE69" s="428"/>
      <c r="AF69" s="427"/>
      <c r="AG69" s="426"/>
      <c r="AH69" s="425"/>
      <c r="AI69" s="427"/>
      <c r="AJ69" s="427"/>
      <c r="AK69" s="426"/>
      <c r="AL69" s="430" t="s">
        <v>1065</v>
      </c>
      <c r="AM69" s="427"/>
      <c r="AN69" s="427"/>
      <c r="AO69" s="426"/>
      <c r="AP69" s="428"/>
      <c r="AQ69" s="427"/>
      <c r="AR69" s="427"/>
      <c r="AS69" s="427"/>
      <c r="AT69" s="427"/>
      <c r="AU69" s="427"/>
      <c r="AV69" s="426"/>
      <c r="AW69" s="428"/>
      <c r="AX69" s="426"/>
      <c r="AY69" s="446"/>
      <c r="AZ69" s="450" t="s">
        <v>688</v>
      </c>
      <c r="BA69" s="451" t="s">
        <v>635</v>
      </c>
      <c r="BB69" s="452" t="s">
        <v>1149</v>
      </c>
      <c r="BC69" s="453" t="s">
        <v>1070</v>
      </c>
      <c r="BD69" s="439">
        <f t="shared" si="12"/>
        <v>2</v>
      </c>
      <c r="BE69" s="439">
        <f t="shared" si="13"/>
        <v>0</v>
      </c>
      <c r="BF69" s="440">
        <f t="shared" si="14"/>
        <v>46048</v>
      </c>
      <c r="BG69" s="439">
        <f t="shared" si="15"/>
        <v>0</v>
      </c>
      <c r="BH69" s="441">
        <f t="shared" si="16"/>
        <v>0</v>
      </c>
      <c r="BI69" s="442">
        <f t="shared" si="17"/>
        <v>1</v>
      </c>
      <c r="BJ69" s="443" t="s">
        <v>89</v>
      </c>
    </row>
    <row r="70" spans="1:62" s="444" customFormat="1" ht="12" customHeight="1">
      <c r="A70" s="423"/>
      <c r="B70" s="414"/>
      <c r="C70" s="414"/>
      <c r="D70" s="414"/>
      <c r="E70" s="414"/>
      <c r="F70" s="414"/>
      <c r="G70" s="414"/>
      <c r="H70" s="414"/>
      <c r="I70" s="447"/>
      <c r="J70" s="417">
        <v>46001</v>
      </c>
      <c r="K70" s="418">
        <v>46048</v>
      </c>
      <c r="L70" s="418"/>
      <c r="M70" s="419" t="s">
        <v>1150</v>
      </c>
      <c r="N70" s="448"/>
      <c r="O70" s="448"/>
      <c r="P70" s="422">
        <v>46048</v>
      </c>
      <c r="Q70" s="449" t="s">
        <v>1064</v>
      </c>
      <c r="R70" s="428"/>
      <c r="S70" s="428"/>
      <c r="T70" s="425"/>
      <c r="U70" s="426"/>
      <c r="V70" s="428"/>
      <c r="W70" s="426"/>
      <c r="X70" s="428"/>
      <c r="Y70" s="427"/>
      <c r="Z70" s="426"/>
      <c r="AA70" s="421">
        <f>INDEX([3]光真稼働日早見表!$N:$N,MATCH($P70,[3]光真稼働日早見表!$Q:$Q,0),1)</f>
        <v>46043</v>
      </c>
      <c r="AB70" s="428"/>
      <c r="AC70" s="426"/>
      <c r="AD70" s="446"/>
      <c r="AE70" s="428"/>
      <c r="AF70" s="427"/>
      <c r="AG70" s="426"/>
      <c r="AH70" s="425"/>
      <c r="AI70" s="427"/>
      <c r="AJ70" s="427"/>
      <c r="AK70" s="426"/>
      <c r="AL70" s="430" t="s">
        <v>1065</v>
      </c>
      <c r="AM70" s="427"/>
      <c r="AN70" s="427"/>
      <c r="AO70" s="426"/>
      <c r="AP70" s="428"/>
      <c r="AQ70" s="427"/>
      <c r="AR70" s="427"/>
      <c r="AS70" s="427"/>
      <c r="AT70" s="427"/>
      <c r="AU70" s="427"/>
      <c r="AV70" s="426"/>
      <c r="AW70" s="428"/>
      <c r="AX70" s="426"/>
      <c r="AY70" s="446"/>
      <c r="AZ70" s="450" t="s">
        <v>688</v>
      </c>
      <c r="BA70" s="451" t="s">
        <v>635</v>
      </c>
      <c r="BB70" s="452" t="s">
        <v>1151</v>
      </c>
      <c r="BC70" s="453" t="s">
        <v>1070</v>
      </c>
      <c r="BD70" s="439">
        <f t="shared" si="12"/>
        <v>2</v>
      </c>
      <c r="BE70" s="439">
        <f t="shared" si="13"/>
        <v>0</v>
      </c>
      <c r="BF70" s="440">
        <f t="shared" si="14"/>
        <v>46048</v>
      </c>
      <c r="BG70" s="439">
        <f t="shared" si="15"/>
        <v>0</v>
      </c>
      <c r="BH70" s="441">
        <f t="shared" si="16"/>
        <v>0</v>
      </c>
      <c r="BI70" s="442">
        <f t="shared" si="17"/>
        <v>1</v>
      </c>
      <c r="BJ70" s="443" t="s">
        <v>89</v>
      </c>
    </row>
    <row r="71" spans="1:62" s="444" customFormat="1" ht="12" customHeight="1">
      <c r="A71" s="423"/>
      <c r="B71" s="414"/>
      <c r="C71" s="414"/>
      <c r="D71" s="414"/>
      <c r="E71" s="414"/>
      <c r="F71" s="414"/>
      <c r="G71" s="414"/>
      <c r="H71" s="414"/>
      <c r="I71" s="447"/>
      <c r="J71" s="417">
        <v>46001</v>
      </c>
      <c r="K71" s="418">
        <v>46048</v>
      </c>
      <c r="L71" s="418"/>
      <c r="M71" s="419" t="s">
        <v>1150</v>
      </c>
      <c r="N71" s="448"/>
      <c r="O71" s="448"/>
      <c r="P71" s="422">
        <v>46048</v>
      </c>
      <c r="Q71" s="449" t="s">
        <v>1064</v>
      </c>
      <c r="R71" s="428"/>
      <c r="S71" s="428"/>
      <c r="T71" s="425"/>
      <c r="U71" s="426"/>
      <c r="V71" s="428"/>
      <c r="W71" s="426"/>
      <c r="X71" s="428"/>
      <c r="Y71" s="427"/>
      <c r="Z71" s="426"/>
      <c r="AA71" s="421">
        <f>INDEX([3]光真稼働日早見表!$N:$N,MATCH($P71,[3]光真稼働日早見表!$Q:$Q,0),1)</f>
        <v>46043</v>
      </c>
      <c r="AB71" s="428"/>
      <c r="AC71" s="426"/>
      <c r="AD71" s="446"/>
      <c r="AE71" s="428"/>
      <c r="AF71" s="427"/>
      <c r="AG71" s="426"/>
      <c r="AH71" s="425"/>
      <c r="AI71" s="427"/>
      <c r="AJ71" s="427"/>
      <c r="AK71" s="426"/>
      <c r="AL71" s="430" t="s">
        <v>1083</v>
      </c>
      <c r="AM71" s="427"/>
      <c r="AN71" s="427"/>
      <c r="AO71" s="426"/>
      <c r="AP71" s="428"/>
      <c r="AQ71" s="427"/>
      <c r="AR71" s="427"/>
      <c r="AS71" s="427"/>
      <c r="AT71" s="427"/>
      <c r="AU71" s="427"/>
      <c r="AV71" s="426"/>
      <c r="AW71" s="428"/>
      <c r="AX71" s="426"/>
      <c r="AY71" s="446"/>
      <c r="AZ71" s="450" t="s">
        <v>688</v>
      </c>
      <c r="BA71" s="451" t="s">
        <v>635</v>
      </c>
      <c r="BB71" s="452" t="s">
        <v>1152</v>
      </c>
      <c r="BC71" s="453" t="s">
        <v>1070</v>
      </c>
      <c r="BD71" s="439">
        <f t="shared" si="12"/>
        <v>2</v>
      </c>
      <c r="BE71" s="439">
        <f t="shared" si="13"/>
        <v>0</v>
      </c>
      <c r="BF71" s="440">
        <f t="shared" si="14"/>
        <v>46048</v>
      </c>
      <c r="BG71" s="439">
        <f t="shared" si="15"/>
        <v>0</v>
      </c>
      <c r="BH71" s="441">
        <f t="shared" si="16"/>
        <v>0</v>
      </c>
      <c r="BI71" s="442">
        <f t="shared" si="17"/>
        <v>1</v>
      </c>
      <c r="BJ71" s="443" t="s">
        <v>89</v>
      </c>
    </row>
    <row r="72" spans="1:62" s="444" customFormat="1" ht="12" customHeight="1">
      <c r="A72" s="423"/>
      <c r="B72" s="414"/>
      <c r="C72" s="414"/>
      <c r="D72" s="414"/>
      <c r="E72" s="414"/>
      <c r="F72" s="414"/>
      <c r="G72" s="414"/>
      <c r="H72" s="414"/>
      <c r="I72" s="447"/>
      <c r="J72" s="417">
        <v>46001</v>
      </c>
      <c r="K72" s="418">
        <v>46048</v>
      </c>
      <c r="L72" s="418"/>
      <c r="M72" s="419" t="s">
        <v>1150</v>
      </c>
      <c r="N72" s="448"/>
      <c r="O72" s="448"/>
      <c r="P72" s="422">
        <v>46048</v>
      </c>
      <c r="Q72" s="449" t="s">
        <v>1064</v>
      </c>
      <c r="R72" s="428"/>
      <c r="S72" s="428"/>
      <c r="T72" s="425"/>
      <c r="U72" s="426"/>
      <c r="V72" s="428"/>
      <c r="W72" s="426"/>
      <c r="X72" s="428"/>
      <c r="Y72" s="427"/>
      <c r="Z72" s="426"/>
      <c r="AA72" s="421">
        <f>INDEX([3]光真稼働日早見表!$N:$N,MATCH($P72,[3]光真稼働日早見表!$Q:$Q,0),1)</f>
        <v>46043</v>
      </c>
      <c r="AB72" s="428"/>
      <c r="AC72" s="426"/>
      <c r="AD72" s="446"/>
      <c r="AE72" s="428"/>
      <c r="AF72" s="427"/>
      <c r="AG72" s="426"/>
      <c r="AH72" s="425"/>
      <c r="AI72" s="427"/>
      <c r="AJ72" s="427"/>
      <c r="AK72" s="426"/>
      <c r="AL72" s="430" t="s">
        <v>1083</v>
      </c>
      <c r="AM72" s="427"/>
      <c r="AN72" s="427"/>
      <c r="AO72" s="426"/>
      <c r="AP72" s="428"/>
      <c r="AQ72" s="427"/>
      <c r="AR72" s="427"/>
      <c r="AS72" s="427"/>
      <c r="AT72" s="427"/>
      <c r="AU72" s="427"/>
      <c r="AV72" s="426"/>
      <c r="AW72" s="428"/>
      <c r="AX72" s="426"/>
      <c r="AY72" s="446"/>
      <c r="AZ72" s="450" t="s">
        <v>688</v>
      </c>
      <c r="BA72" s="451" t="s">
        <v>635</v>
      </c>
      <c r="BB72" s="452" t="s">
        <v>1153</v>
      </c>
      <c r="BC72" s="453" t="s">
        <v>1070</v>
      </c>
      <c r="BD72" s="439">
        <f t="shared" si="12"/>
        <v>2</v>
      </c>
      <c r="BE72" s="439">
        <f t="shared" si="13"/>
        <v>0</v>
      </c>
      <c r="BF72" s="440">
        <f t="shared" si="14"/>
        <v>46048</v>
      </c>
      <c r="BG72" s="439">
        <f t="shared" si="15"/>
        <v>0</v>
      </c>
      <c r="BH72" s="441">
        <f t="shared" si="16"/>
        <v>0</v>
      </c>
      <c r="BI72" s="442">
        <f t="shared" si="17"/>
        <v>1</v>
      </c>
      <c r="BJ72" s="443" t="s">
        <v>89</v>
      </c>
    </row>
    <row r="73" spans="1:62" s="444" customFormat="1" ht="12" customHeight="1">
      <c r="A73" s="423"/>
      <c r="B73" s="414"/>
      <c r="C73" s="414"/>
      <c r="D73" s="414"/>
      <c r="E73" s="414"/>
      <c r="F73" s="414"/>
      <c r="G73" s="414"/>
      <c r="H73" s="414"/>
      <c r="I73" s="447"/>
      <c r="J73" s="417">
        <v>46001</v>
      </c>
      <c r="K73" s="418">
        <v>46049</v>
      </c>
      <c r="L73" s="418"/>
      <c r="M73" s="419" t="s">
        <v>1154</v>
      </c>
      <c r="N73" s="448"/>
      <c r="O73" s="420">
        <f>INDEX([3]光真稼働日早見表!$M:$M,MATCH($P73,[3]光真稼働日早見表!$Q:$Q,0),1)</f>
        <v>46043</v>
      </c>
      <c r="P73" s="422">
        <v>46049</v>
      </c>
      <c r="Q73" s="449" t="s">
        <v>1064</v>
      </c>
      <c r="R73" s="424" t="s">
        <v>1065</v>
      </c>
      <c r="S73" s="428"/>
      <c r="T73" s="425"/>
      <c r="U73" s="426"/>
      <c r="V73" s="428"/>
      <c r="W73" s="426"/>
      <c r="X73" s="428"/>
      <c r="Y73" s="427"/>
      <c r="Z73" s="426"/>
      <c r="AA73" s="448"/>
      <c r="AB73" s="428"/>
      <c r="AC73" s="426"/>
      <c r="AD73" s="446"/>
      <c r="AE73" s="428"/>
      <c r="AF73" s="427"/>
      <c r="AG73" s="426"/>
      <c r="AH73" s="425"/>
      <c r="AI73" s="427"/>
      <c r="AJ73" s="427"/>
      <c r="AK73" s="426"/>
      <c r="AL73" s="428"/>
      <c r="AM73" s="427"/>
      <c r="AN73" s="427"/>
      <c r="AO73" s="426"/>
      <c r="AP73" s="428"/>
      <c r="AQ73" s="427"/>
      <c r="AR73" s="427"/>
      <c r="AS73" s="427"/>
      <c r="AT73" s="427"/>
      <c r="AU73" s="427"/>
      <c r="AV73" s="426"/>
      <c r="AW73" s="428"/>
      <c r="AX73" s="426"/>
      <c r="AY73" s="446"/>
      <c r="AZ73" s="450" t="s">
        <v>651</v>
      </c>
      <c r="BA73" s="451" t="s">
        <v>635</v>
      </c>
      <c r="BB73" s="452" t="s">
        <v>1155</v>
      </c>
      <c r="BC73" s="453" t="s">
        <v>1070</v>
      </c>
      <c r="BD73" s="439">
        <f t="shared" si="12"/>
        <v>1</v>
      </c>
      <c r="BE73" s="439">
        <f t="shared" si="13"/>
        <v>0</v>
      </c>
      <c r="BF73" s="440">
        <f t="shared" si="14"/>
        <v>46049</v>
      </c>
      <c r="BG73" s="439">
        <f t="shared" si="15"/>
        <v>0</v>
      </c>
      <c r="BH73" s="441">
        <f t="shared" si="16"/>
        <v>1</v>
      </c>
      <c r="BI73" s="442">
        <f t="shared" si="17"/>
        <v>0</v>
      </c>
      <c r="BJ73" s="443" t="s">
        <v>70</v>
      </c>
    </row>
    <row r="74" spans="1:62" s="444" customFormat="1" ht="12" customHeight="1">
      <c r="A74" s="423"/>
      <c r="B74" s="414"/>
      <c r="C74" s="414"/>
      <c r="D74" s="414"/>
      <c r="E74" s="414"/>
      <c r="F74" s="414"/>
      <c r="G74" s="414"/>
      <c r="H74" s="414"/>
      <c r="I74" s="447"/>
      <c r="J74" s="417">
        <v>46001</v>
      </c>
      <c r="K74" s="418">
        <v>46049</v>
      </c>
      <c r="L74" s="418"/>
      <c r="M74" s="419" t="s">
        <v>1154</v>
      </c>
      <c r="N74" s="448"/>
      <c r="O74" s="420">
        <f>INDEX([3]光真稼働日早見表!$M:$M,MATCH($P74,[3]光真稼働日早見表!$Q:$Q,0),1)</f>
        <v>46043</v>
      </c>
      <c r="P74" s="422">
        <v>46049</v>
      </c>
      <c r="Q74" s="449" t="s">
        <v>1064</v>
      </c>
      <c r="R74" s="424" t="s">
        <v>1083</v>
      </c>
      <c r="S74" s="428"/>
      <c r="T74" s="425"/>
      <c r="U74" s="426"/>
      <c r="V74" s="428"/>
      <c r="W74" s="426"/>
      <c r="X74" s="428"/>
      <c r="Y74" s="427"/>
      <c r="Z74" s="426"/>
      <c r="AA74" s="448"/>
      <c r="AB74" s="428"/>
      <c r="AC74" s="426"/>
      <c r="AD74" s="446"/>
      <c r="AE74" s="428"/>
      <c r="AF74" s="427"/>
      <c r="AG74" s="426"/>
      <c r="AH74" s="425"/>
      <c r="AI74" s="427"/>
      <c r="AJ74" s="427"/>
      <c r="AK74" s="426"/>
      <c r="AL74" s="428"/>
      <c r="AM74" s="427"/>
      <c r="AN74" s="427"/>
      <c r="AO74" s="426"/>
      <c r="AP74" s="428"/>
      <c r="AQ74" s="427"/>
      <c r="AR74" s="427"/>
      <c r="AS74" s="427"/>
      <c r="AT74" s="427"/>
      <c r="AU74" s="427"/>
      <c r="AV74" s="426"/>
      <c r="AW74" s="428"/>
      <c r="AX74" s="426"/>
      <c r="AY74" s="446"/>
      <c r="AZ74" s="450" t="s">
        <v>651</v>
      </c>
      <c r="BA74" s="451" t="s">
        <v>635</v>
      </c>
      <c r="BB74" s="452" t="s">
        <v>1156</v>
      </c>
      <c r="BC74" s="453" t="s">
        <v>1070</v>
      </c>
      <c r="BD74" s="439">
        <f t="shared" si="12"/>
        <v>1</v>
      </c>
      <c r="BE74" s="439">
        <f t="shared" si="13"/>
        <v>0</v>
      </c>
      <c r="BF74" s="440">
        <f t="shared" si="14"/>
        <v>46049</v>
      </c>
      <c r="BG74" s="439">
        <f t="shared" si="15"/>
        <v>0</v>
      </c>
      <c r="BH74" s="441">
        <f t="shared" si="16"/>
        <v>1</v>
      </c>
      <c r="BI74" s="442">
        <f t="shared" si="17"/>
        <v>0</v>
      </c>
      <c r="BJ74" s="443" t="s">
        <v>70</v>
      </c>
    </row>
    <row r="75" spans="1:62" s="444" customFormat="1" ht="12" customHeight="1">
      <c r="A75" s="423"/>
      <c r="B75" s="414"/>
      <c r="C75" s="414"/>
      <c r="D75" s="414"/>
      <c r="E75" s="414"/>
      <c r="F75" s="414"/>
      <c r="G75" s="414"/>
      <c r="H75" s="414"/>
      <c r="I75" s="447"/>
      <c r="J75" s="417">
        <v>46001</v>
      </c>
      <c r="K75" s="418">
        <v>46049</v>
      </c>
      <c r="L75" s="418"/>
      <c r="M75" s="419" t="s">
        <v>1154</v>
      </c>
      <c r="N75" s="448"/>
      <c r="O75" s="420">
        <f>INDEX([3]光真稼働日早見表!$M:$M,MATCH($P75,[3]光真稼働日早見表!$Q:$Q,0),1)</f>
        <v>46043</v>
      </c>
      <c r="P75" s="422">
        <v>46049</v>
      </c>
      <c r="Q75" s="449" t="s">
        <v>1064</v>
      </c>
      <c r="R75" s="424" t="s">
        <v>1065</v>
      </c>
      <c r="S75" s="428"/>
      <c r="T75" s="425"/>
      <c r="U75" s="426"/>
      <c r="V75" s="428"/>
      <c r="W75" s="426"/>
      <c r="X75" s="428"/>
      <c r="Y75" s="427"/>
      <c r="Z75" s="426"/>
      <c r="AA75" s="448"/>
      <c r="AB75" s="428"/>
      <c r="AC75" s="426"/>
      <c r="AD75" s="446"/>
      <c r="AE75" s="428"/>
      <c r="AF75" s="427"/>
      <c r="AG75" s="426"/>
      <c r="AH75" s="425"/>
      <c r="AI75" s="427"/>
      <c r="AJ75" s="427"/>
      <c r="AK75" s="426"/>
      <c r="AL75" s="428"/>
      <c r="AM75" s="427"/>
      <c r="AN75" s="427"/>
      <c r="AO75" s="426"/>
      <c r="AP75" s="428"/>
      <c r="AQ75" s="427"/>
      <c r="AR75" s="427"/>
      <c r="AS75" s="427"/>
      <c r="AT75" s="427"/>
      <c r="AU75" s="427"/>
      <c r="AV75" s="426"/>
      <c r="AW75" s="428"/>
      <c r="AX75" s="426"/>
      <c r="AY75" s="446"/>
      <c r="AZ75" s="450" t="s">
        <v>651</v>
      </c>
      <c r="BA75" s="451" t="s">
        <v>635</v>
      </c>
      <c r="BB75" s="452" t="s">
        <v>1157</v>
      </c>
      <c r="BC75" s="453" t="s">
        <v>1070</v>
      </c>
      <c r="BD75" s="439">
        <f t="shared" si="12"/>
        <v>1</v>
      </c>
      <c r="BE75" s="439">
        <f t="shared" si="13"/>
        <v>0</v>
      </c>
      <c r="BF75" s="440">
        <f t="shared" si="14"/>
        <v>46049</v>
      </c>
      <c r="BG75" s="439">
        <f t="shared" si="15"/>
        <v>0</v>
      </c>
      <c r="BH75" s="441">
        <f t="shared" si="16"/>
        <v>1</v>
      </c>
      <c r="BI75" s="442">
        <f t="shared" si="17"/>
        <v>0</v>
      </c>
      <c r="BJ75" s="443" t="s">
        <v>70</v>
      </c>
    </row>
    <row r="76" spans="1:62" s="444" customFormat="1" ht="12" customHeight="1">
      <c r="A76" s="423"/>
      <c r="B76" s="414"/>
      <c r="C76" s="414"/>
      <c r="D76" s="414"/>
      <c r="E76" s="414"/>
      <c r="F76" s="414"/>
      <c r="G76" s="414"/>
      <c r="H76" s="414"/>
      <c r="I76" s="447"/>
      <c r="J76" s="417">
        <v>46001</v>
      </c>
      <c r="K76" s="418">
        <v>46049</v>
      </c>
      <c r="L76" s="418"/>
      <c r="M76" s="419" t="s">
        <v>1158</v>
      </c>
      <c r="N76" s="448"/>
      <c r="O76" s="420">
        <f>INDEX([3]光真稼働日早見表!$M:$M,MATCH($P76,[3]光真稼働日早見表!$Q:$Q,0),1)</f>
        <v>46043</v>
      </c>
      <c r="P76" s="422">
        <v>46049</v>
      </c>
      <c r="Q76" s="449" t="s">
        <v>1064</v>
      </c>
      <c r="R76" s="424" t="s">
        <v>1083</v>
      </c>
      <c r="S76" s="428"/>
      <c r="T76" s="425"/>
      <c r="U76" s="426"/>
      <c r="V76" s="428"/>
      <c r="W76" s="426"/>
      <c r="X76" s="428"/>
      <c r="Y76" s="427"/>
      <c r="Z76" s="426"/>
      <c r="AA76" s="448"/>
      <c r="AB76" s="428"/>
      <c r="AC76" s="426"/>
      <c r="AD76" s="446"/>
      <c r="AE76" s="428"/>
      <c r="AF76" s="427"/>
      <c r="AG76" s="426"/>
      <c r="AH76" s="425"/>
      <c r="AI76" s="427"/>
      <c r="AJ76" s="427"/>
      <c r="AK76" s="426"/>
      <c r="AL76" s="428"/>
      <c r="AM76" s="427"/>
      <c r="AN76" s="427"/>
      <c r="AO76" s="426"/>
      <c r="AP76" s="428"/>
      <c r="AQ76" s="427"/>
      <c r="AR76" s="427"/>
      <c r="AS76" s="427"/>
      <c r="AT76" s="427"/>
      <c r="AU76" s="427"/>
      <c r="AV76" s="426"/>
      <c r="AW76" s="428"/>
      <c r="AX76" s="426"/>
      <c r="AY76" s="446"/>
      <c r="AZ76" s="450" t="s">
        <v>651</v>
      </c>
      <c r="BA76" s="451" t="s">
        <v>635</v>
      </c>
      <c r="BB76" s="452" t="s">
        <v>1159</v>
      </c>
      <c r="BC76" s="453" t="s">
        <v>1070</v>
      </c>
      <c r="BD76" s="439">
        <f t="shared" si="12"/>
        <v>1</v>
      </c>
      <c r="BE76" s="439">
        <f t="shared" si="13"/>
        <v>0</v>
      </c>
      <c r="BF76" s="440">
        <f t="shared" si="14"/>
        <v>46049</v>
      </c>
      <c r="BG76" s="439">
        <f t="shared" si="15"/>
        <v>0</v>
      </c>
      <c r="BH76" s="441">
        <f t="shared" si="16"/>
        <v>1</v>
      </c>
      <c r="BI76" s="442">
        <f t="shared" si="17"/>
        <v>0</v>
      </c>
      <c r="BJ76" s="443" t="s">
        <v>70</v>
      </c>
    </row>
    <row r="77" spans="1:62" s="444" customFormat="1" ht="12" customHeight="1">
      <c r="A77" s="423"/>
      <c r="B77" s="414"/>
      <c r="C77" s="414"/>
      <c r="D77" s="414"/>
      <c r="E77" s="414"/>
      <c r="F77" s="414"/>
      <c r="G77" s="414"/>
      <c r="H77" s="414"/>
      <c r="I77" s="447"/>
      <c r="J77" s="417">
        <v>46001</v>
      </c>
      <c r="K77" s="418">
        <v>46049</v>
      </c>
      <c r="L77" s="418"/>
      <c r="M77" s="419" t="s">
        <v>1160</v>
      </c>
      <c r="N77" s="448"/>
      <c r="O77" s="420">
        <f>INDEX([3]光真稼働日早見表!$M:$M,MATCH($P77,[3]光真稼働日早見表!$Q:$Q,0),1)</f>
        <v>46043</v>
      </c>
      <c r="P77" s="422">
        <v>46049</v>
      </c>
      <c r="Q77" s="449" t="s">
        <v>1064</v>
      </c>
      <c r="R77" s="428"/>
      <c r="S77" s="424" t="s">
        <v>1099</v>
      </c>
      <c r="T77" s="425"/>
      <c r="U77" s="426"/>
      <c r="V77" s="428"/>
      <c r="W77" s="426"/>
      <c r="X77" s="428"/>
      <c r="Y77" s="427"/>
      <c r="Z77" s="426"/>
      <c r="AA77" s="448"/>
      <c r="AB77" s="428"/>
      <c r="AC77" s="426"/>
      <c r="AD77" s="446"/>
      <c r="AE77" s="428"/>
      <c r="AF77" s="427"/>
      <c r="AG77" s="426"/>
      <c r="AH77" s="425"/>
      <c r="AI77" s="427"/>
      <c r="AJ77" s="427"/>
      <c r="AK77" s="426"/>
      <c r="AL77" s="428"/>
      <c r="AM77" s="427"/>
      <c r="AN77" s="427"/>
      <c r="AO77" s="426"/>
      <c r="AP77" s="428"/>
      <c r="AQ77" s="427"/>
      <c r="AR77" s="427"/>
      <c r="AS77" s="427"/>
      <c r="AT77" s="427"/>
      <c r="AU77" s="427"/>
      <c r="AV77" s="426"/>
      <c r="AW77" s="428"/>
      <c r="AX77" s="426"/>
      <c r="AY77" s="446"/>
      <c r="AZ77" s="450" t="s">
        <v>700</v>
      </c>
      <c r="BA77" s="451" t="s">
        <v>635</v>
      </c>
      <c r="BB77" s="452" t="s">
        <v>1161</v>
      </c>
      <c r="BC77" s="453" t="s">
        <v>1070</v>
      </c>
      <c r="BD77" s="439">
        <f t="shared" si="12"/>
        <v>1</v>
      </c>
      <c r="BE77" s="439">
        <f t="shared" si="13"/>
        <v>0</v>
      </c>
      <c r="BF77" s="440">
        <f t="shared" si="14"/>
        <v>46049</v>
      </c>
      <c r="BG77" s="439">
        <f t="shared" si="15"/>
        <v>0</v>
      </c>
      <c r="BH77" s="441">
        <f t="shared" si="16"/>
        <v>1</v>
      </c>
      <c r="BI77" s="442">
        <f t="shared" si="17"/>
        <v>0</v>
      </c>
      <c r="BJ77" s="443" t="s">
        <v>71</v>
      </c>
    </row>
    <row r="78" spans="1:62" s="444" customFormat="1" ht="12" customHeight="1">
      <c r="A78" s="423"/>
      <c r="B78" s="414"/>
      <c r="C78" s="414"/>
      <c r="D78" s="414"/>
      <c r="E78" s="414"/>
      <c r="F78" s="414"/>
      <c r="G78" s="414"/>
      <c r="H78" s="414"/>
      <c r="I78" s="447"/>
      <c r="J78" s="417">
        <v>46001</v>
      </c>
      <c r="K78" s="418">
        <v>46049</v>
      </c>
      <c r="L78" s="418"/>
      <c r="M78" s="419" t="s">
        <v>723</v>
      </c>
      <c r="N78" s="448"/>
      <c r="O78" s="420">
        <f>INDEX([3]光真稼働日早見表!$M:$M,MATCH($P78,[3]光真稼働日早見表!$Q:$Q,0),1)</f>
        <v>46043</v>
      </c>
      <c r="P78" s="422">
        <v>46049</v>
      </c>
      <c r="Q78" s="449" t="s">
        <v>1064</v>
      </c>
      <c r="R78" s="428"/>
      <c r="S78" s="428"/>
      <c r="T78" s="425"/>
      <c r="U78" s="426"/>
      <c r="V78" s="424" t="s">
        <v>1065</v>
      </c>
      <c r="W78" s="426"/>
      <c r="X78" s="428"/>
      <c r="Y78" s="427"/>
      <c r="Z78" s="426"/>
      <c r="AA78" s="448"/>
      <c r="AB78" s="428"/>
      <c r="AC78" s="426"/>
      <c r="AD78" s="446"/>
      <c r="AE78" s="428"/>
      <c r="AF78" s="427"/>
      <c r="AG78" s="426"/>
      <c r="AH78" s="425"/>
      <c r="AI78" s="427"/>
      <c r="AJ78" s="427"/>
      <c r="AK78" s="426"/>
      <c r="AL78" s="428"/>
      <c r="AM78" s="427"/>
      <c r="AN78" s="427"/>
      <c r="AO78" s="426"/>
      <c r="AP78" s="428"/>
      <c r="AQ78" s="427"/>
      <c r="AR78" s="427"/>
      <c r="AS78" s="427"/>
      <c r="AT78" s="427"/>
      <c r="AU78" s="427"/>
      <c r="AV78" s="426"/>
      <c r="AW78" s="428"/>
      <c r="AX78" s="426"/>
      <c r="AY78" s="446"/>
      <c r="AZ78" s="450" t="s">
        <v>722</v>
      </c>
      <c r="BA78" s="451" t="s">
        <v>635</v>
      </c>
      <c r="BB78" s="452" t="s">
        <v>1162</v>
      </c>
      <c r="BC78" s="453" t="s">
        <v>1070</v>
      </c>
      <c r="BD78" s="439">
        <f t="shared" si="12"/>
        <v>1</v>
      </c>
      <c r="BE78" s="439">
        <f t="shared" si="13"/>
        <v>0</v>
      </c>
      <c r="BF78" s="440">
        <f t="shared" si="14"/>
        <v>46049</v>
      </c>
      <c r="BG78" s="439">
        <f t="shared" si="15"/>
        <v>0</v>
      </c>
      <c r="BH78" s="441">
        <f t="shared" si="16"/>
        <v>1</v>
      </c>
      <c r="BI78" s="442">
        <f t="shared" si="17"/>
        <v>0</v>
      </c>
      <c r="BJ78" s="443" t="s">
        <v>74</v>
      </c>
    </row>
    <row r="79" spans="1:62" s="444" customFormat="1" ht="12" customHeight="1">
      <c r="A79" s="423"/>
      <c r="B79" s="414"/>
      <c r="C79" s="414"/>
      <c r="D79" s="414"/>
      <c r="E79" s="414"/>
      <c r="F79" s="414"/>
      <c r="G79" s="414"/>
      <c r="H79" s="414"/>
      <c r="I79" s="447"/>
      <c r="J79" s="417">
        <v>46001</v>
      </c>
      <c r="K79" s="418">
        <v>46049</v>
      </c>
      <c r="L79" s="418"/>
      <c r="M79" s="419" t="s">
        <v>723</v>
      </c>
      <c r="N79" s="448"/>
      <c r="O79" s="420">
        <f>INDEX([3]光真稼働日早見表!$M:$M,MATCH($P79,[3]光真稼働日早見表!$Q:$Q,0),1)</f>
        <v>46043</v>
      </c>
      <c r="P79" s="422">
        <v>46049</v>
      </c>
      <c r="Q79" s="449" t="s">
        <v>1064</v>
      </c>
      <c r="R79" s="428"/>
      <c r="S79" s="428"/>
      <c r="T79" s="425"/>
      <c r="U79" s="426"/>
      <c r="V79" s="424" t="s">
        <v>1099</v>
      </c>
      <c r="W79" s="426"/>
      <c r="X79" s="428"/>
      <c r="Y79" s="427"/>
      <c r="Z79" s="426"/>
      <c r="AA79" s="448"/>
      <c r="AB79" s="428"/>
      <c r="AC79" s="426"/>
      <c r="AD79" s="446"/>
      <c r="AE79" s="428"/>
      <c r="AF79" s="427"/>
      <c r="AG79" s="426"/>
      <c r="AH79" s="425"/>
      <c r="AI79" s="427"/>
      <c r="AJ79" s="427"/>
      <c r="AK79" s="426"/>
      <c r="AL79" s="428"/>
      <c r="AM79" s="427"/>
      <c r="AN79" s="427"/>
      <c r="AO79" s="426"/>
      <c r="AP79" s="428"/>
      <c r="AQ79" s="427"/>
      <c r="AR79" s="427"/>
      <c r="AS79" s="427"/>
      <c r="AT79" s="427"/>
      <c r="AU79" s="427"/>
      <c r="AV79" s="426"/>
      <c r="AW79" s="428"/>
      <c r="AX79" s="426"/>
      <c r="AY79" s="446"/>
      <c r="AZ79" s="450" t="s">
        <v>722</v>
      </c>
      <c r="BA79" s="451" t="s">
        <v>635</v>
      </c>
      <c r="BB79" s="452" t="s">
        <v>1163</v>
      </c>
      <c r="BC79" s="453" t="s">
        <v>1070</v>
      </c>
      <c r="BD79" s="439">
        <f t="shared" si="12"/>
        <v>1</v>
      </c>
      <c r="BE79" s="439">
        <f t="shared" si="13"/>
        <v>0</v>
      </c>
      <c r="BF79" s="440">
        <f t="shared" si="14"/>
        <v>46049</v>
      </c>
      <c r="BG79" s="439">
        <f t="shared" si="15"/>
        <v>0</v>
      </c>
      <c r="BH79" s="441">
        <f t="shared" si="16"/>
        <v>1</v>
      </c>
      <c r="BI79" s="442">
        <f t="shared" si="17"/>
        <v>0</v>
      </c>
      <c r="BJ79" s="443" t="s">
        <v>74</v>
      </c>
    </row>
    <row r="80" spans="1:62" s="444" customFormat="1" ht="12" customHeight="1">
      <c r="A80" s="423"/>
      <c r="B80" s="414"/>
      <c r="C80" s="414"/>
      <c r="D80" s="414"/>
      <c r="E80" s="414"/>
      <c r="F80" s="414"/>
      <c r="G80" s="414"/>
      <c r="H80" s="414"/>
      <c r="I80" s="447"/>
      <c r="J80" s="417">
        <v>46001</v>
      </c>
      <c r="K80" s="418">
        <v>46049</v>
      </c>
      <c r="L80" s="418"/>
      <c r="M80" s="419" t="s">
        <v>723</v>
      </c>
      <c r="N80" s="448"/>
      <c r="O80" s="420">
        <f>INDEX([3]光真稼働日早見表!$M:$M,MATCH($P80,[3]光真稼働日早見表!$Q:$Q,0),1)</f>
        <v>46043</v>
      </c>
      <c r="P80" s="422">
        <v>46049</v>
      </c>
      <c r="Q80" s="449" t="s">
        <v>1064</v>
      </c>
      <c r="R80" s="428"/>
      <c r="S80" s="428"/>
      <c r="T80" s="425"/>
      <c r="U80" s="426"/>
      <c r="V80" s="424" t="s">
        <v>1065</v>
      </c>
      <c r="W80" s="426"/>
      <c r="X80" s="428"/>
      <c r="Y80" s="427"/>
      <c r="Z80" s="426"/>
      <c r="AA80" s="448"/>
      <c r="AB80" s="428"/>
      <c r="AC80" s="426"/>
      <c r="AD80" s="446"/>
      <c r="AE80" s="428"/>
      <c r="AF80" s="427"/>
      <c r="AG80" s="426"/>
      <c r="AH80" s="425"/>
      <c r="AI80" s="427"/>
      <c r="AJ80" s="427"/>
      <c r="AK80" s="426"/>
      <c r="AL80" s="428"/>
      <c r="AM80" s="427"/>
      <c r="AN80" s="427"/>
      <c r="AO80" s="426"/>
      <c r="AP80" s="428"/>
      <c r="AQ80" s="427"/>
      <c r="AR80" s="427"/>
      <c r="AS80" s="427"/>
      <c r="AT80" s="427"/>
      <c r="AU80" s="427"/>
      <c r="AV80" s="426"/>
      <c r="AW80" s="428"/>
      <c r="AX80" s="426"/>
      <c r="AY80" s="446"/>
      <c r="AZ80" s="450" t="s">
        <v>722</v>
      </c>
      <c r="BA80" s="451" t="s">
        <v>635</v>
      </c>
      <c r="BB80" s="452" t="s">
        <v>1164</v>
      </c>
      <c r="BC80" s="453" t="s">
        <v>1070</v>
      </c>
      <c r="BD80" s="439">
        <f t="shared" si="12"/>
        <v>1</v>
      </c>
      <c r="BE80" s="439">
        <f t="shared" si="13"/>
        <v>0</v>
      </c>
      <c r="BF80" s="440">
        <f t="shared" si="14"/>
        <v>46049</v>
      </c>
      <c r="BG80" s="439">
        <f t="shared" si="15"/>
        <v>0</v>
      </c>
      <c r="BH80" s="441">
        <f t="shared" si="16"/>
        <v>1</v>
      </c>
      <c r="BI80" s="442">
        <f t="shared" si="17"/>
        <v>0</v>
      </c>
      <c r="BJ80" s="443" t="s">
        <v>74</v>
      </c>
    </row>
    <row r="81" spans="1:62" s="444" customFormat="1" ht="12" customHeight="1">
      <c r="A81" s="423"/>
      <c r="B81" s="414"/>
      <c r="C81" s="414"/>
      <c r="D81" s="414"/>
      <c r="E81" s="414"/>
      <c r="F81" s="414"/>
      <c r="G81" s="414"/>
      <c r="H81" s="414"/>
      <c r="I81" s="447"/>
      <c r="J81" s="417">
        <v>46001</v>
      </c>
      <c r="K81" s="418">
        <v>46049</v>
      </c>
      <c r="L81" s="418"/>
      <c r="M81" s="419" t="s">
        <v>723</v>
      </c>
      <c r="N81" s="448"/>
      <c r="O81" s="420">
        <f>INDEX([3]光真稼働日早見表!$M:$M,MATCH($P81,[3]光真稼働日早見表!$Q:$Q,0),1)</f>
        <v>46043</v>
      </c>
      <c r="P81" s="422">
        <v>46049</v>
      </c>
      <c r="Q81" s="449" t="s">
        <v>1064</v>
      </c>
      <c r="R81" s="428"/>
      <c r="S81" s="428"/>
      <c r="T81" s="425"/>
      <c r="U81" s="426"/>
      <c r="V81" s="424" t="s">
        <v>1065</v>
      </c>
      <c r="W81" s="426"/>
      <c r="X81" s="428"/>
      <c r="Y81" s="427"/>
      <c r="Z81" s="426"/>
      <c r="AA81" s="448"/>
      <c r="AB81" s="428"/>
      <c r="AC81" s="426"/>
      <c r="AD81" s="446"/>
      <c r="AE81" s="428"/>
      <c r="AF81" s="427"/>
      <c r="AG81" s="426"/>
      <c r="AH81" s="425"/>
      <c r="AI81" s="427"/>
      <c r="AJ81" s="427"/>
      <c r="AK81" s="426"/>
      <c r="AL81" s="428"/>
      <c r="AM81" s="427"/>
      <c r="AN81" s="427"/>
      <c r="AO81" s="426"/>
      <c r="AP81" s="428"/>
      <c r="AQ81" s="427"/>
      <c r="AR81" s="427"/>
      <c r="AS81" s="427"/>
      <c r="AT81" s="427"/>
      <c r="AU81" s="427"/>
      <c r="AV81" s="426"/>
      <c r="AW81" s="428"/>
      <c r="AX81" s="426"/>
      <c r="AY81" s="446"/>
      <c r="AZ81" s="450" t="s">
        <v>722</v>
      </c>
      <c r="BA81" s="451" t="s">
        <v>635</v>
      </c>
      <c r="BB81" s="452" t="s">
        <v>1165</v>
      </c>
      <c r="BC81" s="453" t="s">
        <v>1070</v>
      </c>
      <c r="BD81" s="439">
        <f t="shared" si="12"/>
        <v>1</v>
      </c>
      <c r="BE81" s="439">
        <f t="shared" si="13"/>
        <v>0</v>
      </c>
      <c r="BF81" s="440">
        <f t="shared" si="14"/>
        <v>46049</v>
      </c>
      <c r="BG81" s="439">
        <f t="shared" si="15"/>
        <v>0</v>
      </c>
      <c r="BH81" s="441">
        <f t="shared" si="16"/>
        <v>1</v>
      </c>
      <c r="BI81" s="442">
        <f t="shared" si="17"/>
        <v>0</v>
      </c>
      <c r="BJ81" s="443" t="s">
        <v>74</v>
      </c>
    </row>
    <row r="82" spans="1:62" s="444" customFormat="1" ht="12" customHeight="1">
      <c r="A82" s="423"/>
      <c r="B82" s="414"/>
      <c r="C82" s="414"/>
      <c r="D82" s="414"/>
      <c r="E82" s="414"/>
      <c r="F82" s="414"/>
      <c r="G82" s="414"/>
      <c r="H82" s="414"/>
      <c r="I82" s="447"/>
      <c r="J82" s="417">
        <v>46001</v>
      </c>
      <c r="K82" s="418">
        <v>46049</v>
      </c>
      <c r="L82" s="418"/>
      <c r="M82" s="419" t="s">
        <v>1166</v>
      </c>
      <c r="N82" s="448"/>
      <c r="O82" s="448"/>
      <c r="P82" s="422">
        <v>46049</v>
      </c>
      <c r="Q82" s="449" t="s">
        <v>1064</v>
      </c>
      <c r="R82" s="428"/>
      <c r="S82" s="428"/>
      <c r="T82" s="425"/>
      <c r="U82" s="426"/>
      <c r="V82" s="428"/>
      <c r="W82" s="426"/>
      <c r="X82" s="428"/>
      <c r="Y82" s="427"/>
      <c r="Z82" s="426"/>
      <c r="AA82" s="421">
        <f>INDEX([3]光真稼働日早見表!$N:$N,MATCH($P82,[3]光真稼働日早見表!$Q:$Q,0),1)</f>
        <v>46044</v>
      </c>
      <c r="AB82" s="428"/>
      <c r="AC82" s="426"/>
      <c r="AD82" s="446"/>
      <c r="AE82" s="428"/>
      <c r="AF82" s="427"/>
      <c r="AG82" s="426"/>
      <c r="AH82" s="425"/>
      <c r="AI82" s="427"/>
      <c r="AJ82" s="427"/>
      <c r="AK82" s="426"/>
      <c r="AL82" s="430" t="s">
        <v>1065</v>
      </c>
      <c r="AM82" s="427"/>
      <c r="AN82" s="427"/>
      <c r="AO82" s="426"/>
      <c r="AP82" s="428"/>
      <c r="AQ82" s="427"/>
      <c r="AR82" s="427"/>
      <c r="AS82" s="427"/>
      <c r="AT82" s="427"/>
      <c r="AU82" s="427"/>
      <c r="AV82" s="426"/>
      <c r="AW82" s="428"/>
      <c r="AX82" s="426"/>
      <c r="AY82" s="446"/>
      <c r="AZ82" s="450" t="s">
        <v>691</v>
      </c>
      <c r="BA82" s="451" t="s">
        <v>635</v>
      </c>
      <c r="BB82" s="452" t="s">
        <v>1167</v>
      </c>
      <c r="BC82" s="453" t="s">
        <v>1070</v>
      </c>
      <c r="BD82" s="439">
        <f t="shared" si="12"/>
        <v>2</v>
      </c>
      <c r="BE82" s="439">
        <f t="shared" si="13"/>
        <v>0</v>
      </c>
      <c r="BF82" s="440">
        <f t="shared" si="14"/>
        <v>46049</v>
      </c>
      <c r="BG82" s="439">
        <f t="shared" si="15"/>
        <v>0</v>
      </c>
      <c r="BH82" s="441">
        <f t="shared" si="16"/>
        <v>0</v>
      </c>
      <c r="BI82" s="442">
        <f t="shared" si="17"/>
        <v>1</v>
      </c>
      <c r="BJ82" s="443" t="s">
        <v>89</v>
      </c>
    </row>
    <row r="83" spans="1:62" s="444" customFormat="1" ht="12" customHeight="1">
      <c r="A83" s="423"/>
      <c r="B83" s="414"/>
      <c r="C83" s="414"/>
      <c r="D83" s="414"/>
      <c r="E83" s="414"/>
      <c r="F83" s="414"/>
      <c r="G83" s="414"/>
      <c r="H83" s="414"/>
      <c r="I83" s="447"/>
      <c r="J83" s="417">
        <v>46001</v>
      </c>
      <c r="K83" s="418">
        <v>46051</v>
      </c>
      <c r="L83" s="418"/>
      <c r="M83" s="419" t="s">
        <v>1168</v>
      </c>
      <c r="N83" s="448"/>
      <c r="O83" s="420">
        <f>INDEX([3]光真稼働日早見表!$M:$M,MATCH($P83,[3]光真稼働日早見表!$Q:$Q,0),1)</f>
        <v>46045</v>
      </c>
      <c r="P83" s="422">
        <v>46051</v>
      </c>
      <c r="Q83" s="449" t="s">
        <v>1064</v>
      </c>
      <c r="R83" s="424" t="s">
        <v>1065</v>
      </c>
      <c r="S83" s="428"/>
      <c r="T83" s="425"/>
      <c r="U83" s="426"/>
      <c r="V83" s="428"/>
      <c r="W83" s="426"/>
      <c r="X83" s="428"/>
      <c r="Y83" s="427"/>
      <c r="Z83" s="426"/>
      <c r="AA83" s="448"/>
      <c r="AB83" s="428"/>
      <c r="AC83" s="426"/>
      <c r="AD83" s="446"/>
      <c r="AE83" s="428"/>
      <c r="AF83" s="427"/>
      <c r="AG83" s="426"/>
      <c r="AH83" s="425"/>
      <c r="AI83" s="427"/>
      <c r="AJ83" s="427"/>
      <c r="AK83" s="426"/>
      <c r="AL83" s="428"/>
      <c r="AM83" s="427"/>
      <c r="AN83" s="427"/>
      <c r="AO83" s="426"/>
      <c r="AP83" s="428"/>
      <c r="AQ83" s="427"/>
      <c r="AR83" s="427"/>
      <c r="AS83" s="427"/>
      <c r="AT83" s="427"/>
      <c r="AU83" s="427"/>
      <c r="AV83" s="426"/>
      <c r="AW83" s="428"/>
      <c r="AX83" s="426"/>
      <c r="AY83" s="446"/>
      <c r="AZ83" s="450" t="s">
        <v>653</v>
      </c>
      <c r="BA83" s="451" t="s">
        <v>635</v>
      </c>
      <c r="BB83" s="452" t="s">
        <v>1169</v>
      </c>
      <c r="BC83" s="453" t="s">
        <v>1070</v>
      </c>
      <c r="BD83" s="439">
        <f t="shared" si="12"/>
        <v>1</v>
      </c>
      <c r="BE83" s="439">
        <f t="shared" si="13"/>
        <v>0</v>
      </c>
      <c r="BF83" s="440">
        <f t="shared" si="14"/>
        <v>46051</v>
      </c>
      <c r="BG83" s="439">
        <f t="shared" si="15"/>
        <v>0</v>
      </c>
      <c r="BH83" s="441">
        <f t="shared" si="16"/>
        <v>1</v>
      </c>
      <c r="BI83" s="442">
        <f t="shared" si="17"/>
        <v>0</v>
      </c>
      <c r="BJ83" s="443" t="s">
        <v>70</v>
      </c>
    </row>
    <row r="84" spans="1:62" s="444" customFormat="1" ht="12" customHeight="1">
      <c r="A84" s="423"/>
      <c r="B84" s="414"/>
      <c r="C84" s="414"/>
      <c r="D84" s="414"/>
      <c r="E84" s="414"/>
      <c r="F84" s="414"/>
      <c r="G84" s="414"/>
      <c r="H84" s="414"/>
      <c r="I84" s="447"/>
      <c r="J84" s="417">
        <v>46001</v>
      </c>
      <c r="K84" s="418">
        <v>46051</v>
      </c>
      <c r="L84" s="418"/>
      <c r="M84" s="419" t="s">
        <v>1170</v>
      </c>
      <c r="N84" s="448"/>
      <c r="O84" s="420">
        <f>INDEX([3]光真稼働日早見表!$M:$M,MATCH($P84,[3]光真稼働日早見表!$Q:$Q,0),1)</f>
        <v>46045</v>
      </c>
      <c r="P84" s="422">
        <v>46051</v>
      </c>
      <c r="Q84" s="449" t="s">
        <v>1064</v>
      </c>
      <c r="R84" s="424" t="s">
        <v>1065</v>
      </c>
      <c r="S84" s="428"/>
      <c r="T84" s="425"/>
      <c r="U84" s="426"/>
      <c r="V84" s="428"/>
      <c r="W84" s="426"/>
      <c r="X84" s="428"/>
      <c r="Y84" s="427"/>
      <c r="Z84" s="426"/>
      <c r="AA84" s="448"/>
      <c r="AB84" s="428"/>
      <c r="AC84" s="426"/>
      <c r="AD84" s="446"/>
      <c r="AE84" s="428"/>
      <c r="AF84" s="427"/>
      <c r="AG84" s="426"/>
      <c r="AH84" s="425"/>
      <c r="AI84" s="427"/>
      <c r="AJ84" s="427"/>
      <c r="AK84" s="426"/>
      <c r="AL84" s="428"/>
      <c r="AM84" s="427"/>
      <c r="AN84" s="427"/>
      <c r="AO84" s="426"/>
      <c r="AP84" s="428"/>
      <c r="AQ84" s="427"/>
      <c r="AR84" s="427"/>
      <c r="AS84" s="427"/>
      <c r="AT84" s="427"/>
      <c r="AU84" s="427"/>
      <c r="AV84" s="426"/>
      <c r="AW84" s="428"/>
      <c r="AX84" s="426"/>
      <c r="AY84" s="446"/>
      <c r="AZ84" s="450" t="s">
        <v>657</v>
      </c>
      <c r="BA84" s="451" t="s">
        <v>635</v>
      </c>
      <c r="BB84" s="452" t="s">
        <v>1066</v>
      </c>
      <c r="BC84" s="453" t="s">
        <v>1070</v>
      </c>
      <c r="BD84" s="439">
        <f t="shared" si="12"/>
        <v>1</v>
      </c>
      <c r="BE84" s="439">
        <f t="shared" si="13"/>
        <v>0</v>
      </c>
      <c r="BF84" s="440">
        <f t="shared" si="14"/>
        <v>46051</v>
      </c>
      <c r="BG84" s="439">
        <f t="shared" si="15"/>
        <v>0</v>
      </c>
      <c r="BH84" s="441">
        <f t="shared" si="16"/>
        <v>1</v>
      </c>
      <c r="BI84" s="442">
        <f t="shared" si="17"/>
        <v>0</v>
      </c>
      <c r="BJ84" s="443" t="s">
        <v>70</v>
      </c>
    </row>
    <row r="85" spans="1:62" s="444" customFormat="1" ht="12" customHeight="1">
      <c r="A85" s="423"/>
      <c r="B85" s="414"/>
      <c r="C85" s="414"/>
      <c r="D85" s="414"/>
      <c r="E85" s="414"/>
      <c r="F85" s="414"/>
      <c r="G85" s="414"/>
      <c r="H85" s="414"/>
      <c r="I85" s="447"/>
      <c r="J85" s="417">
        <v>46001</v>
      </c>
      <c r="K85" s="418">
        <v>46051</v>
      </c>
      <c r="L85" s="418"/>
      <c r="M85" s="419" t="s">
        <v>1171</v>
      </c>
      <c r="N85" s="448"/>
      <c r="O85" s="420">
        <f>INDEX([3]光真稼働日早見表!$M:$M,MATCH($P85,[3]光真稼働日早見表!$Q:$Q,0),1)</f>
        <v>46045</v>
      </c>
      <c r="P85" s="422">
        <v>46051</v>
      </c>
      <c r="Q85" s="449" t="s">
        <v>1064</v>
      </c>
      <c r="R85" s="424" t="s">
        <v>1065</v>
      </c>
      <c r="S85" s="428"/>
      <c r="T85" s="425"/>
      <c r="U85" s="426"/>
      <c r="V85" s="428"/>
      <c r="W85" s="426"/>
      <c r="X85" s="428"/>
      <c r="Y85" s="427"/>
      <c r="Z85" s="426"/>
      <c r="AA85" s="448"/>
      <c r="AB85" s="428"/>
      <c r="AC85" s="426"/>
      <c r="AD85" s="446"/>
      <c r="AE85" s="428"/>
      <c r="AF85" s="427"/>
      <c r="AG85" s="426"/>
      <c r="AH85" s="425"/>
      <c r="AI85" s="427"/>
      <c r="AJ85" s="427"/>
      <c r="AK85" s="426"/>
      <c r="AL85" s="428"/>
      <c r="AM85" s="427"/>
      <c r="AN85" s="427"/>
      <c r="AO85" s="426"/>
      <c r="AP85" s="428"/>
      <c r="AQ85" s="427"/>
      <c r="AR85" s="427"/>
      <c r="AS85" s="427"/>
      <c r="AT85" s="427"/>
      <c r="AU85" s="427"/>
      <c r="AV85" s="426"/>
      <c r="AW85" s="428"/>
      <c r="AX85" s="426"/>
      <c r="AY85" s="446"/>
      <c r="AZ85" s="450" t="s">
        <v>655</v>
      </c>
      <c r="BA85" s="451" t="s">
        <v>635</v>
      </c>
      <c r="BB85" s="452" t="s">
        <v>1172</v>
      </c>
      <c r="BC85" s="453" t="s">
        <v>1070</v>
      </c>
      <c r="BD85" s="439">
        <f t="shared" si="12"/>
        <v>1</v>
      </c>
      <c r="BE85" s="439">
        <f t="shared" si="13"/>
        <v>0</v>
      </c>
      <c r="BF85" s="440">
        <f t="shared" si="14"/>
        <v>46051</v>
      </c>
      <c r="BG85" s="439">
        <f t="shared" si="15"/>
        <v>0</v>
      </c>
      <c r="BH85" s="441">
        <f t="shared" si="16"/>
        <v>1</v>
      </c>
      <c r="BI85" s="442">
        <f t="shared" si="17"/>
        <v>0</v>
      </c>
      <c r="BJ85" s="443" t="s">
        <v>70</v>
      </c>
    </row>
    <row r="86" spans="1:62" s="444" customFormat="1" ht="12" customHeight="1">
      <c r="A86" s="423"/>
      <c r="B86" s="414"/>
      <c r="C86" s="414"/>
      <c r="D86" s="414"/>
      <c r="E86" s="414"/>
      <c r="F86" s="414"/>
      <c r="G86" s="414"/>
      <c r="H86" s="414"/>
      <c r="I86" s="447"/>
      <c r="J86" s="417">
        <v>46001</v>
      </c>
      <c r="K86" s="418">
        <v>46051</v>
      </c>
      <c r="L86" s="418"/>
      <c r="M86" s="419" t="s">
        <v>1171</v>
      </c>
      <c r="N86" s="448"/>
      <c r="O86" s="420">
        <f>INDEX([3]光真稼働日早見表!$M:$M,MATCH($P86,[3]光真稼働日早見表!$Q:$Q,0),1)</f>
        <v>46045</v>
      </c>
      <c r="P86" s="422">
        <v>46051</v>
      </c>
      <c r="Q86" s="449" t="s">
        <v>1064</v>
      </c>
      <c r="R86" s="424" t="s">
        <v>1065</v>
      </c>
      <c r="S86" s="428"/>
      <c r="T86" s="425"/>
      <c r="U86" s="426"/>
      <c r="V86" s="428"/>
      <c r="W86" s="426"/>
      <c r="X86" s="428"/>
      <c r="Y86" s="427"/>
      <c r="Z86" s="426"/>
      <c r="AA86" s="448"/>
      <c r="AB86" s="428"/>
      <c r="AC86" s="426"/>
      <c r="AD86" s="446"/>
      <c r="AE86" s="428"/>
      <c r="AF86" s="427"/>
      <c r="AG86" s="426"/>
      <c r="AH86" s="425"/>
      <c r="AI86" s="427"/>
      <c r="AJ86" s="427"/>
      <c r="AK86" s="426"/>
      <c r="AL86" s="428"/>
      <c r="AM86" s="427"/>
      <c r="AN86" s="427"/>
      <c r="AO86" s="426"/>
      <c r="AP86" s="428"/>
      <c r="AQ86" s="427"/>
      <c r="AR86" s="427"/>
      <c r="AS86" s="427"/>
      <c r="AT86" s="427"/>
      <c r="AU86" s="427"/>
      <c r="AV86" s="426"/>
      <c r="AW86" s="428"/>
      <c r="AX86" s="426"/>
      <c r="AY86" s="446"/>
      <c r="AZ86" s="450" t="s">
        <v>655</v>
      </c>
      <c r="BA86" s="451" t="s">
        <v>635</v>
      </c>
      <c r="BB86" s="452" t="s">
        <v>1173</v>
      </c>
      <c r="BC86" s="453" t="s">
        <v>1070</v>
      </c>
      <c r="BD86" s="439">
        <f t="shared" si="12"/>
        <v>1</v>
      </c>
      <c r="BE86" s="439">
        <f t="shared" si="13"/>
        <v>0</v>
      </c>
      <c r="BF86" s="440">
        <f t="shared" si="14"/>
        <v>46051</v>
      </c>
      <c r="BG86" s="439">
        <f t="shared" si="15"/>
        <v>0</v>
      </c>
      <c r="BH86" s="441">
        <f t="shared" si="16"/>
        <v>1</v>
      </c>
      <c r="BI86" s="442">
        <f t="shared" si="17"/>
        <v>0</v>
      </c>
      <c r="BJ86" s="443" t="s">
        <v>70</v>
      </c>
    </row>
    <row r="87" spans="1:62" s="444" customFormat="1" ht="12" customHeight="1">
      <c r="A87" s="423"/>
      <c r="B87" s="414"/>
      <c r="C87" s="414"/>
      <c r="D87" s="414"/>
      <c r="E87" s="414"/>
      <c r="F87" s="414"/>
      <c r="G87" s="414"/>
      <c r="H87" s="414"/>
      <c r="I87" s="447"/>
      <c r="J87" s="417">
        <v>46001</v>
      </c>
      <c r="K87" s="418">
        <v>46051</v>
      </c>
      <c r="L87" s="418"/>
      <c r="M87" s="419" t="s">
        <v>1171</v>
      </c>
      <c r="N87" s="448"/>
      <c r="O87" s="420">
        <f>INDEX([3]光真稼働日早見表!$M:$M,MATCH($P87,[3]光真稼働日早見表!$Q:$Q,0),1)</f>
        <v>46045</v>
      </c>
      <c r="P87" s="422">
        <v>46051</v>
      </c>
      <c r="Q87" s="449" t="s">
        <v>1064</v>
      </c>
      <c r="R87" s="424" t="s">
        <v>1065</v>
      </c>
      <c r="S87" s="428"/>
      <c r="T87" s="425"/>
      <c r="U87" s="426"/>
      <c r="V87" s="428"/>
      <c r="W87" s="426"/>
      <c r="X87" s="428"/>
      <c r="Y87" s="427"/>
      <c r="Z87" s="426"/>
      <c r="AA87" s="448"/>
      <c r="AB87" s="428"/>
      <c r="AC87" s="426"/>
      <c r="AD87" s="446"/>
      <c r="AE87" s="428"/>
      <c r="AF87" s="427"/>
      <c r="AG87" s="426"/>
      <c r="AH87" s="425"/>
      <c r="AI87" s="427"/>
      <c r="AJ87" s="427"/>
      <c r="AK87" s="426"/>
      <c r="AL87" s="428"/>
      <c r="AM87" s="427"/>
      <c r="AN87" s="427"/>
      <c r="AO87" s="426"/>
      <c r="AP87" s="428"/>
      <c r="AQ87" s="427"/>
      <c r="AR87" s="427"/>
      <c r="AS87" s="427"/>
      <c r="AT87" s="427"/>
      <c r="AU87" s="427"/>
      <c r="AV87" s="426"/>
      <c r="AW87" s="428"/>
      <c r="AX87" s="426"/>
      <c r="AY87" s="446"/>
      <c r="AZ87" s="450" t="s">
        <v>655</v>
      </c>
      <c r="BA87" s="451" t="s">
        <v>635</v>
      </c>
      <c r="BB87" s="452" t="s">
        <v>1174</v>
      </c>
      <c r="BC87" s="453" t="s">
        <v>1070</v>
      </c>
      <c r="BD87" s="439">
        <f t="shared" si="12"/>
        <v>1</v>
      </c>
      <c r="BE87" s="439">
        <f t="shared" si="13"/>
        <v>0</v>
      </c>
      <c r="BF87" s="440">
        <f t="shared" si="14"/>
        <v>46051</v>
      </c>
      <c r="BG87" s="439">
        <f t="shared" si="15"/>
        <v>0</v>
      </c>
      <c r="BH87" s="441">
        <f t="shared" si="16"/>
        <v>1</v>
      </c>
      <c r="BI87" s="442">
        <f t="shared" si="17"/>
        <v>0</v>
      </c>
      <c r="BJ87" s="443" t="s">
        <v>70</v>
      </c>
    </row>
    <row r="88" spans="1:62" s="459" customFormat="1" ht="12" customHeight="1">
      <c r="A88" s="413">
        <v>21370</v>
      </c>
      <c r="B88" s="414"/>
      <c r="C88" s="414"/>
      <c r="D88" s="414"/>
      <c r="E88" s="415">
        <v>8231</v>
      </c>
      <c r="F88" s="414"/>
      <c r="G88" s="414"/>
      <c r="H88" s="414"/>
      <c r="I88" s="416" t="s">
        <v>260</v>
      </c>
      <c r="J88" s="417">
        <v>46043</v>
      </c>
      <c r="K88" s="418">
        <v>46055</v>
      </c>
      <c r="L88" s="418"/>
      <c r="M88" s="419" t="s">
        <v>1058</v>
      </c>
      <c r="N88" s="417">
        <v>46051</v>
      </c>
      <c r="O88" s="420">
        <v>46045</v>
      </c>
      <c r="P88" s="422">
        <v>46055</v>
      </c>
      <c r="Q88" s="423"/>
      <c r="R88" s="424" t="s">
        <v>1058</v>
      </c>
      <c r="S88" s="424" t="s">
        <v>1058</v>
      </c>
      <c r="T88" s="455"/>
      <c r="U88" s="456"/>
      <c r="V88" s="424" t="s">
        <v>1058</v>
      </c>
      <c r="W88" s="456"/>
      <c r="X88" s="424" t="s">
        <v>1058</v>
      </c>
      <c r="Y88" s="457"/>
      <c r="Z88" s="456"/>
      <c r="AA88" s="421">
        <v>46050</v>
      </c>
      <c r="AB88" s="458"/>
      <c r="AC88" s="456"/>
      <c r="AD88" s="429" t="s">
        <v>1058</v>
      </c>
      <c r="AE88" s="430" t="s">
        <v>1058</v>
      </c>
      <c r="AF88" s="457"/>
      <c r="AG88" s="456"/>
      <c r="AH88" s="431" t="s">
        <v>1058</v>
      </c>
      <c r="AI88" s="457"/>
      <c r="AJ88" s="457"/>
      <c r="AK88" s="456"/>
      <c r="AL88" s="430" t="s">
        <v>1058</v>
      </c>
      <c r="AM88" s="457"/>
      <c r="AN88" s="457"/>
      <c r="AO88" s="456"/>
      <c r="AP88" s="458"/>
      <c r="AQ88" s="457"/>
      <c r="AR88" s="457"/>
      <c r="AS88" s="432" t="s">
        <v>1058</v>
      </c>
      <c r="AT88" s="457"/>
      <c r="AU88" s="457"/>
      <c r="AV88" s="456"/>
      <c r="AW88" s="433" t="s">
        <v>1058</v>
      </c>
      <c r="AX88" s="456"/>
      <c r="AY88" s="434" t="s">
        <v>1058</v>
      </c>
      <c r="AZ88" s="435" t="s">
        <v>332</v>
      </c>
      <c r="BA88" s="436" t="s">
        <v>259</v>
      </c>
      <c r="BB88" s="437"/>
      <c r="BC88" s="438" t="s">
        <v>260</v>
      </c>
      <c r="BD88" s="439">
        <v>11</v>
      </c>
      <c r="BE88" s="439" t="s">
        <v>260</v>
      </c>
      <c r="BF88" s="440">
        <v>46055</v>
      </c>
      <c r="BG88" s="439">
        <v>21370</v>
      </c>
      <c r="BH88" s="441">
        <v>4</v>
      </c>
      <c r="BI88" s="442">
        <v>4</v>
      </c>
      <c r="BJ88" s="443"/>
    </row>
    <row r="89" spans="1:62" s="459" customFormat="1" ht="12" customHeight="1">
      <c r="A89" s="413">
        <v>21371</v>
      </c>
      <c r="B89" s="414"/>
      <c r="C89" s="414"/>
      <c r="D89" s="414"/>
      <c r="E89" s="415">
        <v>8232</v>
      </c>
      <c r="F89" s="414"/>
      <c r="G89" s="414"/>
      <c r="H89" s="414"/>
      <c r="I89" s="416" t="s">
        <v>260</v>
      </c>
      <c r="J89" s="417">
        <v>46043</v>
      </c>
      <c r="K89" s="418">
        <v>46055</v>
      </c>
      <c r="L89" s="418"/>
      <c r="M89" s="419" t="s">
        <v>1058</v>
      </c>
      <c r="N89" s="417">
        <v>46052</v>
      </c>
      <c r="O89" s="420">
        <v>46048</v>
      </c>
      <c r="P89" s="422">
        <v>46055</v>
      </c>
      <c r="Q89" s="423"/>
      <c r="R89" s="424" t="s">
        <v>1058</v>
      </c>
      <c r="S89" s="424" t="s">
        <v>1058</v>
      </c>
      <c r="T89" s="455"/>
      <c r="U89" s="456"/>
      <c r="V89" s="424" t="s">
        <v>1058</v>
      </c>
      <c r="W89" s="456"/>
      <c r="X89" s="424" t="s">
        <v>1058</v>
      </c>
      <c r="Y89" s="457"/>
      <c r="Z89" s="456"/>
      <c r="AA89" s="421">
        <v>46050</v>
      </c>
      <c r="AB89" s="458"/>
      <c r="AC89" s="456"/>
      <c r="AD89" s="429" t="s">
        <v>1058</v>
      </c>
      <c r="AE89" s="430" t="s">
        <v>1058</v>
      </c>
      <c r="AF89" s="457"/>
      <c r="AG89" s="456"/>
      <c r="AH89" s="431" t="s">
        <v>1058</v>
      </c>
      <c r="AI89" s="457"/>
      <c r="AJ89" s="457"/>
      <c r="AK89" s="456"/>
      <c r="AL89" s="430" t="s">
        <v>1058</v>
      </c>
      <c r="AM89" s="457"/>
      <c r="AN89" s="457"/>
      <c r="AO89" s="456"/>
      <c r="AP89" s="458"/>
      <c r="AQ89" s="457"/>
      <c r="AR89" s="457"/>
      <c r="AS89" s="432" t="s">
        <v>1058</v>
      </c>
      <c r="AT89" s="457"/>
      <c r="AU89" s="457"/>
      <c r="AV89" s="456"/>
      <c r="AW89" s="433" t="s">
        <v>1058</v>
      </c>
      <c r="AX89" s="456"/>
      <c r="AY89" s="434" t="s">
        <v>1058</v>
      </c>
      <c r="AZ89" s="435" t="s">
        <v>331</v>
      </c>
      <c r="BA89" s="436" t="s">
        <v>259</v>
      </c>
      <c r="BB89" s="437"/>
      <c r="BC89" s="438" t="s">
        <v>260</v>
      </c>
      <c r="BD89" s="439">
        <v>11</v>
      </c>
      <c r="BE89" s="439" t="s">
        <v>260</v>
      </c>
      <c r="BF89" s="440">
        <v>46055</v>
      </c>
      <c r="BG89" s="439">
        <v>21371</v>
      </c>
      <c r="BH89" s="441">
        <v>4</v>
      </c>
      <c r="BI89" s="442">
        <v>4</v>
      </c>
      <c r="BJ89" s="443"/>
    </row>
    <row r="90" spans="1:62" s="459" customFormat="1" ht="12" customHeight="1">
      <c r="A90" s="423"/>
      <c r="B90" s="414"/>
      <c r="C90" s="414"/>
      <c r="D90" s="414"/>
      <c r="E90" s="414"/>
      <c r="F90" s="414"/>
      <c r="G90" s="414"/>
      <c r="H90" s="414"/>
      <c r="I90" s="447"/>
      <c r="J90" s="417">
        <v>46001</v>
      </c>
      <c r="K90" s="418">
        <v>46055</v>
      </c>
      <c r="L90" s="418"/>
      <c r="M90" s="460" t="s">
        <v>1175</v>
      </c>
      <c r="N90" s="448"/>
      <c r="O90" s="420">
        <v>46049</v>
      </c>
      <c r="P90" s="422">
        <v>46055</v>
      </c>
      <c r="Q90" s="449" t="s">
        <v>1064</v>
      </c>
      <c r="R90" s="428"/>
      <c r="S90" s="428"/>
      <c r="T90" s="425"/>
      <c r="U90" s="426"/>
      <c r="V90" s="424" t="s">
        <v>1065</v>
      </c>
      <c r="W90" s="426"/>
      <c r="X90" s="428"/>
      <c r="Y90" s="427"/>
      <c r="Z90" s="426"/>
      <c r="AA90" s="448"/>
      <c r="AB90" s="428"/>
      <c r="AC90" s="426"/>
      <c r="AD90" s="446"/>
      <c r="AE90" s="428"/>
      <c r="AF90" s="427"/>
      <c r="AG90" s="426"/>
      <c r="AH90" s="425"/>
      <c r="AI90" s="427"/>
      <c r="AJ90" s="427"/>
      <c r="AK90" s="426"/>
      <c r="AL90" s="428"/>
      <c r="AM90" s="427"/>
      <c r="AN90" s="427"/>
      <c r="AO90" s="426"/>
      <c r="AP90" s="428"/>
      <c r="AQ90" s="427"/>
      <c r="AR90" s="427"/>
      <c r="AS90" s="427"/>
      <c r="AT90" s="427"/>
      <c r="AU90" s="427"/>
      <c r="AV90" s="426"/>
      <c r="AW90" s="428"/>
      <c r="AX90" s="426"/>
      <c r="AY90" s="446"/>
      <c r="AZ90" s="450" t="s">
        <v>729</v>
      </c>
      <c r="BA90" s="451" t="s">
        <v>635</v>
      </c>
      <c r="BB90" s="452" t="s">
        <v>1176</v>
      </c>
      <c r="BC90" s="453" t="s">
        <v>1070</v>
      </c>
      <c r="BD90" s="439">
        <v>1</v>
      </c>
      <c r="BE90" s="439">
        <v>0</v>
      </c>
      <c r="BF90" s="440">
        <v>46055</v>
      </c>
      <c r="BG90" s="439">
        <v>0</v>
      </c>
      <c r="BH90" s="441">
        <v>1</v>
      </c>
      <c r="BI90" s="442">
        <v>0</v>
      </c>
      <c r="BJ90" s="443" t="s">
        <v>74</v>
      </c>
    </row>
    <row r="91" spans="1:62" s="459" customFormat="1" ht="12" customHeight="1">
      <c r="A91" s="423"/>
      <c r="B91" s="414"/>
      <c r="C91" s="414"/>
      <c r="D91" s="414"/>
      <c r="E91" s="414"/>
      <c r="F91" s="414"/>
      <c r="G91" s="414"/>
      <c r="H91" s="414"/>
      <c r="I91" s="447"/>
      <c r="J91" s="417">
        <v>46001</v>
      </c>
      <c r="K91" s="418">
        <v>46055</v>
      </c>
      <c r="L91" s="418"/>
      <c r="M91" s="460" t="s">
        <v>1177</v>
      </c>
      <c r="N91" s="448"/>
      <c r="O91" s="420">
        <v>46049</v>
      </c>
      <c r="P91" s="422">
        <v>46055</v>
      </c>
      <c r="Q91" s="449" t="s">
        <v>1064</v>
      </c>
      <c r="R91" s="428"/>
      <c r="S91" s="428"/>
      <c r="T91" s="425"/>
      <c r="U91" s="426"/>
      <c r="V91" s="424" t="s">
        <v>1065</v>
      </c>
      <c r="W91" s="426"/>
      <c r="X91" s="428"/>
      <c r="Y91" s="427"/>
      <c r="Z91" s="426"/>
      <c r="AA91" s="448"/>
      <c r="AB91" s="428"/>
      <c r="AC91" s="426"/>
      <c r="AD91" s="446"/>
      <c r="AE91" s="428"/>
      <c r="AF91" s="427"/>
      <c r="AG91" s="426"/>
      <c r="AH91" s="425"/>
      <c r="AI91" s="427"/>
      <c r="AJ91" s="427"/>
      <c r="AK91" s="426"/>
      <c r="AL91" s="428"/>
      <c r="AM91" s="427"/>
      <c r="AN91" s="427"/>
      <c r="AO91" s="426"/>
      <c r="AP91" s="428"/>
      <c r="AQ91" s="427"/>
      <c r="AR91" s="427"/>
      <c r="AS91" s="427"/>
      <c r="AT91" s="427"/>
      <c r="AU91" s="427"/>
      <c r="AV91" s="426"/>
      <c r="AW91" s="428"/>
      <c r="AX91" s="426"/>
      <c r="AY91" s="446"/>
      <c r="AZ91" s="450" t="s">
        <v>729</v>
      </c>
      <c r="BA91" s="451" t="s">
        <v>635</v>
      </c>
      <c r="BB91" s="452" t="s">
        <v>1178</v>
      </c>
      <c r="BC91" s="453" t="s">
        <v>1070</v>
      </c>
      <c r="BD91" s="439">
        <v>1</v>
      </c>
      <c r="BE91" s="439">
        <v>0</v>
      </c>
      <c r="BF91" s="440">
        <v>46055</v>
      </c>
      <c r="BG91" s="439">
        <v>0</v>
      </c>
      <c r="BH91" s="441">
        <v>1</v>
      </c>
      <c r="BI91" s="442">
        <v>0</v>
      </c>
      <c r="BJ91" s="443" t="s">
        <v>74</v>
      </c>
    </row>
    <row r="92" spans="1:62" s="459" customFormat="1" ht="12" customHeight="1">
      <c r="A92" s="423"/>
      <c r="B92" s="414"/>
      <c r="C92" s="414"/>
      <c r="D92" s="414"/>
      <c r="E92" s="414"/>
      <c r="F92" s="414"/>
      <c r="G92" s="414"/>
      <c r="H92" s="414"/>
      <c r="I92" s="447"/>
      <c r="J92" s="417">
        <v>46001</v>
      </c>
      <c r="K92" s="418">
        <v>46055</v>
      </c>
      <c r="L92" s="418"/>
      <c r="M92" s="460" t="s">
        <v>1177</v>
      </c>
      <c r="N92" s="448"/>
      <c r="O92" s="420">
        <v>46049</v>
      </c>
      <c r="P92" s="422">
        <v>46055</v>
      </c>
      <c r="Q92" s="449" t="s">
        <v>1064</v>
      </c>
      <c r="R92" s="428"/>
      <c r="S92" s="428"/>
      <c r="T92" s="425"/>
      <c r="U92" s="426"/>
      <c r="V92" s="424" t="s">
        <v>1065</v>
      </c>
      <c r="W92" s="426"/>
      <c r="X92" s="428"/>
      <c r="Y92" s="427"/>
      <c r="Z92" s="426"/>
      <c r="AA92" s="448"/>
      <c r="AB92" s="428"/>
      <c r="AC92" s="426"/>
      <c r="AD92" s="446"/>
      <c r="AE92" s="428"/>
      <c r="AF92" s="427"/>
      <c r="AG92" s="426"/>
      <c r="AH92" s="425"/>
      <c r="AI92" s="427"/>
      <c r="AJ92" s="427"/>
      <c r="AK92" s="426"/>
      <c r="AL92" s="428"/>
      <c r="AM92" s="427"/>
      <c r="AN92" s="427"/>
      <c r="AO92" s="426"/>
      <c r="AP92" s="428"/>
      <c r="AQ92" s="427"/>
      <c r="AR92" s="427"/>
      <c r="AS92" s="427"/>
      <c r="AT92" s="427"/>
      <c r="AU92" s="427"/>
      <c r="AV92" s="426"/>
      <c r="AW92" s="428"/>
      <c r="AX92" s="426"/>
      <c r="AY92" s="446"/>
      <c r="AZ92" s="450" t="s">
        <v>729</v>
      </c>
      <c r="BA92" s="451" t="s">
        <v>635</v>
      </c>
      <c r="BB92" s="452" t="s">
        <v>1179</v>
      </c>
      <c r="BC92" s="453" t="s">
        <v>1070</v>
      </c>
      <c r="BD92" s="439">
        <v>1</v>
      </c>
      <c r="BE92" s="439">
        <v>0</v>
      </c>
      <c r="BF92" s="440">
        <v>46055</v>
      </c>
      <c r="BG92" s="439">
        <v>0</v>
      </c>
      <c r="BH92" s="441">
        <v>1</v>
      </c>
      <c r="BI92" s="442">
        <v>0</v>
      </c>
      <c r="BJ92" s="443" t="s">
        <v>74</v>
      </c>
    </row>
    <row r="93" spans="1:62" s="459" customFormat="1" ht="12" customHeight="1">
      <c r="A93" s="423"/>
      <c r="B93" s="414"/>
      <c r="C93" s="414"/>
      <c r="D93" s="414"/>
      <c r="E93" s="414"/>
      <c r="F93" s="414"/>
      <c r="G93" s="414"/>
      <c r="H93" s="414"/>
      <c r="I93" s="447"/>
      <c r="J93" s="417">
        <v>46001</v>
      </c>
      <c r="K93" s="418">
        <v>46055</v>
      </c>
      <c r="L93" s="418"/>
      <c r="M93" s="460" t="s">
        <v>1180</v>
      </c>
      <c r="N93" s="448"/>
      <c r="O93" s="420">
        <v>46049</v>
      </c>
      <c r="P93" s="422">
        <v>46055</v>
      </c>
      <c r="Q93" s="449" t="s">
        <v>1064</v>
      </c>
      <c r="R93" s="428"/>
      <c r="S93" s="428"/>
      <c r="T93" s="425"/>
      <c r="U93" s="426"/>
      <c r="V93" s="424" t="s">
        <v>1099</v>
      </c>
      <c r="W93" s="426"/>
      <c r="X93" s="428"/>
      <c r="Y93" s="427"/>
      <c r="Z93" s="426"/>
      <c r="AA93" s="448"/>
      <c r="AB93" s="428"/>
      <c r="AC93" s="426"/>
      <c r="AD93" s="446"/>
      <c r="AE93" s="428"/>
      <c r="AF93" s="427"/>
      <c r="AG93" s="426"/>
      <c r="AH93" s="425"/>
      <c r="AI93" s="427"/>
      <c r="AJ93" s="427"/>
      <c r="AK93" s="426"/>
      <c r="AL93" s="428"/>
      <c r="AM93" s="427"/>
      <c r="AN93" s="427"/>
      <c r="AO93" s="426"/>
      <c r="AP93" s="428"/>
      <c r="AQ93" s="427"/>
      <c r="AR93" s="427"/>
      <c r="AS93" s="427"/>
      <c r="AT93" s="427"/>
      <c r="AU93" s="427"/>
      <c r="AV93" s="426"/>
      <c r="AW93" s="428"/>
      <c r="AX93" s="426"/>
      <c r="AY93" s="446"/>
      <c r="AZ93" s="450" t="s">
        <v>729</v>
      </c>
      <c r="BA93" s="451" t="s">
        <v>635</v>
      </c>
      <c r="BB93" s="452" t="s">
        <v>1181</v>
      </c>
      <c r="BC93" s="453" t="s">
        <v>1070</v>
      </c>
      <c r="BD93" s="439">
        <v>1</v>
      </c>
      <c r="BE93" s="439">
        <v>0</v>
      </c>
      <c r="BF93" s="440">
        <v>46055</v>
      </c>
      <c r="BG93" s="439">
        <v>0</v>
      </c>
      <c r="BH93" s="441">
        <v>1</v>
      </c>
      <c r="BI93" s="442">
        <v>0</v>
      </c>
      <c r="BJ93" s="443" t="s">
        <v>74</v>
      </c>
    </row>
    <row r="94" spans="1:62" s="459" customFormat="1" ht="12" customHeight="1">
      <c r="A94" s="413">
        <v>21372</v>
      </c>
      <c r="B94" s="414"/>
      <c r="C94" s="414"/>
      <c r="D94" s="414"/>
      <c r="E94" s="415">
        <v>8233</v>
      </c>
      <c r="F94" s="414"/>
      <c r="G94" s="414"/>
      <c r="H94" s="414"/>
      <c r="I94" s="416" t="s">
        <v>190</v>
      </c>
      <c r="J94" s="417">
        <v>46044</v>
      </c>
      <c r="K94" s="418">
        <v>46056</v>
      </c>
      <c r="L94" s="418"/>
      <c r="M94" s="419" t="s">
        <v>1058</v>
      </c>
      <c r="N94" s="417">
        <v>46055</v>
      </c>
      <c r="O94" s="420">
        <v>46049</v>
      </c>
      <c r="P94" s="422">
        <v>46056</v>
      </c>
      <c r="Q94" s="423"/>
      <c r="R94" s="424" t="s">
        <v>1058</v>
      </c>
      <c r="S94" s="424" t="s">
        <v>1058</v>
      </c>
      <c r="T94" s="455"/>
      <c r="U94" s="456"/>
      <c r="V94" s="424" t="s">
        <v>1058</v>
      </c>
      <c r="W94" s="456"/>
      <c r="X94" s="424" t="s">
        <v>1058</v>
      </c>
      <c r="Y94" s="457"/>
      <c r="Z94" s="456"/>
      <c r="AA94" s="421">
        <v>46051</v>
      </c>
      <c r="AB94" s="458"/>
      <c r="AC94" s="445" t="s">
        <v>1058</v>
      </c>
      <c r="AD94" s="461"/>
      <c r="AE94" s="430" t="s">
        <v>1058</v>
      </c>
      <c r="AF94" s="457"/>
      <c r="AG94" s="456"/>
      <c r="AH94" s="431" t="s">
        <v>1058</v>
      </c>
      <c r="AI94" s="457"/>
      <c r="AJ94" s="457"/>
      <c r="AK94" s="456"/>
      <c r="AL94" s="430" t="s">
        <v>1058</v>
      </c>
      <c r="AM94" s="457"/>
      <c r="AN94" s="457"/>
      <c r="AO94" s="456"/>
      <c r="AP94" s="458"/>
      <c r="AQ94" s="457"/>
      <c r="AR94" s="457"/>
      <c r="AS94" s="432" t="s">
        <v>1058</v>
      </c>
      <c r="AT94" s="457"/>
      <c r="AU94" s="457"/>
      <c r="AV94" s="456"/>
      <c r="AW94" s="433" t="s">
        <v>1058</v>
      </c>
      <c r="AX94" s="456"/>
      <c r="AY94" s="434" t="s">
        <v>1058</v>
      </c>
      <c r="AZ94" s="435" t="s">
        <v>333</v>
      </c>
      <c r="BA94" s="436" t="s">
        <v>164</v>
      </c>
      <c r="BB94" s="437" t="s">
        <v>334</v>
      </c>
      <c r="BC94" s="438"/>
      <c r="BD94" s="439">
        <v>11</v>
      </c>
      <c r="BE94" s="439" t="s">
        <v>190</v>
      </c>
      <c r="BF94" s="440">
        <v>46056</v>
      </c>
      <c r="BG94" s="439">
        <v>21372</v>
      </c>
      <c r="BH94" s="441">
        <v>4</v>
      </c>
      <c r="BI94" s="442">
        <v>4</v>
      </c>
      <c r="BJ94" s="443"/>
    </row>
    <row r="95" spans="1:62" s="459" customFormat="1" ht="12" customHeight="1">
      <c r="A95" s="423"/>
      <c r="B95" s="414"/>
      <c r="C95" s="414"/>
      <c r="D95" s="414"/>
      <c r="E95" s="414"/>
      <c r="F95" s="414"/>
      <c r="G95" s="414"/>
      <c r="H95" s="414"/>
      <c r="I95" s="447"/>
      <c r="J95" s="417">
        <v>46001</v>
      </c>
      <c r="K95" s="418">
        <v>46056</v>
      </c>
      <c r="L95" s="418"/>
      <c r="M95" s="460" t="s">
        <v>1182</v>
      </c>
      <c r="N95" s="448"/>
      <c r="O95" s="420">
        <v>46050</v>
      </c>
      <c r="P95" s="422">
        <v>46056</v>
      </c>
      <c r="Q95" s="449" t="s">
        <v>1064</v>
      </c>
      <c r="R95" s="428"/>
      <c r="S95" s="428"/>
      <c r="T95" s="425"/>
      <c r="U95" s="426"/>
      <c r="V95" s="424" t="s">
        <v>1065</v>
      </c>
      <c r="W95" s="426"/>
      <c r="X95" s="428"/>
      <c r="Y95" s="427"/>
      <c r="Z95" s="426"/>
      <c r="AA95" s="448"/>
      <c r="AB95" s="428"/>
      <c r="AC95" s="426"/>
      <c r="AD95" s="446"/>
      <c r="AE95" s="428"/>
      <c r="AF95" s="427"/>
      <c r="AG95" s="426"/>
      <c r="AH95" s="425"/>
      <c r="AI95" s="427"/>
      <c r="AJ95" s="427"/>
      <c r="AK95" s="426"/>
      <c r="AL95" s="428"/>
      <c r="AM95" s="427"/>
      <c r="AN95" s="427"/>
      <c r="AO95" s="426"/>
      <c r="AP95" s="428"/>
      <c r="AQ95" s="427"/>
      <c r="AR95" s="427"/>
      <c r="AS95" s="427"/>
      <c r="AT95" s="427"/>
      <c r="AU95" s="427"/>
      <c r="AV95" s="426"/>
      <c r="AW95" s="428"/>
      <c r="AX95" s="426"/>
      <c r="AY95" s="446"/>
      <c r="AZ95" s="450" t="s">
        <v>731</v>
      </c>
      <c r="BA95" s="451" t="s">
        <v>635</v>
      </c>
      <c r="BB95" s="452" t="s">
        <v>1183</v>
      </c>
      <c r="BC95" s="453" t="s">
        <v>1070</v>
      </c>
      <c r="BD95" s="439">
        <v>1</v>
      </c>
      <c r="BE95" s="439">
        <v>0</v>
      </c>
      <c r="BF95" s="440">
        <v>46056</v>
      </c>
      <c r="BG95" s="439">
        <v>0</v>
      </c>
      <c r="BH95" s="441">
        <v>1</v>
      </c>
      <c r="BI95" s="442">
        <v>0</v>
      </c>
      <c r="BJ95" s="443" t="s">
        <v>74</v>
      </c>
    </row>
    <row r="96" spans="1:62" s="459" customFormat="1" ht="12" customHeight="1">
      <c r="A96" s="423"/>
      <c r="B96" s="414"/>
      <c r="C96" s="414"/>
      <c r="D96" s="414"/>
      <c r="E96" s="414"/>
      <c r="F96" s="414"/>
      <c r="G96" s="414"/>
      <c r="H96" s="414"/>
      <c r="I96" s="447"/>
      <c r="J96" s="417">
        <v>46001</v>
      </c>
      <c r="K96" s="418">
        <v>46056</v>
      </c>
      <c r="L96" s="418"/>
      <c r="M96" s="460" t="s">
        <v>1184</v>
      </c>
      <c r="N96" s="448"/>
      <c r="O96" s="420">
        <v>46050</v>
      </c>
      <c r="P96" s="422">
        <v>46056</v>
      </c>
      <c r="Q96" s="449" t="s">
        <v>1064</v>
      </c>
      <c r="R96" s="428"/>
      <c r="S96" s="428"/>
      <c r="T96" s="425"/>
      <c r="U96" s="426"/>
      <c r="V96" s="424" t="s">
        <v>1065</v>
      </c>
      <c r="W96" s="426"/>
      <c r="X96" s="428"/>
      <c r="Y96" s="427"/>
      <c r="Z96" s="426"/>
      <c r="AA96" s="448"/>
      <c r="AB96" s="428"/>
      <c r="AC96" s="426"/>
      <c r="AD96" s="446"/>
      <c r="AE96" s="428"/>
      <c r="AF96" s="427"/>
      <c r="AG96" s="426"/>
      <c r="AH96" s="425"/>
      <c r="AI96" s="427"/>
      <c r="AJ96" s="427"/>
      <c r="AK96" s="426"/>
      <c r="AL96" s="428"/>
      <c r="AM96" s="427"/>
      <c r="AN96" s="427"/>
      <c r="AO96" s="426"/>
      <c r="AP96" s="428"/>
      <c r="AQ96" s="427"/>
      <c r="AR96" s="427"/>
      <c r="AS96" s="427"/>
      <c r="AT96" s="427"/>
      <c r="AU96" s="427"/>
      <c r="AV96" s="426"/>
      <c r="AW96" s="428"/>
      <c r="AX96" s="426"/>
      <c r="AY96" s="446"/>
      <c r="AZ96" s="450" t="s">
        <v>731</v>
      </c>
      <c r="BA96" s="451" t="s">
        <v>635</v>
      </c>
      <c r="BB96" s="452" t="s">
        <v>1185</v>
      </c>
      <c r="BC96" s="453" t="s">
        <v>1070</v>
      </c>
      <c r="BD96" s="439">
        <v>1</v>
      </c>
      <c r="BE96" s="439">
        <v>0</v>
      </c>
      <c r="BF96" s="440">
        <v>46056</v>
      </c>
      <c r="BG96" s="439">
        <v>0</v>
      </c>
      <c r="BH96" s="441">
        <v>1</v>
      </c>
      <c r="BI96" s="442">
        <v>0</v>
      </c>
      <c r="BJ96" s="443" t="s">
        <v>74</v>
      </c>
    </row>
    <row r="97" spans="1:62" s="459" customFormat="1" ht="12" customHeight="1">
      <c r="A97" s="423"/>
      <c r="B97" s="414"/>
      <c r="C97" s="414"/>
      <c r="D97" s="414"/>
      <c r="E97" s="414"/>
      <c r="F97" s="414"/>
      <c r="G97" s="414"/>
      <c r="H97" s="414"/>
      <c r="I97" s="447"/>
      <c r="J97" s="417">
        <v>46001</v>
      </c>
      <c r="K97" s="418">
        <v>46056</v>
      </c>
      <c r="L97" s="418"/>
      <c r="M97" s="460" t="s">
        <v>1182</v>
      </c>
      <c r="N97" s="448"/>
      <c r="O97" s="420">
        <v>46050</v>
      </c>
      <c r="P97" s="422">
        <v>46056</v>
      </c>
      <c r="Q97" s="449" t="s">
        <v>1064</v>
      </c>
      <c r="R97" s="428"/>
      <c r="S97" s="428"/>
      <c r="T97" s="425"/>
      <c r="U97" s="426"/>
      <c r="V97" s="424" t="s">
        <v>1065</v>
      </c>
      <c r="W97" s="426"/>
      <c r="X97" s="428"/>
      <c r="Y97" s="427"/>
      <c r="Z97" s="426"/>
      <c r="AA97" s="448"/>
      <c r="AB97" s="428"/>
      <c r="AC97" s="426"/>
      <c r="AD97" s="446"/>
      <c r="AE97" s="428"/>
      <c r="AF97" s="427"/>
      <c r="AG97" s="426"/>
      <c r="AH97" s="425"/>
      <c r="AI97" s="427"/>
      <c r="AJ97" s="427"/>
      <c r="AK97" s="426"/>
      <c r="AL97" s="428"/>
      <c r="AM97" s="427"/>
      <c r="AN97" s="427"/>
      <c r="AO97" s="426"/>
      <c r="AP97" s="428"/>
      <c r="AQ97" s="427"/>
      <c r="AR97" s="427"/>
      <c r="AS97" s="427"/>
      <c r="AT97" s="427"/>
      <c r="AU97" s="427"/>
      <c r="AV97" s="426"/>
      <c r="AW97" s="428"/>
      <c r="AX97" s="426"/>
      <c r="AY97" s="446"/>
      <c r="AZ97" s="450" t="s">
        <v>731</v>
      </c>
      <c r="BA97" s="451" t="s">
        <v>635</v>
      </c>
      <c r="BB97" s="452" t="s">
        <v>1186</v>
      </c>
      <c r="BC97" s="453" t="s">
        <v>1070</v>
      </c>
      <c r="BD97" s="439">
        <v>1</v>
      </c>
      <c r="BE97" s="439">
        <v>0</v>
      </c>
      <c r="BF97" s="440">
        <v>46056</v>
      </c>
      <c r="BG97" s="439">
        <v>0</v>
      </c>
      <c r="BH97" s="441">
        <v>1</v>
      </c>
      <c r="BI97" s="442">
        <v>0</v>
      </c>
      <c r="BJ97" s="443" t="s">
        <v>74</v>
      </c>
    </row>
    <row r="98" spans="1:62" s="459" customFormat="1" ht="12" customHeight="1">
      <c r="A98" s="423"/>
      <c r="B98" s="414"/>
      <c r="C98" s="414"/>
      <c r="D98" s="414"/>
      <c r="E98" s="414"/>
      <c r="F98" s="414"/>
      <c r="G98" s="414"/>
      <c r="H98" s="414"/>
      <c r="I98" s="447"/>
      <c r="J98" s="417">
        <v>46001</v>
      </c>
      <c r="K98" s="418">
        <v>46056</v>
      </c>
      <c r="L98" s="418"/>
      <c r="M98" s="460" t="s">
        <v>1184</v>
      </c>
      <c r="N98" s="448"/>
      <c r="O98" s="420">
        <v>46050</v>
      </c>
      <c r="P98" s="422">
        <v>46056</v>
      </c>
      <c r="Q98" s="449" t="s">
        <v>1064</v>
      </c>
      <c r="R98" s="428"/>
      <c r="S98" s="428"/>
      <c r="T98" s="425"/>
      <c r="U98" s="426"/>
      <c r="V98" s="424" t="s">
        <v>1065</v>
      </c>
      <c r="W98" s="426"/>
      <c r="X98" s="428"/>
      <c r="Y98" s="427"/>
      <c r="Z98" s="426"/>
      <c r="AA98" s="448"/>
      <c r="AB98" s="428"/>
      <c r="AC98" s="426"/>
      <c r="AD98" s="446"/>
      <c r="AE98" s="428"/>
      <c r="AF98" s="427"/>
      <c r="AG98" s="426"/>
      <c r="AH98" s="425"/>
      <c r="AI98" s="427"/>
      <c r="AJ98" s="427"/>
      <c r="AK98" s="426"/>
      <c r="AL98" s="428"/>
      <c r="AM98" s="427"/>
      <c r="AN98" s="427"/>
      <c r="AO98" s="426"/>
      <c r="AP98" s="428"/>
      <c r="AQ98" s="427"/>
      <c r="AR98" s="427"/>
      <c r="AS98" s="427"/>
      <c r="AT98" s="427"/>
      <c r="AU98" s="427"/>
      <c r="AV98" s="426"/>
      <c r="AW98" s="428"/>
      <c r="AX98" s="426"/>
      <c r="AY98" s="446"/>
      <c r="AZ98" s="450" t="s">
        <v>731</v>
      </c>
      <c r="BA98" s="451" t="s">
        <v>635</v>
      </c>
      <c r="BB98" s="452" t="s">
        <v>1187</v>
      </c>
      <c r="BC98" s="453" t="s">
        <v>1070</v>
      </c>
      <c r="BD98" s="439">
        <v>1</v>
      </c>
      <c r="BE98" s="439">
        <v>0</v>
      </c>
      <c r="BF98" s="440">
        <v>46056</v>
      </c>
      <c r="BG98" s="439">
        <v>0</v>
      </c>
      <c r="BH98" s="441">
        <v>1</v>
      </c>
      <c r="BI98" s="442">
        <v>0</v>
      </c>
      <c r="BJ98" s="443" t="s">
        <v>74</v>
      </c>
    </row>
    <row r="99" spans="1:62" s="459" customFormat="1" ht="12" customHeight="1">
      <c r="A99" s="423"/>
      <c r="B99" s="414"/>
      <c r="C99" s="414"/>
      <c r="D99" s="414"/>
      <c r="E99" s="414"/>
      <c r="F99" s="414"/>
      <c r="G99" s="414"/>
      <c r="H99" s="414"/>
      <c r="I99" s="447"/>
      <c r="J99" s="417">
        <v>46001</v>
      </c>
      <c r="K99" s="418">
        <v>46056</v>
      </c>
      <c r="L99" s="418"/>
      <c r="M99" s="460" t="s">
        <v>1184</v>
      </c>
      <c r="N99" s="448"/>
      <c r="O99" s="420">
        <v>46050</v>
      </c>
      <c r="P99" s="422">
        <v>46056</v>
      </c>
      <c r="Q99" s="449" t="s">
        <v>1064</v>
      </c>
      <c r="R99" s="428"/>
      <c r="S99" s="428"/>
      <c r="T99" s="425"/>
      <c r="U99" s="426"/>
      <c r="V99" s="424" t="s">
        <v>1099</v>
      </c>
      <c r="W99" s="426"/>
      <c r="X99" s="428"/>
      <c r="Y99" s="427"/>
      <c r="Z99" s="426"/>
      <c r="AA99" s="448"/>
      <c r="AB99" s="428"/>
      <c r="AC99" s="426"/>
      <c r="AD99" s="446"/>
      <c r="AE99" s="428"/>
      <c r="AF99" s="427"/>
      <c r="AG99" s="426"/>
      <c r="AH99" s="425"/>
      <c r="AI99" s="427"/>
      <c r="AJ99" s="427"/>
      <c r="AK99" s="426"/>
      <c r="AL99" s="428"/>
      <c r="AM99" s="427"/>
      <c r="AN99" s="427"/>
      <c r="AO99" s="426"/>
      <c r="AP99" s="428"/>
      <c r="AQ99" s="427"/>
      <c r="AR99" s="427"/>
      <c r="AS99" s="427"/>
      <c r="AT99" s="427"/>
      <c r="AU99" s="427"/>
      <c r="AV99" s="426"/>
      <c r="AW99" s="428"/>
      <c r="AX99" s="426"/>
      <c r="AY99" s="446"/>
      <c r="AZ99" s="450" t="s">
        <v>731</v>
      </c>
      <c r="BA99" s="451" t="s">
        <v>635</v>
      </c>
      <c r="BB99" s="452" t="s">
        <v>1188</v>
      </c>
      <c r="BC99" s="453" t="s">
        <v>1070</v>
      </c>
      <c r="BD99" s="439">
        <v>1</v>
      </c>
      <c r="BE99" s="439">
        <v>0</v>
      </c>
      <c r="BF99" s="440">
        <v>46056</v>
      </c>
      <c r="BG99" s="439">
        <v>0</v>
      </c>
      <c r="BH99" s="441">
        <v>1</v>
      </c>
      <c r="BI99" s="442">
        <v>0</v>
      </c>
      <c r="BJ99" s="443" t="s">
        <v>74</v>
      </c>
    </row>
    <row r="100" spans="1:62" s="459" customFormat="1" ht="12" customHeight="1">
      <c r="A100" s="423"/>
      <c r="B100" s="414"/>
      <c r="C100" s="414"/>
      <c r="D100" s="414"/>
      <c r="E100" s="414"/>
      <c r="F100" s="414"/>
      <c r="G100" s="414"/>
      <c r="H100" s="414"/>
      <c r="I100" s="447"/>
      <c r="J100" s="417">
        <v>46001</v>
      </c>
      <c r="K100" s="418">
        <v>46057</v>
      </c>
      <c r="L100" s="418"/>
      <c r="M100" s="460" t="s">
        <v>1189</v>
      </c>
      <c r="N100" s="448"/>
      <c r="O100" s="420">
        <v>46051</v>
      </c>
      <c r="P100" s="422">
        <v>46057</v>
      </c>
      <c r="Q100" s="449" t="s">
        <v>1064</v>
      </c>
      <c r="R100" s="428"/>
      <c r="S100" s="428"/>
      <c r="T100" s="425"/>
      <c r="U100" s="426"/>
      <c r="V100" s="424" t="s">
        <v>1099</v>
      </c>
      <c r="W100" s="426"/>
      <c r="X100" s="428"/>
      <c r="Y100" s="427"/>
      <c r="Z100" s="426"/>
      <c r="AA100" s="448"/>
      <c r="AB100" s="428"/>
      <c r="AC100" s="426"/>
      <c r="AD100" s="446"/>
      <c r="AE100" s="428"/>
      <c r="AF100" s="427"/>
      <c r="AG100" s="426"/>
      <c r="AH100" s="425"/>
      <c r="AI100" s="427"/>
      <c r="AJ100" s="427"/>
      <c r="AK100" s="426"/>
      <c r="AL100" s="428"/>
      <c r="AM100" s="427"/>
      <c r="AN100" s="427"/>
      <c r="AO100" s="426"/>
      <c r="AP100" s="428"/>
      <c r="AQ100" s="427"/>
      <c r="AR100" s="427"/>
      <c r="AS100" s="427"/>
      <c r="AT100" s="427"/>
      <c r="AU100" s="427"/>
      <c r="AV100" s="426"/>
      <c r="AW100" s="428"/>
      <c r="AX100" s="426"/>
      <c r="AY100" s="446"/>
      <c r="AZ100" s="450" t="s">
        <v>733</v>
      </c>
      <c r="BA100" s="451" t="s">
        <v>635</v>
      </c>
      <c r="BB100" s="452" t="s">
        <v>1190</v>
      </c>
      <c r="BC100" s="453" t="s">
        <v>1070</v>
      </c>
      <c r="BD100" s="439">
        <v>1</v>
      </c>
      <c r="BE100" s="439">
        <v>0</v>
      </c>
      <c r="BF100" s="440">
        <v>46057</v>
      </c>
      <c r="BG100" s="439">
        <v>0</v>
      </c>
      <c r="BH100" s="441">
        <v>1</v>
      </c>
      <c r="BI100" s="442">
        <v>0</v>
      </c>
      <c r="BJ100" s="443" t="s">
        <v>74</v>
      </c>
    </row>
    <row r="101" spans="1:62" s="459" customFormat="1" ht="12" customHeight="1">
      <c r="A101" s="423"/>
      <c r="B101" s="414"/>
      <c r="C101" s="414"/>
      <c r="D101" s="414"/>
      <c r="E101" s="414"/>
      <c r="F101" s="414"/>
      <c r="G101" s="414"/>
      <c r="H101" s="414"/>
      <c r="I101" s="447"/>
      <c r="J101" s="417">
        <v>46001</v>
      </c>
      <c r="K101" s="418">
        <v>46057</v>
      </c>
      <c r="L101" s="418"/>
      <c r="M101" s="460" t="s">
        <v>1189</v>
      </c>
      <c r="N101" s="448"/>
      <c r="O101" s="420">
        <v>46051</v>
      </c>
      <c r="P101" s="422">
        <v>46057</v>
      </c>
      <c r="Q101" s="449" t="s">
        <v>1064</v>
      </c>
      <c r="R101" s="428"/>
      <c r="S101" s="428"/>
      <c r="T101" s="425"/>
      <c r="U101" s="426"/>
      <c r="V101" s="424" t="s">
        <v>1065</v>
      </c>
      <c r="W101" s="426"/>
      <c r="X101" s="428"/>
      <c r="Y101" s="427"/>
      <c r="Z101" s="426"/>
      <c r="AA101" s="448"/>
      <c r="AB101" s="428"/>
      <c r="AC101" s="426"/>
      <c r="AD101" s="446"/>
      <c r="AE101" s="428"/>
      <c r="AF101" s="427"/>
      <c r="AG101" s="426"/>
      <c r="AH101" s="425"/>
      <c r="AI101" s="427"/>
      <c r="AJ101" s="427"/>
      <c r="AK101" s="426"/>
      <c r="AL101" s="428"/>
      <c r="AM101" s="427"/>
      <c r="AN101" s="427"/>
      <c r="AO101" s="426"/>
      <c r="AP101" s="428"/>
      <c r="AQ101" s="427"/>
      <c r="AR101" s="427"/>
      <c r="AS101" s="427"/>
      <c r="AT101" s="427"/>
      <c r="AU101" s="427"/>
      <c r="AV101" s="426"/>
      <c r="AW101" s="428"/>
      <c r="AX101" s="426"/>
      <c r="AY101" s="446"/>
      <c r="AZ101" s="450" t="s">
        <v>733</v>
      </c>
      <c r="BA101" s="451" t="s">
        <v>635</v>
      </c>
      <c r="BB101" s="452" t="s">
        <v>1191</v>
      </c>
      <c r="BC101" s="453" t="s">
        <v>1070</v>
      </c>
      <c r="BD101" s="439">
        <v>1</v>
      </c>
      <c r="BE101" s="439">
        <v>0</v>
      </c>
      <c r="BF101" s="440">
        <v>46057</v>
      </c>
      <c r="BG101" s="439">
        <v>0</v>
      </c>
      <c r="BH101" s="441">
        <v>1</v>
      </c>
      <c r="BI101" s="442">
        <v>0</v>
      </c>
      <c r="BJ101" s="443" t="s">
        <v>74</v>
      </c>
    </row>
    <row r="102" spans="1:62" s="459" customFormat="1" ht="12" customHeight="1">
      <c r="A102" s="423"/>
      <c r="B102" s="414"/>
      <c r="C102" s="414"/>
      <c r="D102" s="414"/>
      <c r="E102" s="414"/>
      <c r="F102" s="414"/>
      <c r="G102" s="414"/>
      <c r="H102" s="414"/>
      <c r="I102" s="447"/>
      <c r="J102" s="417">
        <v>46001</v>
      </c>
      <c r="K102" s="418">
        <v>46057</v>
      </c>
      <c r="L102" s="418"/>
      <c r="M102" s="460" t="s">
        <v>1189</v>
      </c>
      <c r="N102" s="448"/>
      <c r="O102" s="420">
        <v>46051</v>
      </c>
      <c r="P102" s="422">
        <v>46057</v>
      </c>
      <c r="Q102" s="449" t="s">
        <v>1064</v>
      </c>
      <c r="R102" s="428"/>
      <c r="S102" s="428"/>
      <c r="T102" s="425"/>
      <c r="U102" s="426"/>
      <c r="V102" s="424" t="s">
        <v>1099</v>
      </c>
      <c r="W102" s="426"/>
      <c r="X102" s="428"/>
      <c r="Y102" s="427"/>
      <c r="Z102" s="426"/>
      <c r="AA102" s="448"/>
      <c r="AB102" s="428"/>
      <c r="AC102" s="426"/>
      <c r="AD102" s="446"/>
      <c r="AE102" s="428"/>
      <c r="AF102" s="427"/>
      <c r="AG102" s="426"/>
      <c r="AH102" s="425"/>
      <c r="AI102" s="427"/>
      <c r="AJ102" s="427"/>
      <c r="AK102" s="426"/>
      <c r="AL102" s="428"/>
      <c r="AM102" s="427"/>
      <c r="AN102" s="427"/>
      <c r="AO102" s="426"/>
      <c r="AP102" s="428"/>
      <c r="AQ102" s="427"/>
      <c r="AR102" s="427"/>
      <c r="AS102" s="427"/>
      <c r="AT102" s="427"/>
      <c r="AU102" s="427"/>
      <c r="AV102" s="426"/>
      <c r="AW102" s="428"/>
      <c r="AX102" s="426"/>
      <c r="AY102" s="446"/>
      <c r="AZ102" s="450" t="s">
        <v>733</v>
      </c>
      <c r="BA102" s="451" t="s">
        <v>635</v>
      </c>
      <c r="BB102" s="452" t="s">
        <v>1192</v>
      </c>
      <c r="BC102" s="453" t="s">
        <v>1070</v>
      </c>
      <c r="BD102" s="439">
        <v>1</v>
      </c>
      <c r="BE102" s="439">
        <v>0</v>
      </c>
      <c r="BF102" s="440">
        <v>46057</v>
      </c>
      <c r="BG102" s="439">
        <v>0</v>
      </c>
      <c r="BH102" s="441">
        <v>1</v>
      </c>
      <c r="BI102" s="442">
        <v>0</v>
      </c>
      <c r="BJ102" s="443" t="s">
        <v>74</v>
      </c>
    </row>
    <row r="103" spans="1:62" s="459" customFormat="1" ht="12" customHeight="1">
      <c r="A103" s="423"/>
      <c r="B103" s="414"/>
      <c r="C103" s="414"/>
      <c r="D103" s="414"/>
      <c r="E103" s="414"/>
      <c r="F103" s="414"/>
      <c r="G103" s="414"/>
      <c r="H103" s="414"/>
      <c r="I103" s="447"/>
      <c r="J103" s="417">
        <v>46001</v>
      </c>
      <c r="K103" s="418">
        <v>46057</v>
      </c>
      <c r="L103" s="418"/>
      <c r="M103" s="460" t="s">
        <v>1193</v>
      </c>
      <c r="N103" s="448"/>
      <c r="O103" s="420">
        <v>46051</v>
      </c>
      <c r="P103" s="422">
        <v>46057</v>
      </c>
      <c r="Q103" s="449" t="s">
        <v>1064</v>
      </c>
      <c r="R103" s="428"/>
      <c r="S103" s="428"/>
      <c r="T103" s="425"/>
      <c r="U103" s="426"/>
      <c r="V103" s="424" t="s">
        <v>1099</v>
      </c>
      <c r="W103" s="426"/>
      <c r="X103" s="428"/>
      <c r="Y103" s="427"/>
      <c r="Z103" s="426"/>
      <c r="AA103" s="448"/>
      <c r="AB103" s="428"/>
      <c r="AC103" s="426"/>
      <c r="AD103" s="446"/>
      <c r="AE103" s="428"/>
      <c r="AF103" s="427"/>
      <c r="AG103" s="426"/>
      <c r="AH103" s="425"/>
      <c r="AI103" s="427"/>
      <c r="AJ103" s="427"/>
      <c r="AK103" s="426"/>
      <c r="AL103" s="428"/>
      <c r="AM103" s="427"/>
      <c r="AN103" s="427"/>
      <c r="AO103" s="426"/>
      <c r="AP103" s="428"/>
      <c r="AQ103" s="427"/>
      <c r="AR103" s="427"/>
      <c r="AS103" s="427"/>
      <c r="AT103" s="427"/>
      <c r="AU103" s="427"/>
      <c r="AV103" s="426"/>
      <c r="AW103" s="428"/>
      <c r="AX103" s="426"/>
      <c r="AY103" s="446"/>
      <c r="AZ103" s="450" t="s">
        <v>733</v>
      </c>
      <c r="BA103" s="451" t="s">
        <v>635</v>
      </c>
      <c r="BB103" s="452" t="s">
        <v>1194</v>
      </c>
      <c r="BC103" s="453" t="s">
        <v>1070</v>
      </c>
      <c r="BD103" s="439">
        <v>1</v>
      </c>
      <c r="BE103" s="439">
        <v>0</v>
      </c>
      <c r="BF103" s="440">
        <v>46057</v>
      </c>
      <c r="BG103" s="439">
        <v>0</v>
      </c>
      <c r="BH103" s="441">
        <v>1</v>
      </c>
      <c r="BI103" s="442">
        <v>0</v>
      </c>
      <c r="BJ103" s="443" t="s">
        <v>74</v>
      </c>
    </row>
    <row r="104" spans="1:62" s="459" customFormat="1" ht="12" customHeight="1">
      <c r="A104" s="423"/>
      <c r="B104" s="414"/>
      <c r="C104" s="414"/>
      <c r="D104" s="414"/>
      <c r="E104" s="414"/>
      <c r="F104" s="414"/>
      <c r="G104" s="414"/>
      <c r="H104" s="414"/>
      <c r="I104" s="447"/>
      <c r="J104" s="417">
        <v>46001</v>
      </c>
      <c r="K104" s="418">
        <v>46057</v>
      </c>
      <c r="L104" s="418"/>
      <c r="M104" s="460" t="s">
        <v>1189</v>
      </c>
      <c r="N104" s="448"/>
      <c r="O104" s="420">
        <v>46051</v>
      </c>
      <c r="P104" s="422">
        <v>46057</v>
      </c>
      <c r="Q104" s="449" t="s">
        <v>1064</v>
      </c>
      <c r="R104" s="428"/>
      <c r="S104" s="428"/>
      <c r="T104" s="425"/>
      <c r="U104" s="426"/>
      <c r="V104" s="424" t="s">
        <v>1099</v>
      </c>
      <c r="W104" s="426"/>
      <c r="X104" s="428"/>
      <c r="Y104" s="427"/>
      <c r="Z104" s="426"/>
      <c r="AA104" s="448"/>
      <c r="AB104" s="428"/>
      <c r="AC104" s="426"/>
      <c r="AD104" s="446"/>
      <c r="AE104" s="428"/>
      <c r="AF104" s="427"/>
      <c r="AG104" s="426"/>
      <c r="AH104" s="425"/>
      <c r="AI104" s="427"/>
      <c r="AJ104" s="427"/>
      <c r="AK104" s="426"/>
      <c r="AL104" s="428"/>
      <c r="AM104" s="427"/>
      <c r="AN104" s="427"/>
      <c r="AO104" s="426"/>
      <c r="AP104" s="428"/>
      <c r="AQ104" s="427"/>
      <c r="AR104" s="427"/>
      <c r="AS104" s="427"/>
      <c r="AT104" s="427"/>
      <c r="AU104" s="427"/>
      <c r="AV104" s="426"/>
      <c r="AW104" s="428"/>
      <c r="AX104" s="426"/>
      <c r="AY104" s="446"/>
      <c r="AZ104" s="450" t="s">
        <v>733</v>
      </c>
      <c r="BA104" s="451" t="s">
        <v>635</v>
      </c>
      <c r="BB104" s="452" t="s">
        <v>1195</v>
      </c>
      <c r="BC104" s="453" t="s">
        <v>1070</v>
      </c>
      <c r="BD104" s="439">
        <v>1</v>
      </c>
      <c r="BE104" s="439">
        <v>0</v>
      </c>
      <c r="BF104" s="440">
        <v>46057</v>
      </c>
      <c r="BG104" s="439">
        <v>0</v>
      </c>
      <c r="BH104" s="441">
        <v>1</v>
      </c>
      <c r="BI104" s="442">
        <v>0</v>
      </c>
      <c r="BJ104" s="443" t="s">
        <v>74</v>
      </c>
    </row>
    <row r="105" spans="1:62" s="459" customFormat="1" ht="12" customHeight="1">
      <c r="A105" s="423"/>
      <c r="B105" s="414"/>
      <c r="C105" s="414"/>
      <c r="D105" s="414"/>
      <c r="E105" s="414"/>
      <c r="F105" s="414"/>
      <c r="G105" s="414"/>
      <c r="H105" s="414"/>
      <c r="I105" s="447"/>
      <c r="J105" s="417">
        <v>46001</v>
      </c>
      <c r="K105" s="418">
        <v>46058</v>
      </c>
      <c r="L105" s="418"/>
      <c r="M105" s="460" t="s">
        <v>1196</v>
      </c>
      <c r="N105" s="448"/>
      <c r="O105" s="420">
        <v>46052</v>
      </c>
      <c r="P105" s="422">
        <v>46058</v>
      </c>
      <c r="Q105" s="449" t="s">
        <v>1064</v>
      </c>
      <c r="R105" s="428"/>
      <c r="S105" s="428"/>
      <c r="T105" s="425"/>
      <c r="U105" s="426"/>
      <c r="V105" s="424" t="s">
        <v>1099</v>
      </c>
      <c r="W105" s="426"/>
      <c r="X105" s="428"/>
      <c r="Y105" s="427"/>
      <c r="Z105" s="426"/>
      <c r="AA105" s="448"/>
      <c r="AB105" s="428"/>
      <c r="AC105" s="426"/>
      <c r="AD105" s="446"/>
      <c r="AE105" s="428"/>
      <c r="AF105" s="427"/>
      <c r="AG105" s="426"/>
      <c r="AH105" s="425"/>
      <c r="AI105" s="427"/>
      <c r="AJ105" s="427"/>
      <c r="AK105" s="426"/>
      <c r="AL105" s="428"/>
      <c r="AM105" s="427"/>
      <c r="AN105" s="427"/>
      <c r="AO105" s="426"/>
      <c r="AP105" s="428"/>
      <c r="AQ105" s="427"/>
      <c r="AR105" s="427"/>
      <c r="AS105" s="427"/>
      <c r="AT105" s="427"/>
      <c r="AU105" s="427"/>
      <c r="AV105" s="426"/>
      <c r="AW105" s="428"/>
      <c r="AX105" s="426"/>
      <c r="AY105" s="446"/>
      <c r="AZ105" s="450" t="s">
        <v>735</v>
      </c>
      <c r="BA105" s="451" t="s">
        <v>635</v>
      </c>
      <c r="BB105" s="452" t="s">
        <v>1197</v>
      </c>
      <c r="BC105" s="453" t="s">
        <v>1070</v>
      </c>
      <c r="BD105" s="439">
        <v>1</v>
      </c>
      <c r="BE105" s="439">
        <v>0</v>
      </c>
      <c r="BF105" s="440">
        <v>46058</v>
      </c>
      <c r="BG105" s="439">
        <v>0</v>
      </c>
      <c r="BH105" s="441">
        <v>1</v>
      </c>
      <c r="BI105" s="442">
        <v>0</v>
      </c>
      <c r="BJ105" s="443" t="s">
        <v>74</v>
      </c>
    </row>
    <row r="106" spans="1:62" s="459" customFormat="1" ht="12" customHeight="1">
      <c r="A106" s="423"/>
      <c r="B106" s="414"/>
      <c r="C106" s="414"/>
      <c r="D106" s="414"/>
      <c r="E106" s="414"/>
      <c r="F106" s="414"/>
      <c r="G106" s="414"/>
      <c r="H106" s="414"/>
      <c r="I106" s="447"/>
      <c r="J106" s="417">
        <v>46001</v>
      </c>
      <c r="K106" s="418">
        <v>46058</v>
      </c>
      <c r="L106" s="418"/>
      <c r="M106" s="460" t="s">
        <v>1198</v>
      </c>
      <c r="N106" s="448"/>
      <c r="O106" s="420">
        <v>46052</v>
      </c>
      <c r="P106" s="422">
        <v>46058</v>
      </c>
      <c r="Q106" s="449" t="s">
        <v>1064</v>
      </c>
      <c r="R106" s="428"/>
      <c r="S106" s="428"/>
      <c r="T106" s="425"/>
      <c r="U106" s="426"/>
      <c r="V106" s="424" t="s">
        <v>1099</v>
      </c>
      <c r="W106" s="426"/>
      <c r="X106" s="428"/>
      <c r="Y106" s="427"/>
      <c r="Z106" s="426"/>
      <c r="AA106" s="448"/>
      <c r="AB106" s="428"/>
      <c r="AC106" s="426"/>
      <c r="AD106" s="446"/>
      <c r="AE106" s="428"/>
      <c r="AF106" s="427"/>
      <c r="AG106" s="426"/>
      <c r="AH106" s="425"/>
      <c r="AI106" s="427"/>
      <c r="AJ106" s="427"/>
      <c r="AK106" s="426"/>
      <c r="AL106" s="428"/>
      <c r="AM106" s="427"/>
      <c r="AN106" s="427"/>
      <c r="AO106" s="426"/>
      <c r="AP106" s="428"/>
      <c r="AQ106" s="427"/>
      <c r="AR106" s="427"/>
      <c r="AS106" s="427"/>
      <c r="AT106" s="427"/>
      <c r="AU106" s="427"/>
      <c r="AV106" s="426"/>
      <c r="AW106" s="428"/>
      <c r="AX106" s="426"/>
      <c r="AY106" s="446"/>
      <c r="AZ106" s="450" t="s">
        <v>735</v>
      </c>
      <c r="BA106" s="451" t="s">
        <v>635</v>
      </c>
      <c r="BB106" s="452" t="s">
        <v>1199</v>
      </c>
      <c r="BC106" s="453" t="s">
        <v>1070</v>
      </c>
      <c r="BD106" s="439">
        <v>1</v>
      </c>
      <c r="BE106" s="439">
        <v>0</v>
      </c>
      <c r="BF106" s="440">
        <v>46058</v>
      </c>
      <c r="BG106" s="439">
        <v>0</v>
      </c>
      <c r="BH106" s="441">
        <v>1</v>
      </c>
      <c r="BI106" s="442">
        <v>0</v>
      </c>
      <c r="BJ106" s="443" t="s">
        <v>74</v>
      </c>
    </row>
    <row r="107" spans="1:62" s="459" customFormat="1" ht="12" customHeight="1">
      <c r="A107" s="423"/>
      <c r="B107" s="414"/>
      <c r="C107" s="414"/>
      <c r="D107" s="414"/>
      <c r="E107" s="414"/>
      <c r="F107" s="414"/>
      <c r="G107" s="414"/>
      <c r="H107" s="414"/>
      <c r="I107" s="447"/>
      <c r="J107" s="417">
        <v>46001</v>
      </c>
      <c r="K107" s="418">
        <v>46058</v>
      </c>
      <c r="L107" s="418"/>
      <c r="M107" s="460" t="s">
        <v>1196</v>
      </c>
      <c r="N107" s="448"/>
      <c r="O107" s="420">
        <v>46052</v>
      </c>
      <c r="P107" s="422">
        <v>46058</v>
      </c>
      <c r="Q107" s="449" t="s">
        <v>1064</v>
      </c>
      <c r="R107" s="428"/>
      <c r="S107" s="428"/>
      <c r="T107" s="425"/>
      <c r="U107" s="426"/>
      <c r="V107" s="424" t="s">
        <v>1099</v>
      </c>
      <c r="W107" s="426"/>
      <c r="X107" s="428"/>
      <c r="Y107" s="427"/>
      <c r="Z107" s="426"/>
      <c r="AA107" s="448"/>
      <c r="AB107" s="428"/>
      <c r="AC107" s="426"/>
      <c r="AD107" s="446"/>
      <c r="AE107" s="428"/>
      <c r="AF107" s="427"/>
      <c r="AG107" s="426"/>
      <c r="AH107" s="425"/>
      <c r="AI107" s="427"/>
      <c r="AJ107" s="427"/>
      <c r="AK107" s="426"/>
      <c r="AL107" s="428"/>
      <c r="AM107" s="427"/>
      <c r="AN107" s="427"/>
      <c r="AO107" s="426"/>
      <c r="AP107" s="428"/>
      <c r="AQ107" s="427"/>
      <c r="AR107" s="427"/>
      <c r="AS107" s="427"/>
      <c r="AT107" s="427"/>
      <c r="AU107" s="427"/>
      <c r="AV107" s="426"/>
      <c r="AW107" s="428"/>
      <c r="AX107" s="426"/>
      <c r="AY107" s="446"/>
      <c r="AZ107" s="450" t="s">
        <v>735</v>
      </c>
      <c r="BA107" s="451" t="s">
        <v>635</v>
      </c>
      <c r="BB107" s="452" t="s">
        <v>1200</v>
      </c>
      <c r="BC107" s="453" t="s">
        <v>1070</v>
      </c>
      <c r="BD107" s="439">
        <v>1</v>
      </c>
      <c r="BE107" s="439">
        <v>0</v>
      </c>
      <c r="BF107" s="440">
        <v>46058</v>
      </c>
      <c r="BG107" s="439">
        <v>0</v>
      </c>
      <c r="BH107" s="441">
        <v>1</v>
      </c>
      <c r="BI107" s="442">
        <v>0</v>
      </c>
      <c r="BJ107" s="443" t="s">
        <v>74</v>
      </c>
    </row>
    <row r="108" spans="1:62" s="459" customFormat="1" ht="12" customHeight="1">
      <c r="A108" s="423"/>
      <c r="B108" s="414"/>
      <c r="C108" s="414"/>
      <c r="D108" s="414"/>
      <c r="E108" s="414"/>
      <c r="F108" s="414"/>
      <c r="G108" s="414"/>
      <c r="H108" s="414"/>
      <c r="I108" s="447"/>
      <c r="J108" s="417">
        <v>46001</v>
      </c>
      <c r="K108" s="418">
        <v>46058</v>
      </c>
      <c r="L108" s="418"/>
      <c r="M108" s="460" t="s">
        <v>1196</v>
      </c>
      <c r="N108" s="448"/>
      <c r="O108" s="420">
        <v>46052</v>
      </c>
      <c r="P108" s="422">
        <v>46058</v>
      </c>
      <c r="Q108" s="449" t="s">
        <v>1064</v>
      </c>
      <c r="R108" s="428"/>
      <c r="S108" s="428"/>
      <c r="T108" s="425"/>
      <c r="U108" s="426"/>
      <c r="V108" s="424" t="s">
        <v>1065</v>
      </c>
      <c r="W108" s="426"/>
      <c r="X108" s="428"/>
      <c r="Y108" s="427"/>
      <c r="Z108" s="426"/>
      <c r="AA108" s="448"/>
      <c r="AB108" s="428"/>
      <c r="AC108" s="426"/>
      <c r="AD108" s="446"/>
      <c r="AE108" s="428"/>
      <c r="AF108" s="427"/>
      <c r="AG108" s="426"/>
      <c r="AH108" s="425"/>
      <c r="AI108" s="427"/>
      <c r="AJ108" s="427"/>
      <c r="AK108" s="426"/>
      <c r="AL108" s="428"/>
      <c r="AM108" s="427"/>
      <c r="AN108" s="427"/>
      <c r="AO108" s="426"/>
      <c r="AP108" s="428"/>
      <c r="AQ108" s="427"/>
      <c r="AR108" s="427"/>
      <c r="AS108" s="427"/>
      <c r="AT108" s="427"/>
      <c r="AU108" s="427"/>
      <c r="AV108" s="426"/>
      <c r="AW108" s="428"/>
      <c r="AX108" s="426"/>
      <c r="AY108" s="446"/>
      <c r="AZ108" s="450" t="s">
        <v>735</v>
      </c>
      <c r="BA108" s="451" t="s">
        <v>635</v>
      </c>
      <c r="BB108" s="452" t="s">
        <v>1201</v>
      </c>
      <c r="BC108" s="453" t="s">
        <v>1070</v>
      </c>
      <c r="BD108" s="439">
        <v>1</v>
      </c>
      <c r="BE108" s="439">
        <v>0</v>
      </c>
      <c r="BF108" s="440">
        <v>46058</v>
      </c>
      <c r="BG108" s="439">
        <v>0</v>
      </c>
      <c r="BH108" s="441">
        <v>1</v>
      </c>
      <c r="BI108" s="442">
        <v>0</v>
      </c>
      <c r="BJ108" s="443" t="s">
        <v>74</v>
      </c>
    </row>
    <row r="109" spans="1:62" s="459" customFormat="1" ht="12" customHeight="1">
      <c r="A109" s="423"/>
      <c r="B109" s="414"/>
      <c r="C109" s="414"/>
      <c r="D109" s="414"/>
      <c r="E109" s="414"/>
      <c r="F109" s="414"/>
      <c r="G109" s="414"/>
      <c r="H109" s="414"/>
      <c r="I109" s="447"/>
      <c r="J109" s="417">
        <v>46001</v>
      </c>
      <c r="K109" s="418">
        <v>46058</v>
      </c>
      <c r="L109" s="418"/>
      <c r="M109" s="460" t="s">
        <v>1198</v>
      </c>
      <c r="N109" s="448"/>
      <c r="O109" s="420">
        <v>46052</v>
      </c>
      <c r="P109" s="422">
        <v>46058</v>
      </c>
      <c r="Q109" s="449" t="s">
        <v>1064</v>
      </c>
      <c r="R109" s="428"/>
      <c r="S109" s="428"/>
      <c r="T109" s="425"/>
      <c r="U109" s="426"/>
      <c r="V109" s="424" t="s">
        <v>1099</v>
      </c>
      <c r="W109" s="426"/>
      <c r="X109" s="428"/>
      <c r="Y109" s="427"/>
      <c r="Z109" s="426"/>
      <c r="AA109" s="448"/>
      <c r="AB109" s="428"/>
      <c r="AC109" s="426"/>
      <c r="AD109" s="446"/>
      <c r="AE109" s="428"/>
      <c r="AF109" s="427"/>
      <c r="AG109" s="426"/>
      <c r="AH109" s="425"/>
      <c r="AI109" s="427"/>
      <c r="AJ109" s="427"/>
      <c r="AK109" s="426"/>
      <c r="AL109" s="428"/>
      <c r="AM109" s="427"/>
      <c r="AN109" s="427"/>
      <c r="AO109" s="426"/>
      <c r="AP109" s="428"/>
      <c r="AQ109" s="427"/>
      <c r="AR109" s="427"/>
      <c r="AS109" s="427"/>
      <c r="AT109" s="427"/>
      <c r="AU109" s="427"/>
      <c r="AV109" s="426"/>
      <c r="AW109" s="428"/>
      <c r="AX109" s="426"/>
      <c r="AY109" s="446"/>
      <c r="AZ109" s="450" t="s">
        <v>735</v>
      </c>
      <c r="BA109" s="451" t="s">
        <v>635</v>
      </c>
      <c r="BB109" s="452" t="s">
        <v>1202</v>
      </c>
      <c r="BC109" s="453" t="s">
        <v>1070</v>
      </c>
      <c r="BD109" s="439">
        <v>1</v>
      </c>
      <c r="BE109" s="439">
        <v>0</v>
      </c>
      <c r="BF109" s="440">
        <v>46058</v>
      </c>
      <c r="BG109" s="439">
        <v>0</v>
      </c>
      <c r="BH109" s="441">
        <v>1</v>
      </c>
      <c r="BI109" s="442">
        <v>0</v>
      </c>
      <c r="BJ109" s="443" t="s">
        <v>74</v>
      </c>
    </row>
    <row r="110" spans="1:62" s="459" customFormat="1" ht="12" customHeight="1">
      <c r="A110" s="423"/>
      <c r="B110" s="414"/>
      <c r="C110" s="414"/>
      <c r="D110" s="414"/>
      <c r="E110" s="414"/>
      <c r="F110" s="414"/>
      <c r="G110" s="414"/>
      <c r="H110" s="414"/>
      <c r="I110" s="447"/>
      <c r="J110" s="417">
        <v>46001</v>
      </c>
      <c r="K110" s="418">
        <v>46059</v>
      </c>
      <c r="L110" s="418"/>
      <c r="M110" s="460" t="s">
        <v>1203</v>
      </c>
      <c r="N110" s="448"/>
      <c r="O110" s="420">
        <v>46055</v>
      </c>
      <c r="P110" s="422">
        <v>46059</v>
      </c>
      <c r="Q110" s="449" t="s">
        <v>1064</v>
      </c>
      <c r="R110" s="428"/>
      <c r="S110" s="428"/>
      <c r="T110" s="425"/>
      <c r="U110" s="426"/>
      <c r="V110" s="424" t="s">
        <v>1099</v>
      </c>
      <c r="W110" s="426"/>
      <c r="X110" s="428"/>
      <c r="Y110" s="427"/>
      <c r="Z110" s="426"/>
      <c r="AA110" s="448"/>
      <c r="AB110" s="428"/>
      <c r="AC110" s="426"/>
      <c r="AD110" s="446"/>
      <c r="AE110" s="428"/>
      <c r="AF110" s="427"/>
      <c r="AG110" s="426"/>
      <c r="AH110" s="425"/>
      <c r="AI110" s="427"/>
      <c r="AJ110" s="427"/>
      <c r="AK110" s="426"/>
      <c r="AL110" s="428"/>
      <c r="AM110" s="427"/>
      <c r="AN110" s="427"/>
      <c r="AO110" s="426"/>
      <c r="AP110" s="428"/>
      <c r="AQ110" s="427"/>
      <c r="AR110" s="427"/>
      <c r="AS110" s="427"/>
      <c r="AT110" s="427"/>
      <c r="AU110" s="427"/>
      <c r="AV110" s="426"/>
      <c r="AW110" s="428"/>
      <c r="AX110" s="426"/>
      <c r="AY110" s="446"/>
      <c r="AZ110" s="450" t="s">
        <v>737</v>
      </c>
      <c r="BA110" s="451" t="s">
        <v>635</v>
      </c>
      <c r="BB110" s="452" t="s">
        <v>1204</v>
      </c>
      <c r="BC110" s="453" t="s">
        <v>1070</v>
      </c>
      <c r="BD110" s="439">
        <v>1</v>
      </c>
      <c r="BE110" s="439">
        <v>0</v>
      </c>
      <c r="BF110" s="440">
        <v>46059</v>
      </c>
      <c r="BG110" s="439">
        <v>0</v>
      </c>
      <c r="BH110" s="441">
        <v>1</v>
      </c>
      <c r="BI110" s="442">
        <v>0</v>
      </c>
      <c r="BJ110" s="443" t="s">
        <v>74</v>
      </c>
    </row>
    <row r="111" spans="1:62" s="459" customFormat="1" ht="12" customHeight="1">
      <c r="A111" s="423"/>
      <c r="B111" s="414"/>
      <c r="C111" s="414"/>
      <c r="D111" s="414"/>
      <c r="E111" s="414"/>
      <c r="F111" s="414"/>
      <c r="G111" s="414"/>
      <c r="H111" s="414"/>
      <c r="I111" s="447"/>
      <c r="J111" s="417">
        <v>46001</v>
      </c>
      <c r="K111" s="418">
        <v>46059</v>
      </c>
      <c r="L111" s="418"/>
      <c r="M111" s="460" t="s">
        <v>1203</v>
      </c>
      <c r="N111" s="448"/>
      <c r="O111" s="420">
        <v>46055</v>
      </c>
      <c r="P111" s="422">
        <v>46059</v>
      </c>
      <c r="Q111" s="449" t="s">
        <v>1064</v>
      </c>
      <c r="R111" s="428"/>
      <c r="S111" s="428"/>
      <c r="T111" s="425"/>
      <c r="U111" s="426"/>
      <c r="V111" s="424" t="s">
        <v>1099</v>
      </c>
      <c r="W111" s="426"/>
      <c r="X111" s="428"/>
      <c r="Y111" s="427"/>
      <c r="Z111" s="426"/>
      <c r="AA111" s="448"/>
      <c r="AB111" s="428"/>
      <c r="AC111" s="426"/>
      <c r="AD111" s="446"/>
      <c r="AE111" s="428"/>
      <c r="AF111" s="427"/>
      <c r="AG111" s="426"/>
      <c r="AH111" s="425"/>
      <c r="AI111" s="427"/>
      <c r="AJ111" s="427"/>
      <c r="AK111" s="426"/>
      <c r="AL111" s="428"/>
      <c r="AM111" s="427"/>
      <c r="AN111" s="427"/>
      <c r="AO111" s="426"/>
      <c r="AP111" s="428"/>
      <c r="AQ111" s="427"/>
      <c r="AR111" s="427"/>
      <c r="AS111" s="427"/>
      <c r="AT111" s="427"/>
      <c r="AU111" s="427"/>
      <c r="AV111" s="426"/>
      <c r="AW111" s="428"/>
      <c r="AX111" s="426"/>
      <c r="AY111" s="446"/>
      <c r="AZ111" s="450" t="s">
        <v>737</v>
      </c>
      <c r="BA111" s="451" t="s">
        <v>635</v>
      </c>
      <c r="BB111" s="452" t="s">
        <v>1205</v>
      </c>
      <c r="BC111" s="453" t="s">
        <v>1070</v>
      </c>
      <c r="BD111" s="439">
        <v>1</v>
      </c>
      <c r="BE111" s="439">
        <v>0</v>
      </c>
      <c r="BF111" s="440">
        <v>46059</v>
      </c>
      <c r="BG111" s="439">
        <v>0</v>
      </c>
      <c r="BH111" s="441">
        <v>1</v>
      </c>
      <c r="BI111" s="442">
        <v>0</v>
      </c>
      <c r="BJ111" s="443" t="s">
        <v>74</v>
      </c>
    </row>
    <row r="112" spans="1:62" s="459" customFormat="1" ht="12" customHeight="1">
      <c r="A112" s="423"/>
      <c r="B112" s="414"/>
      <c r="C112" s="414"/>
      <c r="D112" s="414"/>
      <c r="E112" s="414"/>
      <c r="F112" s="414"/>
      <c r="G112" s="414"/>
      <c r="H112" s="414"/>
      <c r="I112" s="447"/>
      <c r="J112" s="417">
        <v>46001</v>
      </c>
      <c r="K112" s="418">
        <v>46059</v>
      </c>
      <c r="L112" s="418"/>
      <c r="M112" s="460" t="s">
        <v>1203</v>
      </c>
      <c r="N112" s="448"/>
      <c r="O112" s="420">
        <v>46055</v>
      </c>
      <c r="P112" s="422">
        <v>46059</v>
      </c>
      <c r="Q112" s="449" t="s">
        <v>1064</v>
      </c>
      <c r="R112" s="428"/>
      <c r="S112" s="428"/>
      <c r="T112" s="425"/>
      <c r="U112" s="426"/>
      <c r="V112" s="424" t="s">
        <v>1099</v>
      </c>
      <c r="W112" s="426"/>
      <c r="X112" s="428"/>
      <c r="Y112" s="427"/>
      <c r="Z112" s="426"/>
      <c r="AA112" s="448"/>
      <c r="AB112" s="428"/>
      <c r="AC112" s="426"/>
      <c r="AD112" s="446"/>
      <c r="AE112" s="428"/>
      <c r="AF112" s="427"/>
      <c r="AG112" s="426"/>
      <c r="AH112" s="425"/>
      <c r="AI112" s="427"/>
      <c r="AJ112" s="427"/>
      <c r="AK112" s="426"/>
      <c r="AL112" s="428"/>
      <c r="AM112" s="427"/>
      <c r="AN112" s="427"/>
      <c r="AO112" s="426"/>
      <c r="AP112" s="428"/>
      <c r="AQ112" s="427"/>
      <c r="AR112" s="427"/>
      <c r="AS112" s="427"/>
      <c r="AT112" s="427"/>
      <c r="AU112" s="427"/>
      <c r="AV112" s="426"/>
      <c r="AW112" s="428"/>
      <c r="AX112" s="426"/>
      <c r="AY112" s="446"/>
      <c r="AZ112" s="450" t="s">
        <v>737</v>
      </c>
      <c r="BA112" s="451" t="s">
        <v>635</v>
      </c>
      <c r="BB112" s="452" t="s">
        <v>1206</v>
      </c>
      <c r="BC112" s="453" t="s">
        <v>1070</v>
      </c>
      <c r="BD112" s="439">
        <v>1</v>
      </c>
      <c r="BE112" s="439">
        <v>0</v>
      </c>
      <c r="BF112" s="440">
        <v>46059</v>
      </c>
      <c r="BG112" s="439">
        <v>0</v>
      </c>
      <c r="BH112" s="441">
        <v>1</v>
      </c>
      <c r="BI112" s="442">
        <v>0</v>
      </c>
      <c r="BJ112" s="443" t="s">
        <v>74</v>
      </c>
    </row>
    <row r="113" spans="1:62" s="459" customFormat="1" ht="12" customHeight="1">
      <c r="A113" s="423"/>
      <c r="B113" s="414"/>
      <c r="C113" s="414"/>
      <c r="D113" s="414"/>
      <c r="E113" s="414"/>
      <c r="F113" s="414"/>
      <c r="G113" s="414"/>
      <c r="H113" s="414"/>
      <c r="I113" s="447"/>
      <c r="J113" s="417">
        <v>46001</v>
      </c>
      <c r="K113" s="418">
        <v>46059</v>
      </c>
      <c r="L113" s="418"/>
      <c r="M113" s="460" t="s">
        <v>1203</v>
      </c>
      <c r="N113" s="448"/>
      <c r="O113" s="420">
        <v>46055</v>
      </c>
      <c r="P113" s="422">
        <v>46059</v>
      </c>
      <c r="Q113" s="449" t="s">
        <v>1064</v>
      </c>
      <c r="R113" s="428"/>
      <c r="S113" s="428"/>
      <c r="T113" s="425"/>
      <c r="U113" s="426"/>
      <c r="V113" s="424" t="s">
        <v>1099</v>
      </c>
      <c r="W113" s="426"/>
      <c r="X113" s="428"/>
      <c r="Y113" s="427"/>
      <c r="Z113" s="426"/>
      <c r="AA113" s="448"/>
      <c r="AB113" s="428"/>
      <c r="AC113" s="426"/>
      <c r="AD113" s="446"/>
      <c r="AE113" s="428"/>
      <c r="AF113" s="427"/>
      <c r="AG113" s="426"/>
      <c r="AH113" s="425"/>
      <c r="AI113" s="427"/>
      <c r="AJ113" s="427"/>
      <c r="AK113" s="426"/>
      <c r="AL113" s="428"/>
      <c r="AM113" s="427"/>
      <c r="AN113" s="427"/>
      <c r="AO113" s="426"/>
      <c r="AP113" s="428"/>
      <c r="AQ113" s="427"/>
      <c r="AR113" s="427"/>
      <c r="AS113" s="427"/>
      <c r="AT113" s="427"/>
      <c r="AU113" s="427"/>
      <c r="AV113" s="426"/>
      <c r="AW113" s="428"/>
      <c r="AX113" s="426"/>
      <c r="AY113" s="446"/>
      <c r="AZ113" s="450" t="s">
        <v>737</v>
      </c>
      <c r="BA113" s="451" t="s">
        <v>635</v>
      </c>
      <c r="BB113" s="452" t="s">
        <v>1207</v>
      </c>
      <c r="BC113" s="453" t="s">
        <v>1070</v>
      </c>
      <c r="BD113" s="439">
        <v>1</v>
      </c>
      <c r="BE113" s="439">
        <v>0</v>
      </c>
      <c r="BF113" s="440">
        <v>46059</v>
      </c>
      <c r="BG113" s="439">
        <v>0</v>
      </c>
      <c r="BH113" s="441">
        <v>1</v>
      </c>
      <c r="BI113" s="442">
        <v>0</v>
      </c>
      <c r="BJ113" s="443" t="s">
        <v>74</v>
      </c>
    </row>
    <row r="114" spans="1:62" s="459" customFormat="1" ht="12" customHeight="1">
      <c r="A114" s="423"/>
      <c r="B114" s="414"/>
      <c r="C114" s="414"/>
      <c r="D114" s="414"/>
      <c r="E114" s="414"/>
      <c r="F114" s="414"/>
      <c r="G114" s="414"/>
      <c r="H114" s="414"/>
      <c r="I114" s="447"/>
      <c r="J114" s="417">
        <v>46001</v>
      </c>
      <c r="K114" s="418">
        <v>46059</v>
      </c>
      <c r="L114" s="418"/>
      <c r="M114" s="460" t="s">
        <v>1203</v>
      </c>
      <c r="N114" s="448"/>
      <c r="O114" s="420">
        <v>46055</v>
      </c>
      <c r="P114" s="422">
        <v>46059</v>
      </c>
      <c r="Q114" s="449" t="s">
        <v>1064</v>
      </c>
      <c r="R114" s="428"/>
      <c r="S114" s="428"/>
      <c r="T114" s="425"/>
      <c r="U114" s="426"/>
      <c r="V114" s="424" t="s">
        <v>1099</v>
      </c>
      <c r="W114" s="426"/>
      <c r="X114" s="428"/>
      <c r="Y114" s="427"/>
      <c r="Z114" s="426"/>
      <c r="AA114" s="448"/>
      <c r="AB114" s="428"/>
      <c r="AC114" s="426"/>
      <c r="AD114" s="446"/>
      <c r="AE114" s="428"/>
      <c r="AF114" s="427"/>
      <c r="AG114" s="426"/>
      <c r="AH114" s="425"/>
      <c r="AI114" s="427"/>
      <c r="AJ114" s="427"/>
      <c r="AK114" s="426"/>
      <c r="AL114" s="428"/>
      <c r="AM114" s="427"/>
      <c r="AN114" s="427"/>
      <c r="AO114" s="426"/>
      <c r="AP114" s="428"/>
      <c r="AQ114" s="427"/>
      <c r="AR114" s="427"/>
      <c r="AS114" s="427"/>
      <c r="AT114" s="427"/>
      <c r="AU114" s="427"/>
      <c r="AV114" s="426"/>
      <c r="AW114" s="428"/>
      <c r="AX114" s="426"/>
      <c r="AY114" s="446"/>
      <c r="AZ114" s="450" t="s">
        <v>737</v>
      </c>
      <c r="BA114" s="451" t="s">
        <v>635</v>
      </c>
      <c r="BB114" s="452" t="s">
        <v>1208</v>
      </c>
      <c r="BC114" s="453" t="s">
        <v>1070</v>
      </c>
      <c r="BD114" s="439">
        <v>1</v>
      </c>
      <c r="BE114" s="439">
        <v>0</v>
      </c>
      <c r="BF114" s="440">
        <v>46059</v>
      </c>
      <c r="BG114" s="439">
        <v>0</v>
      </c>
      <c r="BH114" s="441">
        <v>1</v>
      </c>
      <c r="BI114" s="442">
        <v>0</v>
      </c>
      <c r="BJ114" s="443" t="s">
        <v>74</v>
      </c>
    </row>
    <row r="115" spans="1:62" s="459" customFormat="1" ht="12" customHeight="1">
      <c r="A115" s="423"/>
      <c r="B115" s="414"/>
      <c r="C115" s="414"/>
      <c r="D115" s="414"/>
      <c r="E115" s="414"/>
      <c r="F115" s="414"/>
      <c r="G115" s="414"/>
      <c r="H115" s="414"/>
      <c r="I115" s="447"/>
      <c r="J115" s="417">
        <v>46036</v>
      </c>
      <c r="K115" s="418">
        <v>46062</v>
      </c>
      <c r="L115" s="418"/>
      <c r="M115" s="419" t="s">
        <v>1058</v>
      </c>
      <c r="N115" s="448"/>
      <c r="O115" s="420">
        <v>46056</v>
      </c>
      <c r="P115" s="422">
        <v>46062</v>
      </c>
      <c r="Q115" s="449" t="s">
        <v>1064</v>
      </c>
      <c r="R115" s="428"/>
      <c r="S115" s="428"/>
      <c r="T115" s="425"/>
      <c r="U115" s="426"/>
      <c r="V115" s="424" t="s">
        <v>1099</v>
      </c>
      <c r="W115" s="426"/>
      <c r="X115" s="428"/>
      <c r="Y115" s="427"/>
      <c r="Z115" s="426"/>
      <c r="AA115" s="448"/>
      <c r="AB115" s="428"/>
      <c r="AC115" s="426"/>
      <c r="AD115" s="446"/>
      <c r="AE115" s="428"/>
      <c r="AF115" s="427"/>
      <c r="AG115" s="426"/>
      <c r="AH115" s="425"/>
      <c r="AI115" s="427"/>
      <c r="AJ115" s="427"/>
      <c r="AK115" s="426"/>
      <c r="AL115" s="428"/>
      <c r="AM115" s="427"/>
      <c r="AN115" s="427"/>
      <c r="AO115" s="426"/>
      <c r="AP115" s="428"/>
      <c r="AQ115" s="427"/>
      <c r="AR115" s="427"/>
      <c r="AS115" s="427"/>
      <c r="AT115" s="427"/>
      <c r="AU115" s="427"/>
      <c r="AV115" s="426"/>
      <c r="AW115" s="428"/>
      <c r="AX115" s="426"/>
      <c r="AY115" s="446"/>
      <c r="AZ115" s="450" t="s">
        <v>739</v>
      </c>
      <c r="BA115" s="451" t="s">
        <v>635</v>
      </c>
      <c r="BB115" s="452" t="s">
        <v>1209</v>
      </c>
      <c r="BC115" s="453" t="s">
        <v>1070</v>
      </c>
      <c r="BD115" s="439">
        <v>1</v>
      </c>
      <c r="BE115" s="439">
        <v>0</v>
      </c>
      <c r="BF115" s="440">
        <v>46062</v>
      </c>
      <c r="BG115" s="439">
        <v>0</v>
      </c>
      <c r="BH115" s="441">
        <v>1</v>
      </c>
      <c r="BI115" s="442">
        <v>0</v>
      </c>
      <c r="BJ115" s="443" t="s">
        <v>74</v>
      </c>
    </row>
    <row r="116" spans="1:62" s="459" customFormat="1" ht="12" customHeight="1">
      <c r="A116" s="423"/>
      <c r="B116" s="414"/>
      <c r="C116" s="414"/>
      <c r="D116" s="414"/>
      <c r="E116" s="414"/>
      <c r="F116" s="414"/>
      <c r="G116" s="414"/>
      <c r="H116" s="414"/>
      <c r="I116" s="447"/>
      <c r="J116" s="417">
        <v>46036</v>
      </c>
      <c r="K116" s="418">
        <v>46062</v>
      </c>
      <c r="L116" s="418"/>
      <c r="M116" s="419" t="s">
        <v>1058</v>
      </c>
      <c r="N116" s="448"/>
      <c r="O116" s="420">
        <v>46056</v>
      </c>
      <c r="P116" s="422">
        <v>46062</v>
      </c>
      <c r="Q116" s="449" t="s">
        <v>1064</v>
      </c>
      <c r="R116" s="428"/>
      <c r="S116" s="428"/>
      <c r="T116" s="425"/>
      <c r="U116" s="426"/>
      <c r="V116" s="424" t="s">
        <v>1099</v>
      </c>
      <c r="W116" s="426"/>
      <c r="X116" s="428"/>
      <c r="Y116" s="427"/>
      <c r="Z116" s="426"/>
      <c r="AA116" s="448"/>
      <c r="AB116" s="428"/>
      <c r="AC116" s="426"/>
      <c r="AD116" s="446"/>
      <c r="AE116" s="428"/>
      <c r="AF116" s="427"/>
      <c r="AG116" s="426"/>
      <c r="AH116" s="425"/>
      <c r="AI116" s="427"/>
      <c r="AJ116" s="427"/>
      <c r="AK116" s="426"/>
      <c r="AL116" s="428"/>
      <c r="AM116" s="427"/>
      <c r="AN116" s="427"/>
      <c r="AO116" s="426"/>
      <c r="AP116" s="428"/>
      <c r="AQ116" s="427"/>
      <c r="AR116" s="427"/>
      <c r="AS116" s="427"/>
      <c r="AT116" s="427"/>
      <c r="AU116" s="427"/>
      <c r="AV116" s="426"/>
      <c r="AW116" s="428"/>
      <c r="AX116" s="426"/>
      <c r="AY116" s="446"/>
      <c r="AZ116" s="450" t="s">
        <v>739</v>
      </c>
      <c r="BA116" s="451" t="s">
        <v>635</v>
      </c>
      <c r="BB116" s="452" t="s">
        <v>1210</v>
      </c>
      <c r="BC116" s="453" t="s">
        <v>1070</v>
      </c>
      <c r="BD116" s="439">
        <v>1</v>
      </c>
      <c r="BE116" s="439">
        <v>0</v>
      </c>
      <c r="BF116" s="440">
        <v>46062</v>
      </c>
      <c r="BG116" s="439">
        <v>0</v>
      </c>
      <c r="BH116" s="441">
        <v>1</v>
      </c>
      <c r="BI116" s="442">
        <v>0</v>
      </c>
      <c r="BJ116" s="443" t="s">
        <v>74</v>
      </c>
    </row>
    <row r="117" spans="1:62" s="459" customFormat="1" ht="12" customHeight="1">
      <c r="A117" s="423"/>
      <c r="B117" s="414"/>
      <c r="C117" s="414"/>
      <c r="D117" s="414"/>
      <c r="E117" s="414"/>
      <c r="F117" s="414"/>
      <c r="G117" s="414"/>
      <c r="H117" s="414"/>
      <c r="I117" s="447"/>
      <c r="J117" s="417">
        <v>46036</v>
      </c>
      <c r="K117" s="418">
        <v>46062</v>
      </c>
      <c r="L117" s="418"/>
      <c r="M117" s="419" t="s">
        <v>1058</v>
      </c>
      <c r="N117" s="448"/>
      <c r="O117" s="420">
        <v>46056</v>
      </c>
      <c r="P117" s="422">
        <v>46062</v>
      </c>
      <c r="Q117" s="449" t="s">
        <v>1064</v>
      </c>
      <c r="R117" s="428"/>
      <c r="S117" s="428"/>
      <c r="T117" s="425"/>
      <c r="U117" s="426"/>
      <c r="V117" s="424" t="s">
        <v>1099</v>
      </c>
      <c r="W117" s="426"/>
      <c r="X117" s="428"/>
      <c r="Y117" s="427"/>
      <c r="Z117" s="426"/>
      <c r="AA117" s="448"/>
      <c r="AB117" s="428"/>
      <c r="AC117" s="426"/>
      <c r="AD117" s="446"/>
      <c r="AE117" s="428"/>
      <c r="AF117" s="427"/>
      <c r="AG117" s="426"/>
      <c r="AH117" s="425"/>
      <c r="AI117" s="427"/>
      <c r="AJ117" s="427"/>
      <c r="AK117" s="426"/>
      <c r="AL117" s="428"/>
      <c r="AM117" s="427"/>
      <c r="AN117" s="427"/>
      <c r="AO117" s="426"/>
      <c r="AP117" s="428"/>
      <c r="AQ117" s="427"/>
      <c r="AR117" s="427"/>
      <c r="AS117" s="427"/>
      <c r="AT117" s="427"/>
      <c r="AU117" s="427"/>
      <c r="AV117" s="426"/>
      <c r="AW117" s="428"/>
      <c r="AX117" s="426"/>
      <c r="AY117" s="446"/>
      <c r="AZ117" s="450" t="s">
        <v>739</v>
      </c>
      <c r="BA117" s="451" t="s">
        <v>635</v>
      </c>
      <c r="BB117" s="452" t="s">
        <v>1211</v>
      </c>
      <c r="BC117" s="453" t="s">
        <v>1070</v>
      </c>
      <c r="BD117" s="439">
        <v>1</v>
      </c>
      <c r="BE117" s="439">
        <v>0</v>
      </c>
      <c r="BF117" s="440">
        <v>46062</v>
      </c>
      <c r="BG117" s="439">
        <v>0</v>
      </c>
      <c r="BH117" s="441">
        <v>1</v>
      </c>
      <c r="BI117" s="442">
        <v>0</v>
      </c>
      <c r="BJ117" s="443" t="s">
        <v>74</v>
      </c>
    </row>
    <row r="118" spans="1:62" s="459" customFormat="1" ht="12" customHeight="1">
      <c r="A118" s="413">
        <v>21373</v>
      </c>
      <c r="B118" s="414"/>
      <c r="C118" s="414"/>
      <c r="D118" s="414"/>
      <c r="E118" s="414"/>
      <c r="F118" s="414"/>
      <c r="G118" s="414"/>
      <c r="H118" s="415">
        <v>3532</v>
      </c>
      <c r="I118" s="416" t="s">
        <v>199</v>
      </c>
      <c r="J118" s="417">
        <v>46051</v>
      </c>
      <c r="K118" s="418">
        <v>46063</v>
      </c>
      <c r="L118" s="418"/>
      <c r="M118" s="419" t="s">
        <v>1058</v>
      </c>
      <c r="N118" s="417">
        <v>46062</v>
      </c>
      <c r="O118" s="420">
        <v>46056</v>
      </c>
      <c r="P118" s="422">
        <v>46063</v>
      </c>
      <c r="Q118" s="423"/>
      <c r="R118" s="424" t="s">
        <v>1058</v>
      </c>
      <c r="S118" s="424" t="s">
        <v>1058</v>
      </c>
      <c r="T118" s="455"/>
      <c r="U118" s="456"/>
      <c r="V118" s="424" t="s">
        <v>1058</v>
      </c>
      <c r="W118" s="456"/>
      <c r="X118" s="458"/>
      <c r="Y118" s="457"/>
      <c r="Z118" s="462" t="s">
        <v>1058</v>
      </c>
      <c r="AA118" s="421">
        <v>46058</v>
      </c>
      <c r="AB118" s="458"/>
      <c r="AC118" s="445" t="s">
        <v>1058</v>
      </c>
      <c r="AD118" s="461"/>
      <c r="AE118" s="458"/>
      <c r="AF118" s="457"/>
      <c r="AG118" s="445" t="s">
        <v>1058</v>
      </c>
      <c r="AH118" s="455"/>
      <c r="AI118" s="457"/>
      <c r="AJ118" s="457"/>
      <c r="AK118" s="445" t="s">
        <v>1058</v>
      </c>
      <c r="AL118" s="458"/>
      <c r="AM118" s="457"/>
      <c r="AN118" s="457"/>
      <c r="AO118" s="445" t="s">
        <v>1058</v>
      </c>
      <c r="AP118" s="458"/>
      <c r="AQ118" s="457"/>
      <c r="AR118" s="457"/>
      <c r="AS118" s="457"/>
      <c r="AT118" s="457"/>
      <c r="AU118" s="457"/>
      <c r="AV118" s="463" t="s">
        <v>1058</v>
      </c>
      <c r="AW118" s="433" t="s">
        <v>1058</v>
      </c>
      <c r="AX118" s="456"/>
      <c r="AY118" s="434" t="s">
        <v>1058</v>
      </c>
      <c r="AZ118" s="435" t="s">
        <v>335</v>
      </c>
      <c r="BA118" s="436" t="s">
        <v>151</v>
      </c>
      <c r="BB118" s="437" t="s">
        <v>336</v>
      </c>
      <c r="BC118" s="438" t="s">
        <v>198</v>
      </c>
      <c r="BD118" s="439">
        <v>11</v>
      </c>
      <c r="BE118" s="439" t="s">
        <v>199</v>
      </c>
      <c r="BF118" s="440">
        <v>46063</v>
      </c>
      <c r="BG118" s="439">
        <v>21373</v>
      </c>
      <c r="BH118" s="441">
        <v>4</v>
      </c>
      <c r="BI118" s="442">
        <v>4</v>
      </c>
      <c r="BJ118" s="443"/>
    </row>
    <row r="119" spans="1:62" s="459" customFormat="1" ht="12" customHeight="1">
      <c r="A119" s="423"/>
      <c r="B119" s="414"/>
      <c r="C119" s="414"/>
      <c r="D119" s="414"/>
      <c r="E119" s="414"/>
      <c r="F119" s="414"/>
      <c r="G119" s="414"/>
      <c r="H119" s="414"/>
      <c r="I119" s="447"/>
      <c r="J119" s="417">
        <v>46037</v>
      </c>
      <c r="K119" s="418">
        <v>46063</v>
      </c>
      <c r="L119" s="418"/>
      <c r="M119" s="419" t="s">
        <v>1058</v>
      </c>
      <c r="N119" s="448"/>
      <c r="O119" s="420">
        <v>46057</v>
      </c>
      <c r="P119" s="422">
        <v>46063</v>
      </c>
      <c r="Q119" s="449" t="s">
        <v>1064</v>
      </c>
      <c r="R119" s="424" t="s">
        <v>1099</v>
      </c>
      <c r="S119" s="428"/>
      <c r="T119" s="425"/>
      <c r="U119" s="426"/>
      <c r="V119" s="428"/>
      <c r="W119" s="426"/>
      <c r="X119" s="428"/>
      <c r="Y119" s="427"/>
      <c r="Z119" s="426"/>
      <c r="AA119" s="448"/>
      <c r="AB119" s="428"/>
      <c r="AC119" s="426"/>
      <c r="AD119" s="446"/>
      <c r="AE119" s="428"/>
      <c r="AF119" s="427"/>
      <c r="AG119" s="426"/>
      <c r="AH119" s="425"/>
      <c r="AI119" s="427"/>
      <c r="AJ119" s="427"/>
      <c r="AK119" s="426"/>
      <c r="AL119" s="428"/>
      <c r="AM119" s="427"/>
      <c r="AN119" s="427"/>
      <c r="AO119" s="426"/>
      <c r="AP119" s="428"/>
      <c r="AQ119" s="427"/>
      <c r="AR119" s="427"/>
      <c r="AS119" s="427"/>
      <c r="AT119" s="427"/>
      <c r="AU119" s="427"/>
      <c r="AV119" s="426"/>
      <c r="AW119" s="428"/>
      <c r="AX119" s="426"/>
      <c r="AY119" s="446"/>
      <c r="AZ119" s="450" t="s">
        <v>659</v>
      </c>
      <c r="BA119" s="451" t="s">
        <v>635</v>
      </c>
      <c r="BB119" s="452" t="s">
        <v>1066</v>
      </c>
      <c r="BC119" s="453" t="s">
        <v>1070</v>
      </c>
      <c r="BD119" s="439">
        <v>1</v>
      </c>
      <c r="BE119" s="439">
        <v>0</v>
      </c>
      <c r="BF119" s="440">
        <v>46063</v>
      </c>
      <c r="BG119" s="439">
        <v>0</v>
      </c>
      <c r="BH119" s="441">
        <v>1</v>
      </c>
      <c r="BI119" s="442">
        <v>0</v>
      </c>
      <c r="BJ119" s="443" t="s">
        <v>70</v>
      </c>
    </row>
    <row r="120" spans="1:62" s="459" customFormat="1" ht="12" customHeight="1">
      <c r="A120" s="423"/>
      <c r="B120" s="414"/>
      <c r="C120" s="414"/>
      <c r="D120" s="414"/>
      <c r="E120" s="414"/>
      <c r="F120" s="414"/>
      <c r="G120" s="414"/>
      <c r="H120" s="414"/>
      <c r="I120" s="447"/>
      <c r="J120" s="417">
        <v>46037</v>
      </c>
      <c r="K120" s="418">
        <v>46063</v>
      </c>
      <c r="L120" s="418"/>
      <c r="M120" s="419" t="s">
        <v>1058</v>
      </c>
      <c r="N120" s="448"/>
      <c r="O120" s="420">
        <v>46057</v>
      </c>
      <c r="P120" s="422">
        <v>46063</v>
      </c>
      <c r="Q120" s="449" t="s">
        <v>1064</v>
      </c>
      <c r="R120" s="424" t="s">
        <v>1099</v>
      </c>
      <c r="S120" s="428"/>
      <c r="T120" s="425"/>
      <c r="U120" s="426"/>
      <c r="V120" s="428"/>
      <c r="W120" s="426"/>
      <c r="X120" s="428"/>
      <c r="Y120" s="427"/>
      <c r="Z120" s="426"/>
      <c r="AA120" s="448"/>
      <c r="AB120" s="428"/>
      <c r="AC120" s="426"/>
      <c r="AD120" s="446"/>
      <c r="AE120" s="428"/>
      <c r="AF120" s="427"/>
      <c r="AG120" s="426"/>
      <c r="AH120" s="425"/>
      <c r="AI120" s="427"/>
      <c r="AJ120" s="427"/>
      <c r="AK120" s="426"/>
      <c r="AL120" s="428"/>
      <c r="AM120" s="427"/>
      <c r="AN120" s="427"/>
      <c r="AO120" s="426"/>
      <c r="AP120" s="428"/>
      <c r="AQ120" s="427"/>
      <c r="AR120" s="427"/>
      <c r="AS120" s="427"/>
      <c r="AT120" s="427"/>
      <c r="AU120" s="427"/>
      <c r="AV120" s="426"/>
      <c r="AW120" s="428"/>
      <c r="AX120" s="426"/>
      <c r="AY120" s="446"/>
      <c r="AZ120" s="450" t="s">
        <v>660</v>
      </c>
      <c r="BA120" s="451" t="s">
        <v>635</v>
      </c>
      <c r="BB120" s="452" t="s">
        <v>1212</v>
      </c>
      <c r="BC120" s="453" t="s">
        <v>1070</v>
      </c>
      <c r="BD120" s="439">
        <v>1</v>
      </c>
      <c r="BE120" s="439">
        <v>0</v>
      </c>
      <c r="BF120" s="440">
        <v>46063</v>
      </c>
      <c r="BG120" s="439">
        <v>0</v>
      </c>
      <c r="BH120" s="441">
        <v>1</v>
      </c>
      <c r="BI120" s="442">
        <v>0</v>
      </c>
      <c r="BJ120" s="443" t="s">
        <v>70</v>
      </c>
    </row>
    <row r="121" spans="1:62" s="459" customFormat="1" ht="12" customHeight="1">
      <c r="A121" s="423"/>
      <c r="B121" s="414"/>
      <c r="C121" s="414"/>
      <c r="D121" s="414"/>
      <c r="E121" s="414"/>
      <c r="F121" s="414"/>
      <c r="G121" s="414"/>
      <c r="H121" s="414"/>
      <c r="I121" s="447"/>
      <c r="J121" s="417">
        <v>46037</v>
      </c>
      <c r="K121" s="418">
        <v>46063</v>
      </c>
      <c r="L121" s="418"/>
      <c r="M121" s="419" t="s">
        <v>1058</v>
      </c>
      <c r="N121" s="448"/>
      <c r="O121" s="420">
        <v>46057</v>
      </c>
      <c r="P121" s="422">
        <v>46063</v>
      </c>
      <c r="Q121" s="449" t="s">
        <v>1064</v>
      </c>
      <c r="R121" s="424" t="s">
        <v>1099</v>
      </c>
      <c r="S121" s="428"/>
      <c r="T121" s="425"/>
      <c r="U121" s="426"/>
      <c r="V121" s="428"/>
      <c r="W121" s="426"/>
      <c r="X121" s="428"/>
      <c r="Y121" s="427"/>
      <c r="Z121" s="426"/>
      <c r="AA121" s="448"/>
      <c r="AB121" s="428"/>
      <c r="AC121" s="426"/>
      <c r="AD121" s="446"/>
      <c r="AE121" s="428"/>
      <c r="AF121" s="427"/>
      <c r="AG121" s="426"/>
      <c r="AH121" s="425"/>
      <c r="AI121" s="427"/>
      <c r="AJ121" s="427"/>
      <c r="AK121" s="426"/>
      <c r="AL121" s="428"/>
      <c r="AM121" s="427"/>
      <c r="AN121" s="427"/>
      <c r="AO121" s="426"/>
      <c r="AP121" s="428"/>
      <c r="AQ121" s="427"/>
      <c r="AR121" s="427"/>
      <c r="AS121" s="427"/>
      <c r="AT121" s="427"/>
      <c r="AU121" s="427"/>
      <c r="AV121" s="426"/>
      <c r="AW121" s="428"/>
      <c r="AX121" s="426"/>
      <c r="AY121" s="446"/>
      <c r="AZ121" s="450" t="s">
        <v>660</v>
      </c>
      <c r="BA121" s="451" t="s">
        <v>635</v>
      </c>
      <c r="BB121" s="452" t="s">
        <v>1213</v>
      </c>
      <c r="BC121" s="453" t="s">
        <v>1070</v>
      </c>
      <c r="BD121" s="439">
        <v>1</v>
      </c>
      <c r="BE121" s="439">
        <v>0</v>
      </c>
      <c r="BF121" s="440">
        <v>46063</v>
      </c>
      <c r="BG121" s="439">
        <v>0</v>
      </c>
      <c r="BH121" s="441">
        <v>1</v>
      </c>
      <c r="BI121" s="442">
        <v>0</v>
      </c>
      <c r="BJ121" s="443" t="s">
        <v>70</v>
      </c>
    </row>
    <row r="122" spans="1:62" s="459" customFormat="1" ht="12" customHeight="1">
      <c r="A122" s="423"/>
      <c r="B122" s="414"/>
      <c r="C122" s="414"/>
      <c r="D122" s="414"/>
      <c r="E122" s="414"/>
      <c r="F122" s="414"/>
      <c r="G122" s="414"/>
      <c r="H122" s="414"/>
      <c r="I122" s="447"/>
      <c r="J122" s="417">
        <v>46037</v>
      </c>
      <c r="K122" s="418">
        <v>46063</v>
      </c>
      <c r="L122" s="418"/>
      <c r="M122" s="419" t="s">
        <v>1058</v>
      </c>
      <c r="N122" s="448"/>
      <c r="O122" s="420">
        <v>46057</v>
      </c>
      <c r="P122" s="422">
        <v>46063</v>
      </c>
      <c r="Q122" s="449" t="s">
        <v>1064</v>
      </c>
      <c r="R122" s="428"/>
      <c r="S122" s="424" t="s">
        <v>1099</v>
      </c>
      <c r="T122" s="425"/>
      <c r="U122" s="426"/>
      <c r="V122" s="428"/>
      <c r="W122" s="426"/>
      <c r="X122" s="428"/>
      <c r="Y122" s="427"/>
      <c r="Z122" s="426"/>
      <c r="AA122" s="448"/>
      <c r="AB122" s="428"/>
      <c r="AC122" s="426"/>
      <c r="AD122" s="446"/>
      <c r="AE122" s="428"/>
      <c r="AF122" s="427"/>
      <c r="AG122" s="426"/>
      <c r="AH122" s="425"/>
      <c r="AI122" s="427"/>
      <c r="AJ122" s="427"/>
      <c r="AK122" s="426"/>
      <c r="AL122" s="428"/>
      <c r="AM122" s="427"/>
      <c r="AN122" s="427"/>
      <c r="AO122" s="426"/>
      <c r="AP122" s="428"/>
      <c r="AQ122" s="427"/>
      <c r="AR122" s="427"/>
      <c r="AS122" s="427"/>
      <c r="AT122" s="427"/>
      <c r="AU122" s="427"/>
      <c r="AV122" s="426"/>
      <c r="AW122" s="428"/>
      <c r="AX122" s="426"/>
      <c r="AY122" s="446"/>
      <c r="AZ122" s="450" t="s">
        <v>702</v>
      </c>
      <c r="BA122" s="451" t="s">
        <v>635</v>
      </c>
      <c r="BB122" s="452" t="s">
        <v>1214</v>
      </c>
      <c r="BC122" s="453" t="s">
        <v>1070</v>
      </c>
      <c r="BD122" s="439">
        <v>1</v>
      </c>
      <c r="BE122" s="439">
        <v>0</v>
      </c>
      <c r="BF122" s="440">
        <v>46063</v>
      </c>
      <c r="BG122" s="439">
        <v>0</v>
      </c>
      <c r="BH122" s="441">
        <v>1</v>
      </c>
      <c r="BI122" s="442">
        <v>0</v>
      </c>
      <c r="BJ122" s="443" t="s">
        <v>71</v>
      </c>
    </row>
    <row r="123" spans="1:62" s="459" customFormat="1" ht="12" customHeight="1">
      <c r="A123" s="423"/>
      <c r="B123" s="414"/>
      <c r="C123" s="414"/>
      <c r="D123" s="414"/>
      <c r="E123" s="414"/>
      <c r="F123" s="414"/>
      <c r="G123" s="414"/>
      <c r="H123" s="414"/>
      <c r="I123" s="447"/>
      <c r="J123" s="417">
        <v>46037</v>
      </c>
      <c r="K123" s="418">
        <v>46063</v>
      </c>
      <c r="L123" s="418"/>
      <c r="M123" s="419" t="s">
        <v>1058</v>
      </c>
      <c r="N123" s="448"/>
      <c r="O123" s="420">
        <v>46057</v>
      </c>
      <c r="P123" s="422">
        <v>46063</v>
      </c>
      <c r="Q123" s="449" t="s">
        <v>1064</v>
      </c>
      <c r="R123" s="428"/>
      <c r="S123" s="424" t="s">
        <v>1065</v>
      </c>
      <c r="T123" s="425"/>
      <c r="U123" s="426"/>
      <c r="V123" s="428"/>
      <c r="W123" s="426"/>
      <c r="X123" s="428"/>
      <c r="Y123" s="427"/>
      <c r="Z123" s="426"/>
      <c r="AA123" s="448"/>
      <c r="AB123" s="428"/>
      <c r="AC123" s="426"/>
      <c r="AD123" s="446"/>
      <c r="AE123" s="428"/>
      <c r="AF123" s="427"/>
      <c r="AG123" s="426"/>
      <c r="AH123" s="425"/>
      <c r="AI123" s="427"/>
      <c r="AJ123" s="427"/>
      <c r="AK123" s="426"/>
      <c r="AL123" s="428"/>
      <c r="AM123" s="427"/>
      <c r="AN123" s="427"/>
      <c r="AO123" s="426"/>
      <c r="AP123" s="428"/>
      <c r="AQ123" s="427"/>
      <c r="AR123" s="427"/>
      <c r="AS123" s="427"/>
      <c r="AT123" s="427"/>
      <c r="AU123" s="427"/>
      <c r="AV123" s="426"/>
      <c r="AW123" s="428"/>
      <c r="AX123" s="426"/>
      <c r="AY123" s="446"/>
      <c r="AZ123" s="450" t="s">
        <v>702</v>
      </c>
      <c r="BA123" s="451" t="s">
        <v>635</v>
      </c>
      <c r="BB123" s="452" t="s">
        <v>1215</v>
      </c>
      <c r="BC123" s="453" t="s">
        <v>1070</v>
      </c>
      <c r="BD123" s="439">
        <v>1</v>
      </c>
      <c r="BE123" s="439">
        <v>0</v>
      </c>
      <c r="BF123" s="440">
        <v>46063</v>
      </c>
      <c r="BG123" s="439">
        <v>0</v>
      </c>
      <c r="BH123" s="441">
        <v>1</v>
      </c>
      <c r="BI123" s="442">
        <v>0</v>
      </c>
      <c r="BJ123" s="443" t="s">
        <v>71</v>
      </c>
    </row>
    <row r="124" spans="1:62" s="459" customFormat="1" ht="12" customHeight="1">
      <c r="A124" s="423"/>
      <c r="B124" s="414"/>
      <c r="C124" s="414"/>
      <c r="D124" s="414"/>
      <c r="E124" s="414"/>
      <c r="F124" s="414"/>
      <c r="G124" s="414"/>
      <c r="H124" s="414"/>
      <c r="I124" s="447"/>
      <c r="J124" s="417">
        <v>46037</v>
      </c>
      <c r="K124" s="418">
        <v>46063</v>
      </c>
      <c r="L124" s="418"/>
      <c r="M124" s="419" t="s">
        <v>1058</v>
      </c>
      <c r="N124" s="448"/>
      <c r="O124" s="420">
        <v>46057</v>
      </c>
      <c r="P124" s="422">
        <v>46063</v>
      </c>
      <c r="Q124" s="449" t="s">
        <v>1064</v>
      </c>
      <c r="R124" s="428"/>
      <c r="S124" s="428"/>
      <c r="T124" s="425"/>
      <c r="U124" s="426"/>
      <c r="V124" s="424" t="s">
        <v>1099</v>
      </c>
      <c r="W124" s="426"/>
      <c r="X124" s="428"/>
      <c r="Y124" s="427"/>
      <c r="Z124" s="426"/>
      <c r="AA124" s="448"/>
      <c r="AB124" s="428"/>
      <c r="AC124" s="426"/>
      <c r="AD124" s="446"/>
      <c r="AE124" s="428"/>
      <c r="AF124" s="427"/>
      <c r="AG124" s="426"/>
      <c r="AH124" s="425"/>
      <c r="AI124" s="427"/>
      <c r="AJ124" s="427"/>
      <c r="AK124" s="426"/>
      <c r="AL124" s="428"/>
      <c r="AM124" s="427"/>
      <c r="AN124" s="427"/>
      <c r="AO124" s="426"/>
      <c r="AP124" s="428"/>
      <c r="AQ124" s="427"/>
      <c r="AR124" s="427"/>
      <c r="AS124" s="427"/>
      <c r="AT124" s="427"/>
      <c r="AU124" s="427"/>
      <c r="AV124" s="426"/>
      <c r="AW124" s="428"/>
      <c r="AX124" s="426"/>
      <c r="AY124" s="446"/>
      <c r="AZ124" s="450" t="s">
        <v>740</v>
      </c>
      <c r="BA124" s="451" t="s">
        <v>635</v>
      </c>
      <c r="BB124" s="452" t="s">
        <v>1216</v>
      </c>
      <c r="BC124" s="453" t="s">
        <v>1070</v>
      </c>
      <c r="BD124" s="439">
        <v>1</v>
      </c>
      <c r="BE124" s="439">
        <v>0</v>
      </c>
      <c r="BF124" s="440">
        <v>46063</v>
      </c>
      <c r="BG124" s="439">
        <v>0</v>
      </c>
      <c r="BH124" s="441">
        <v>1</v>
      </c>
      <c r="BI124" s="442">
        <v>0</v>
      </c>
      <c r="BJ124" s="443" t="s">
        <v>74</v>
      </c>
    </row>
    <row r="125" spans="1:62" s="459" customFormat="1" ht="12" customHeight="1">
      <c r="A125" s="423"/>
      <c r="B125" s="414"/>
      <c r="C125" s="414"/>
      <c r="D125" s="414"/>
      <c r="E125" s="414"/>
      <c r="F125" s="414"/>
      <c r="G125" s="414"/>
      <c r="H125" s="414"/>
      <c r="I125" s="447"/>
      <c r="J125" s="417">
        <v>46037</v>
      </c>
      <c r="K125" s="418">
        <v>46063</v>
      </c>
      <c r="L125" s="418"/>
      <c r="M125" s="419" t="s">
        <v>1058</v>
      </c>
      <c r="N125" s="448"/>
      <c r="O125" s="420">
        <v>46057</v>
      </c>
      <c r="P125" s="422">
        <v>46063</v>
      </c>
      <c r="Q125" s="449" t="s">
        <v>1064</v>
      </c>
      <c r="R125" s="428"/>
      <c r="S125" s="428"/>
      <c r="T125" s="425"/>
      <c r="U125" s="426"/>
      <c r="V125" s="424" t="s">
        <v>1065</v>
      </c>
      <c r="W125" s="426"/>
      <c r="X125" s="428"/>
      <c r="Y125" s="427"/>
      <c r="Z125" s="426"/>
      <c r="AA125" s="448"/>
      <c r="AB125" s="428"/>
      <c r="AC125" s="426"/>
      <c r="AD125" s="446"/>
      <c r="AE125" s="428"/>
      <c r="AF125" s="427"/>
      <c r="AG125" s="426"/>
      <c r="AH125" s="425"/>
      <c r="AI125" s="427"/>
      <c r="AJ125" s="427"/>
      <c r="AK125" s="426"/>
      <c r="AL125" s="428"/>
      <c r="AM125" s="427"/>
      <c r="AN125" s="427"/>
      <c r="AO125" s="426"/>
      <c r="AP125" s="428"/>
      <c r="AQ125" s="427"/>
      <c r="AR125" s="427"/>
      <c r="AS125" s="427"/>
      <c r="AT125" s="427"/>
      <c r="AU125" s="427"/>
      <c r="AV125" s="426"/>
      <c r="AW125" s="428"/>
      <c r="AX125" s="426"/>
      <c r="AY125" s="446"/>
      <c r="AZ125" s="450" t="s">
        <v>741</v>
      </c>
      <c r="BA125" s="451" t="s">
        <v>635</v>
      </c>
      <c r="BB125" s="452" t="s">
        <v>1217</v>
      </c>
      <c r="BC125" s="453" t="s">
        <v>1070</v>
      </c>
      <c r="BD125" s="439">
        <v>1</v>
      </c>
      <c r="BE125" s="439">
        <v>0</v>
      </c>
      <c r="BF125" s="440">
        <v>46063</v>
      </c>
      <c r="BG125" s="439">
        <v>0</v>
      </c>
      <c r="BH125" s="441">
        <v>1</v>
      </c>
      <c r="BI125" s="442">
        <v>0</v>
      </c>
      <c r="BJ125" s="443" t="s">
        <v>74</v>
      </c>
    </row>
    <row r="126" spans="1:62" s="459" customFormat="1" ht="12" customHeight="1">
      <c r="A126" s="423"/>
      <c r="B126" s="414"/>
      <c r="C126" s="414"/>
      <c r="D126" s="414"/>
      <c r="E126" s="414"/>
      <c r="F126" s="414"/>
      <c r="G126" s="414"/>
      <c r="H126" s="414"/>
      <c r="I126" s="447"/>
      <c r="J126" s="417">
        <v>46037</v>
      </c>
      <c r="K126" s="418">
        <v>46063</v>
      </c>
      <c r="L126" s="418"/>
      <c r="M126" s="419" t="s">
        <v>1058</v>
      </c>
      <c r="N126" s="448"/>
      <c r="O126" s="420">
        <v>46057</v>
      </c>
      <c r="P126" s="422">
        <v>46063</v>
      </c>
      <c r="Q126" s="449" t="s">
        <v>1064</v>
      </c>
      <c r="R126" s="428"/>
      <c r="S126" s="428"/>
      <c r="T126" s="425"/>
      <c r="U126" s="426"/>
      <c r="V126" s="424" t="s">
        <v>1099</v>
      </c>
      <c r="W126" s="426"/>
      <c r="X126" s="428"/>
      <c r="Y126" s="427"/>
      <c r="Z126" s="426"/>
      <c r="AA126" s="448"/>
      <c r="AB126" s="428"/>
      <c r="AC126" s="426"/>
      <c r="AD126" s="446"/>
      <c r="AE126" s="428"/>
      <c r="AF126" s="427"/>
      <c r="AG126" s="426"/>
      <c r="AH126" s="425"/>
      <c r="AI126" s="427"/>
      <c r="AJ126" s="427"/>
      <c r="AK126" s="426"/>
      <c r="AL126" s="428"/>
      <c r="AM126" s="427"/>
      <c r="AN126" s="427"/>
      <c r="AO126" s="426"/>
      <c r="AP126" s="428"/>
      <c r="AQ126" s="427"/>
      <c r="AR126" s="427"/>
      <c r="AS126" s="427"/>
      <c r="AT126" s="427"/>
      <c r="AU126" s="427"/>
      <c r="AV126" s="426"/>
      <c r="AW126" s="428"/>
      <c r="AX126" s="426"/>
      <c r="AY126" s="446"/>
      <c r="AZ126" s="450" t="s">
        <v>742</v>
      </c>
      <c r="BA126" s="451" t="s">
        <v>635</v>
      </c>
      <c r="BB126" s="452" t="s">
        <v>1218</v>
      </c>
      <c r="BC126" s="453" t="s">
        <v>1070</v>
      </c>
      <c r="BD126" s="439">
        <v>1</v>
      </c>
      <c r="BE126" s="439">
        <v>0</v>
      </c>
      <c r="BF126" s="440">
        <v>46063</v>
      </c>
      <c r="BG126" s="439">
        <v>0</v>
      </c>
      <c r="BH126" s="441">
        <v>1</v>
      </c>
      <c r="BI126" s="442">
        <v>0</v>
      </c>
      <c r="BJ126" s="443" t="s">
        <v>74</v>
      </c>
    </row>
    <row r="127" spans="1:62" s="459" customFormat="1" ht="12" customHeight="1">
      <c r="A127" s="423"/>
      <c r="B127" s="414"/>
      <c r="C127" s="414"/>
      <c r="D127" s="414"/>
      <c r="E127" s="414"/>
      <c r="F127" s="414"/>
      <c r="G127" s="414"/>
      <c r="H127" s="414"/>
      <c r="I127" s="447"/>
      <c r="J127" s="417">
        <v>46037</v>
      </c>
      <c r="K127" s="418">
        <v>46063</v>
      </c>
      <c r="L127" s="418"/>
      <c r="M127" s="419" t="s">
        <v>1058</v>
      </c>
      <c r="N127" s="448"/>
      <c r="O127" s="420">
        <v>46057</v>
      </c>
      <c r="P127" s="422">
        <v>46063</v>
      </c>
      <c r="Q127" s="449" t="s">
        <v>1064</v>
      </c>
      <c r="R127" s="428"/>
      <c r="S127" s="428"/>
      <c r="T127" s="425"/>
      <c r="U127" s="426"/>
      <c r="V127" s="424" t="s">
        <v>1099</v>
      </c>
      <c r="W127" s="426"/>
      <c r="X127" s="428"/>
      <c r="Y127" s="427"/>
      <c r="Z127" s="426"/>
      <c r="AA127" s="448"/>
      <c r="AB127" s="428"/>
      <c r="AC127" s="426"/>
      <c r="AD127" s="446"/>
      <c r="AE127" s="428"/>
      <c r="AF127" s="427"/>
      <c r="AG127" s="426"/>
      <c r="AH127" s="425"/>
      <c r="AI127" s="427"/>
      <c r="AJ127" s="427"/>
      <c r="AK127" s="426"/>
      <c r="AL127" s="428"/>
      <c r="AM127" s="427"/>
      <c r="AN127" s="427"/>
      <c r="AO127" s="426"/>
      <c r="AP127" s="428"/>
      <c r="AQ127" s="427"/>
      <c r="AR127" s="427"/>
      <c r="AS127" s="427"/>
      <c r="AT127" s="427"/>
      <c r="AU127" s="427"/>
      <c r="AV127" s="426"/>
      <c r="AW127" s="428"/>
      <c r="AX127" s="426"/>
      <c r="AY127" s="446"/>
      <c r="AZ127" s="450" t="s">
        <v>742</v>
      </c>
      <c r="BA127" s="451" t="s">
        <v>635</v>
      </c>
      <c r="BB127" s="452" t="s">
        <v>1219</v>
      </c>
      <c r="BC127" s="453" t="s">
        <v>1070</v>
      </c>
      <c r="BD127" s="439">
        <v>1</v>
      </c>
      <c r="BE127" s="439">
        <v>0</v>
      </c>
      <c r="BF127" s="440">
        <v>46063</v>
      </c>
      <c r="BG127" s="439">
        <v>0</v>
      </c>
      <c r="BH127" s="441">
        <v>1</v>
      </c>
      <c r="BI127" s="442">
        <v>0</v>
      </c>
      <c r="BJ127" s="443" t="s">
        <v>74</v>
      </c>
    </row>
    <row r="128" spans="1:62" s="459" customFormat="1" ht="12" customHeight="1">
      <c r="A128" s="423"/>
      <c r="B128" s="414"/>
      <c r="C128" s="414"/>
      <c r="D128" s="414"/>
      <c r="E128" s="414"/>
      <c r="F128" s="414"/>
      <c r="G128" s="414"/>
      <c r="H128" s="414"/>
      <c r="I128" s="447"/>
      <c r="J128" s="417">
        <v>46037</v>
      </c>
      <c r="K128" s="418">
        <v>46063</v>
      </c>
      <c r="L128" s="418"/>
      <c r="M128" s="419" t="s">
        <v>1058</v>
      </c>
      <c r="N128" s="448"/>
      <c r="O128" s="420">
        <v>46057</v>
      </c>
      <c r="P128" s="422">
        <v>46063</v>
      </c>
      <c r="Q128" s="449" t="s">
        <v>1064</v>
      </c>
      <c r="R128" s="428"/>
      <c r="S128" s="428"/>
      <c r="T128" s="425"/>
      <c r="U128" s="426"/>
      <c r="V128" s="428"/>
      <c r="W128" s="426"/>
      <c r="X128" s="424" t="s">
        <v>1099</v>
      </c>
      <c r="Y128" s="427"/>
      <c r="Z128" s="426"/>
      <c r="AA128" s="448"/>
      <c r="AB128" s="428"/>
      <c r="AC128" s="426"/>
      <c r="AD128" s="446"/>
      <c r="AE128" s="428"/>
      <c r="AF128" s="427"/>
      <c r="AG128" s="426"/>
      <c r="AH128" s="425"/>
      <c r="AI128" s="427"/>
      <c r="AJ128" s="427"/>
      <c r="AK128" s="426"/>
      <c r="AL128" s="428"/>
      <c r="AM128" s="427"/>
      <c r="AN128" s="427"/>
      <c r="AO128" s="426"/>
      <c r="AP128" s="428"/>
      <c r="AQ128" s="427"/>
      <c r="AR128" s="427"/>
      <c r="AS128" s="427"/>
      <c r="AT128" s="427"/>
      <c r="AU128" s="427"/>
      <c r="AV128" s="426"/>
      <c r="AW128" s="428"/>
      <c r="AX128" s="426"/>
      <c r="AY128" s="446"/>
      <c r="AZ128" s="450" t="s">
        <v>669</v>
      </c>
      <c r="BA128" s="451" t="s">
        <v>635</v>
      </c>
      <c r="BB128" s="452" t="s">
        <v>1220</v>
      </c>
      <c r="BC128" s="453" t="s">
        <v>1070</v>
      </c>
      <c r="BD128" s="439">
        <v>1</v>
      </c>
      <c r="BE128" s="439">
        <v>0</v>
      </c>
      <c r="BF128" s="440">
        <v>46063</v>
      </c>
      <c r="BG128" s="439">
        <v>0</v>
      </c>
      <c r="BH128" s="441">
        <v>1</v>
      </c>
      <c r="BI128" s="442">
        <v>0</v>
      </c>
      <c r="BJ128" s="443" t="s">
        <v>76</v>
      </c>
    </row>
    <row r="129" spans="1:62" s="459" customFormat="1" ht="12" customHeight="1">
      <c r="A129" s="423"/>
      <c r="B129" s="414"/>
      <c r="C129" s="414"/>
      <c r="D129" s="414"/>
      <c r="E129" s="414"/>
      <c r="F129" s="414"/>
      <c r="G129" s="414"/>
      <c r="H129" s="414"/>
      <c r="I129" s="447"/>
      <c r="J129" s="417">
        <v>46037</v>
      </c>
      <c r="K129" s="418">
        <v>46063</v>
      </c>
      <c r="L129" s="418"/>
      <c r="M129" s="419" t="s">
        <v>1058</v>
      </c>
      <c r="N129" s="448"/>
      <c r="O129" s="420">
        <v>46057</v>
      </c>
      <c r="P129" s="422">
        <v>46063</v>
      </c>
      <c r="Q129" s="449" t="s">
        <v>1064</v>
      </c>
      <c r="R129" s="428"/>
      <c r="S129" s="428"/>
      <c r="T129" s="425"/>
      <c r="U129" s="426"/>
      <c r="V129" s="428"/>
      <c r="W129" s="426"/>
      <c r="X129" s="424" t="s">
        <v>1099</v>
      </c>
      <c r="Y129" s="427"/>
      <c r="Z129" s="426"/>
      <c r="AA129" s="448"/>
      <c r="AB129" s="428"/>
      <c r="AC129" s="426"/>
      <c r="AD129" s="446"/>
      <c r="AE129" s="428"/>
      <c r="AF129" s="427"/>
      <c r="AG129" s="426"/>
      <c r="AH129" s="425"/>
      <c r="AI129" s="427"/>
      <c r="AJ129" s="427"/>
      <c r="AK129" s="426"/>
      <c r="AL129" s="428"/>
      <c r="AM129" s="427"/>
      <c r="AN129" s="427"/>
      <c r="AO129" s="426"/>
      <c r="AP129" s="428"/>
      <c r="AQ129" s="427"/>
      <c r="AR129" s="427"/>
      <c r="AS129" s="427"/>
      <c r="AT129" s="427"/>
      <c r="AU129" s="427"/>
      <c r="AV129" s="426"/>
      <c r="AW129" s="428"/>
      <c r="AX129" s="426"/>
      <c r="AY129" s="446"/>
      <c r="AZ129" s="450" t="s">
        <v>669</v>
      </c>
      <c r="BA129" s="451" t="s">
        <v>635</v>
      </c>
      <c r="BB129" s="452" t="s">
        <v>1221</v>
      </c>
      <c r="BC129" s="453" t="s">
        <v>1070</v>
      </c>
      <c r="BD129" s="439">
        <v>1</v>
      </c>
      <c r="BE129" s="439">
        <v>0</v>
      </c>
      <c r="BF129" s="440">
        <v>46063</v>
      </c>
      <c r="BG129" s="439">
        <v>0</v>
      </c>
      <c r="BH129" s="441">
        <v>1</v>
      </c>
      <c r="BI129" s="442">
        <v>0</v>
      </c>
      <c r="BJ129" s="443" t="s">
        <v>76</v>
      </c>
    </row>
    <row r="130" spans="1:62" s="459" customFormat="1" ht="12" customHeight="1">
      <c r="A130" s="423"/>
      <c r="B130" s="414"/>
      <c r="C130" s="414"/>
      <c r="D130" s="414"/>
      <c r="E130" s="414"/>
      <c r="F130" s="414"/>
      <c r="G130" s="414"/>
      <c r="H130" s="414"/>
      <c r="I130" s="447"/>
      <c r="J130" s="417">
        <v>46037</v>
      </c>
      <c r="K130" s="418">
        <v>46063</v>
      </c>
      <c r="L130" s="418"/>
      <c r="M130" s="419" t="s">
        <v>1058</v>
      </c>
      <c r="N130" s="448"/>
      <c r="O130" s="420">
        <v>46057</v>
      </c>
      <c r="P130" s="422">
        <v>46063</v>
      </c>
      <c r="Q130" s="449" t="s">
        <v>1064</v>
      </c>
      <c r="R130" s="428"/>
      <c r="S130" s="428"/>
      <c r="T130" s="425"/>
      <c r="U130" s="426"/>
      <c r="V130" s="428"/>
      <c r="W130" s="426"/>
      <c r="X130" s="424" t="s">
        <v>1099</v>
      </c>
      <c r="Y130" s="427"/>
      <c r="Z130" s="426"/>
      <c r="AA130" s="448"/>
      <c r="AB130" s="428"/>
      <c r="AC130" s="426"/>
      <c r="AD130" s="446"/>
      <c r="AE130" s="428"/>
      <c r="AF130" s="427"/>
      <c r="AG130" s="426"/>
      <c r="AH130" s="425"/>
      <c r="AI130" s="427"/>
      <c r="AJ130" s="427"/>
      <c r="AK130" s="426"/>
      <c r="AL130" s="428"/>
      <c r="AM130" s="427"/>
      <c r="AN130" s="427"/>
      <c r="AO130" s="426"/>
      <c r="AP130" s="428"/>
      <c r="AQ130" s="427"/>
      <c r="AR130" s="427"/>
      <c r="AS130" s="427"/>
      <c r="AT130" s="427"/>
      <c r="AU130" s="427"/>
      <c r="AV130" s="426"/>
      <c r="AW130" s="428"/>
      <c r="AX130" s="426"/>
      <c r="AY130" s="446"/>
      <c r="AZ130" s="450" t="s">
        <v>670</v>
      </c>
      <c r="BA130" s="451" t="s">
        <v>635</v>
      </c>
      <c r="BB130" s="452" t="s">
        <v>1222</v>
      </c>
      <c r="BC130" s="453" t="s">
        <v>1070</v>
      </c>
      <c r="BD130" s="439">
        <v>1</v>
      </c>
      <c r="BE130" s="439">
        <v>0</v>
      </c>
      <c r="BF130" s="440">
        <v>46063</v>
      </c>
      <c r="BG130" s="439">
        <v>0</v>
      </c>
      <c r="BH130" s="441">
        <v>1</v>
      </c>
      <c r="BI130" s="442">
        <v>0</v>
      </c>
      <c r="BJ130" s="443" t="s">
        <v>76</v>
      </c>
    </row>
    <row r="131" spans="1:62" s="459" customFormat="1" ht="12" customHeight="1">
      <c r="A131" s="423"/>
      <c r="B131" s="414"/>
      <c r="C131" s="414"/>
      <c r="D131" s="414"/>
      <c r="E131" s="414"/>
      <c r="F131" s="414"/>
      <c r="G131" s="414"/>
      <c r="H131" s="414"/>
      <c r="I131" s="447"/>
      <c r="J131" s="417">
        <v>46037</v>
      </c>
      <c r="K131" s="418">
        <v>46063</v>
      </c>
      <c r="L131" s="418"/>
      <c r="M131" s="419" t="s">
        <v>1058</v>
      </c>
      <c r="N131" s="448"/>
      <c r="O131" s="448"/>
      <c r="P131" s="422">
        <v>46063</v>
      </c>
      <c r="Q131" s="449" t="s">
        <v>1064</v>
      </c>
      <c r="R131" s="428"/>
      <c r="S131" s="428"/>
      <c r="T131" s="425"/>
      <c r="U131" s="426"/>
      <c r="V131" s="428"/>
      <c r="W131" s="426"/>
      <c r="X131" s="428"/>
      <c r="Y131" s="427"/>
      <c r="Z131" s="426"/>
      <c r="AA131" s="421">
        <v>46058</v>
      </c>
      <c r="AB131" s="428"/>
      <c r="AC131" s="426"/>
      <c r="AD131" s="446"/>
      <c r="AE131" s="428"/>
      <c r="AF131" s="427"/>
      <c r="AG131" s="426"/>
      <c r="AH131" s="431" t="s">
        <v>1065</v>
      </c>
      <c r="AI131" s="427"/>
      <c r="AJ131" s="427"/>
      <c r="AK131" s="426"/>
      <c r="AL131" s="428"/>
      <c r="AM131" s="427"/>
      <c r="AN131" s="427"/>
      <c r="AO131" s="426"/>
      <c r="AP131" s="428"/>
      <c r="AQ131" s="427"/>
      <c r="AR131" s="427"/>
      <c r="AS131" s="427"/>
      <c r="AT131" s="427"/>
      <c r="AU131" s="427"/>
      <c r="AV131" s="426"/>
      <c r="AW131" s="428"/>
      <c r="AX131" s="426"/>
      <c r="AY131" s="446"/>
      <c r="AZ131" s="450" t="s">
        <v>676</v>
      </c>
      <c r="BA131" s="451" t="s">
        <v>635</v>
      </c>
      <c r="BB131" s="452" t="s">
        <v>1223</v>
      </c>
      <c r="BC131" s="453" t="s">
        <v>1070</v>
      </c>
      <c r="BD131" s="439">
        <v>1</v>
      </c>
      <c r="BE131" s="439">
        <v>0</v>
      </c>
      <c r="BF131" s="440">
        <v>46063</v>
      </c>
      <c r="BG131" s="439">
        <v>0</v>
      </c>
      <c r="BH131" s="441">
        <v>0</v>
      </c>
      <c r="BI131" s="442">
        <v>1</v>
      </c>
      <c r="BJ131" s="443" t="s">
        <v>85</v>
      </c>
    </row>
    <row r="132" spans="1:62" s="459" customFormat="1" ht="12" customHeight="1">
      <c r="A132" s="423"/>
      <c r="B132" s="414"/>
      <c r="C132" s="414"/>
      <c r="D132" s="414"/>
      <c r="E132" s="414"/>
      <c r="F132" s="414"/>
      <c r="G132" s="414"/>
      <c r="H132" s="414"/>
      <c r="I132" s="447"/>
      <c r="J132" s="417">
        <v>46037</v>
      </c>
      <c r="K132" s="418">
        <v>46063</v>
      </c>
      <c r="L132" s="418"/>
      <c r="M132" s="419" t="s">
        <v>1058</v>
      </c>
      <c r="N132" s="448"/>
      <c r="O132" s="448"/>
      <c r="P132" s="422">
        <v>46063</v>
      </c>
      <c r="Q132" s="449" t="s">
        <v>1064</v>
      </c>
      <c r="R132" s="428"/>
      <c r="S132" s="428"/>
      <c r="T132" s="425"/>
      <c r="U132" s="426"/>
      <c r="V132" s="428"/>
      <c r="W132" s="426"/>
      <c r="X132" s="428"/>
      <c r="Y132" s="427"/>
      <c r="Z132" s="426"/>
      <c r="AA132" s="421">
        <v>46058</v>
      </c>
      <c r="AB132" s="428"/>
      <c r="AC132" s="426"/>
      <c r="AD132" s="446"/>
      <c r="AE132" s="428"/>
      <c r="AF132" s="427"/>
      <c r="AG132" s="426"/>
      <c r="AH132" s="431" t="s">
        <v>1099</v>
      </c>
      <c r="AI132" s="427"/>
      <c r="AJ132" s="427"/>
      <c r="AK132" s="426"/>
      <c r="AL132" s="428"/>
      <c r="AM132" s="427"/>
      <c r="AN132" s="427"/>
      <c r="AO132" s="426"/>
      <c r="AP132" s="428"/>
      <c r="AQ132" s="427"/>
      <c r="AR132" s="427"/>
      <c r="AS132" s="427"/>
      <c r="AT132" s="427"/>
      <c r="AU132" s="427"/>
      <c r="AV132" s="426"/>
      <c r="AW132" s="428"/>
      <c r="AX132" s="426"/>
      <c r="AY132" s="446"/>
      <c r="AZ132" s="450" t="s">
        <v>676</v>
      </c>
      <c r="BA132" s="451" t="s">
        <v>635</v>
      </c>
      <c r="BB132" s="452" t="s">
        <v>1224</v>
      </c>
      <c r="BC132" s="453" t="s">
        <v>1070</v>
      </c>
      <c r="BD132" s="439">
        <v>1</v>
      </c>
      <c r="BE132" s="439">
        <v>0</v>
      </c>
      <c r="BF132" s="440">
        <v>46063</v>
      </c>
      <c r="BG132" s="439">
        <v>0</v>
      </c>
      <c r="BH132" s="441">
        <v>0</v>
      </c>
      <c r="BI132" s="442">
        <v>1</v>
      </c>
      <c r="BJ132" s="443" t="s">
        <v>85</v>
      </c>
    </row>
    <row r="133" spans="1:62" s="459" customFormat="1" ht="12" customHeight="1">
      <c r="A133" s="423"/>
      <c r="B133" s="414"/>
      <c r="C133" s="414"/>
      <c r="D133" s="414"/>
      <c r="E133" s="414"/>
      <c r="F133" s="414"/>
      <c r="G133" s="414"/>
      <c r="H133" s="414"/>
      <c r="I133" s="447"/>
      <c r="J133" s="417">
        <v>46037</v>
      </c>
      <c r="K133" s="418">
        <v>46063</v>
      </c>
      <c r="L133" s="418"/>
      <c r="M133" s="419" t="s">
        <v>1058</v>
      </c>
      <c r="N133" s="448"/>
      <c r="O133" s="448"/>
      <c r="P133" s="422">
        <v>46063</v>
      </c>
      <c r="Q133" s="449" t="s">
        <v>1064</v>
      </c>
      <c r="R133" s="428"/>
      <c r="S133" s="428"/>
      <c r="T133" s="425"/>
      <c r="U133" s="426"/>
      <c r="V133" s="428"/>
      <c r="W133" s="426"/>
      <c r="X133" s="428"/>
      <c r="Y133" s="427"/>
      <c r="Z133" s="426"/>
      <c r="AA133" s="421">
        <v>46058</v>
      </c>
      <c r="AB133" s="428"/>
      <c r="AC133" s="426"/>
      <c r="AD133" s="446"/>
      <c r="AE133" s="428"/>
      <c r="AF133" s="427"/>
      <c r="AG133" s="426"/>
      <c r="AH133" s="431" t="s">
        <v>1099</v>
      </c>
      <c r="AI133" s="427"/>
      <c r="AJ133" s="427"/>
      <c r="AK133" s="426"/>
      <c r="AL133" s="428"/>
      <c r="AM133" s="427"/>
      <c r="AN133" s="427"/>
      <c r="AO133" s="426"/>
      <c r="AP133" s="428"/>
      <c r="AQ133" s="427"/>
      <c r="AR133" s="427"/>
      <c r="AS133" s="427"/>
      <c r="AT133" s="427"/>
      <c r="AU133" s="427"/>
      <c r="AV133" s="426"/>
      <c r="AW133" s="428"/>
      <c r="AX133" s="426"/>
      <c r="AY133" s="446"/>
      <c r="AZ133" s="450" t="s">
        <v>677</v>
      </c>
      <c r="BA133" s="451" t="s">
        <v>635</v>
      </c>
      <c r="BB133" s="452" t="s">
        <v>1223</v>
      </c>
      <c r="BC133" s="453" t="s">
        <v>1070</v>
      </c>
      <c r="BD133" s="439">
        <v>1</v>
      </c>
      <c r="BE133" s="439">
        <v>0</v>
      </c>
      <c r="BF133" s="440">
        <v>46063</v>
      </c>
      <c r="BG133" s="439">
        <v>0</v>
      </c>
      <c r="BH133" s="441">
        <v>0</v>
      </c>
      <c r="BI133" s="442">
        <v>1</v>
      </c>
      <c r="BJ133" s="443" t="s">
        <v>85</v>
      </c>
    </row>
    <row r="134" spans="1:62" s="459" customFormat="1" ht="12" customHeight="1">
      <c r="A134" s="423"/>
      <c r="B134" s="414"/>
      <c r="C134" s="414"/>
      <c r="D134" s="414"/>
      <c r="E134" s="414"/>
      <c r="F134" s="414"/>
      <c r="G134" s="414"/>
      <c r="H134" s="414"/>
      <c r="I134" s="447"/>
      <c r="J134" s="417">
        <v>46037</v>
      </c>
      <c r="K134" s="418">
        <v>46063</v>
      </c>
      <c r="L134" s="418"/>
      <c r="M134" s="419" t="s">
        <v>1058</v>
      </c>
      <c r="N134" s="448"/>
      <c r="O134" s="448"/>
      <c r="P134" s="422">
        <v>46063</v>
      </c>
      <c r="Q134" s="449" t="s">
        <v>1064</v>
      </c>
      <c r="R134" s="428"/>
      <c r="S134" s="428"/>
      <c r="T134" s="425"/>
      <c r="U134" s="426"/>
      <c r="V134" s="428"/>
      <c r="W134" s="426"/>
      <c r="X134" s="428"/>
      <c r="Y134" s="427"/>
      <c r="Z134" s="426"/>
      <c r="AA134" s="421">
        <v>46058</v>
      </c>
      <c r="AB134" s="428"/>
      <c r="AC134" s="426"/>
      <c r="AD134" s="446"/>
      <c r="AE134" s="428"/>
      <c r="AF134" s="427"/>
      <c r="AG134" s="426"/>
      <c r="AH134" s="431" t="s">
        <v>1099</v>
      </c>
      <c r="AI134" s="427"/>
      <c r="AJ134" s="427"/>
      <c r="AK134" s="426"/>
      <c r="AL134" s="428"/>
      <c r="AM134" s="427"/>
      <c r="AN134" s="427"/>
      <c r="AO134" s="426"/>
      <c r="AP134" s="428"/>
      <c r="AQ134" s="427"/>
      <c r="AR134" s="427"/>
      <c r="AS134" s="427"/>
      <c r="AT134" s="427"/>
      <c r="AU134" s="427"/>
      <c r="AV134" s="426"/>
      <c r="AW134" s="428"/>
      <c r="AX134" s="426"/>
      <c r="AY134" s="446"/>
      <c r="AZ134" s="450" t="s">
        <v>677</v>
      </c>
      <c r="BA134" s="451" t="s">
        <v>635</v>
      </c>
      <c r="BB134" s="452" t="s">
        <v>1224</v>
      </c>
      <c r="BC134" s="453" t="s">
        <v>1070</v>
      </c>
      <c r="BD134" s="439">
        <v>1</v>
      </c>
      <c r="BE134" s="439">
        <v>0</v>
      </c>
      <c r="BF134" s="440">
        <v>46063</v>
      </c>
      <c r="BG134" s="439">
        <v>0</v>
      </c>
      <c r="BH134" s="441">
        <v>0</v>
      </c>
      <c r="BI134" s="442">
        <v>1</v>
      </c>
      <c r="BJ134" s="443" t="s">
        <v>85</v>
      </c>
    </row>
    <row r="135" spans="1:62" s="459" customFormat="1" ht="12" customHeight="1">
      <c r="A135" s="423"/>
      <c r="B135" s="414"/>
      <c r="C135" s="414"/>
      <c r="D135" s="414"/>
      <c r="E135" s="414"/>
      <c r="F135" s="414"/>
      <c r="G135" s="414"/>
      <c r="H135" s="414"/>
      <c r="I135" s="447"/>
      <c r="J135" s="417">
        <v>46037</v>
      </c>
      <c r="K135" s="418">
        <v>46063</v>
      </c>
      <c r="L135" s="418"/>
      <c r="M135" s="419" t="s">
        <v>1058</v>
      </c>
      <c r="N135" s="448"/>
      <c r="O135" s="448"/>
      <c r="P135" s="422">
        <v>46063</v>
      </c>
      <c r="Q135" s="449" t="s">
        <v>1064</v>
      </c>
      <c r="R135" s="428"/>
      <c r="S135" s="428"/>
      <c r="T135" s="425"/>
      <c r="U135" s="426"/>
      <c r="V135" s="428"/>
      <c r="W135" s="426"/>
      <c r="X135" s="428"/>
      <c r="Y135" s="427"/>
      <c r="Z135" s="426"/>
      <c r="AA135" s="421">
        <v>46058</v>
      </c>
      <c r="AB135" s="428"/>
      <c r="AC135" s="426"/>
      <c r="AD135" s="446"/>
      <c r="AE135" s="428"/>
      <c r="AF135" s="427"/>
      <c r="AG135" s="426"/>
      <c r="AH135" s="425"/>
      <c r="AI135" s="427"/>
      <c r="AJ135" s="427"/>
      <c r="AK135" s="426"/>
      <c r="AL135" s="430" t="s">
        <v>1099</v>
      </c>
      <c r="AM135" s="427"/>
      <c r="AN135" s="427"/>
      <c r="AO135" s="426"/>
      <c r="AP135" s="428"/>
      <c r="AQ135" s="427"/>
      <c r="AR135" s="427"/>
      <c r="AS135" s="427"/>
      <c r="AT135" s="427"/>
      <c r="AU135" s="427"/>
      <c r="AV135" s="426"/>
      <c r="AW135" s="428"/>
      <c r="AX135" s="426"/>
      <c r="AY135" s="446"/>
      <c r="AZ135" s="450" t="s">
        <v>694</v>
      </c>
      <c r="BA135" s="451" t="s">
        <v>635</v>
      </c>
      <c r="BB135" s="452" t="s">
        <v>1225</v>
      </c>
      <c r="BC135" s="453" t="s">
        <v>1070</v>
      </c>
      <c r="BD135" s="439">
        <v>1</v>
      </c>
      <c r="BE135" s="439">
        <v>0</v>
      </c>
      <c r="BF135" s="440">
        <v>46063</v>
      </c>
      <c r="BG135" s="439">
        <v>0</v>
      </c>
      <c r="BH135" s="441">
        <v>0</v>
      </c>
      <c r="BI135" s="442">
        <v>1</v>
      </c>
      <c r="BJ135" s="443" t="s">
        <v>89</v>
      </c>
    </row>
    <row r="136" spans="1:62" s="459" customFormat="1" ht="12" customHeight="1">
      <c r="A136" s="423"/>
      <c r="B136" s="414"/>
      <c r="C136" s="414"/>
      <c r="D136" s="414"/>
      <c r="E136" s="414"/>
      <c r="F136" s="414"/>
      <c r="G136" s="414"/>
      <c r="H136" s="414"/>
      <c r="I136" s="447"/>
      <c r="J136" s="417">
        <v>46037</v>
      </c>
      <c r="K136" s="418">
        <v>46063</v>
      </c>
      <c r="L136" s="418"/>
      <c r="M136" s="419" t="s">
        <v>1058</v>
      </c>
      <c r="N136" s="448"/>
      <c r="O136" s="448"/>
      <c r="P136" s="422">
        <v>46063</v>
      </c>
      <c r="Q136" s="449" t="s">
        <v>1064</v>
      </c>
      <c r="R136" s="428"/>
      <c r="S136" s="428"/>
      <c r="T136" s="425"/>
      <c r="U136" s="426"/>
      <c r="V136" s="428"/>
      <c r="W136" s="426"/>
      <c r="X136" s="428"/>
      <c r="Y136" s="427"/>
      <c r="Z136" s="426"/>
      <c r="AA136" s="421">
        <v>46058</v>
      </c>
      <c r="AB136" s="428"/>
      <c r="AC136" s="426"/>
      <c r="AD136" s="446"/>
      <c r="AE136" s="428"/>
      <c r="AF136" s="427"/>
      <c r="AG136" s="426"/>
      <c r="AH136" s="425"/>
      <c r="AI136" s="427"/>
      <c r="AJ136" s="427"/>
      <c r="AK136" s="426"/>
      <c r="AL136" s="430" t="s">
        <v>1099</v>
      </c>
      <c r="AM136" s="427"/>
      <c r="AN136" s="427"/>
      <c r="AO136" s="426"/>
      <c r="AP136" s="428"/>
      <c r="AQ136" s="427"/>
      <c r="AR136" s="427"/>
      <c r="AS136" s="427"/>
      <c r="AT136" s="427"/>
      <c r="AU136" s="427"/>
      <c r="AV136" s="426"/>
      <c r="AW136" s="428"/>
      <c r="AX136" s="426"/>
      <c r="AY136" s="446"/>
      <c r="AZ136" s="450" t="s">
        <v>694</v>
      </c>
      <c r="BA136" s="451" t="s">
        <v>635</v>
      </c>
      <c r="BB136" s="452" t="s">
        <v>1226</v>
      </c>
      <c r="BC136" s="453" t="s">
        <v>1070</v>
      </c>
      <c r="BD136" s="439">
        <v>1</v>
      </c>
      <c r="BE136" s="439">
        <v>0</v>
      </c>
      <c r="BF136" s="440">
        <v>46063</v>
      </c>
      <c r="BG136" s="439">
        <v>0</v>
      </c>
      <c r="BH136" s="441">
        <v>0</v>
      </c>
      <c r="BI136" s="442">
        <v>1</v>
      </c>
      <c r="BJ136" s="443" t="s">
        <v>89</v>
      </c>
    </row>
    <row r="137" spans="1:62" s="459" customFormat="1" ht="12" customHeight="1">
      <c r="A137" s="423"/>
      <c r="B137" s="414"/>
      <c r="C137" s="414"/>
      <c r="D137" s="414"/>
      <c r="E137" s="414"/>
      <c r="F137" s="414"/>
      <c r="G137" s="414"/>
      <c r="H137" s="414"/>
      <c r="I137" s="447"/>
      <c r="J137" s="417">
        <v>46037</v>
      </c>
      <c r="K137" s="418">
        <v>46063</v>
      </c>
      <c r="L137" s="418"/>
      <c r="M137" s="419" t="s">
        <v>1058</v>
      </c>
      <c r="N137" s="448"/>
      <c r="O137" s="448"/>
      <c r="P137" s="422">
        <v>46063</v>
      </c>
      <c r="Q137" s="449" t="s">
        <v>1064</v>
      </c>
      <c r="R137" s="428"/>
      <c r="S137" s="428"/>
      <c r="T137" s="425"/>
      <c r="U137" s="426"/>
      <c r="V137" s="428"/>
      <c r="W137" s="426"/>
      <c r="X137" s="428"/>
      <c r="Y137" s="427"/>
      <c r="Z137" s="426"/>
      <c r="AA137" s="421">
        <v>46058</v>
      </c>
      <c r="AB137" s="428"/>
      <c r="AC137" s="426"/>
      <c r="AD137" s="446"/>
      <c r="AE137" s="428"/>
      <c r="AF137" s="427"/>
      <c r="AG137" s="426"/>
      <c r="AH137" s="425"/>
      <c r="AI137" s="427"/>
      <c r="AJ137" s="427"/>
      <c r="AK137" s="426"/>
      <c r="AL137" s="430" t="s">
        <v>1099</v>
      </c>
      <c r="AM137" s="427"/>
      <c r="AN137" s="427"/>
      <c r="AO137" s="426"/>
      <c r="AP137" s="428"/>
      <c r="AQ137" s="427"/>
      <c r="AR137" s="427"/>
      <c r="AS137" s="427"/>
      <c r="AT137" s="427"/>
      <c r="AU137" s="427"/>
      <c r="AV137" s="426"/>
      <c r="AW137" s="428"/>
      <c r="AX137" s="426"/>
      <c r="AY137" s="446"/>
      <c r="AZ137" s="450" t="s">
        <v>693</v>
      </c>
      <c r="BA137" s="451" t="s">
        <v>635</v>
      </c>
      <c r="BB137" s="452" t="s">
        <v>1225</v>
      </c>
      <c r="BC137" s="453" t="s">
        <v>1070</v>
      </c>
      <c r="BD137" s="439">
        <v>1</v>
      </c>
      <c r="BE137" s="439">
        <v>0</v>
      </c>
      <c r="BF137" s="440">
        <v>46063</v>
      </c>
      <c r="BG137" s="439">
        <v>0</v>
      </c>
      <c r="BH137" s="441">
        <v>0</v>
      </c>
      <c r="BI137" s="442">
        <v>1</v>
      </c>
      <c r="BJ137" s="443" t="s">
        <v>89</v>
      </c>
    </row>
    <row r="138" spans="1:62" s="459" customFormat="1" ht="12" customHeight="1">
      <c r="A138" s="423"/>
      <c r="B138" s="414"/>
      <c r="C138" s="414"/>
      <c r="D138" s="414"/>
      <c r="E138" s="414"/>
      <c r="F138" s="414"/>
      <c r="G138" s="414"/>
      <c r="H138" s="414"/>
      <c r="I138" s="447"/>
      <c r="J138" s="417">
        <v>46037</v>
      </c>
      <c r="K138" s="418">
        <v>46063</v>
      </c>
      <c r="L138" s="418"/>
      <c r="M138" s="419" t="s">
        <v>1058</v>
      </c>
      <c r="N138" s="448"/>
      <c r="O138" s="448"/>
      <c r="P138" s="422">
        <v>46063</v>
      </c>
      <c r="Q138" s="449" t="s">
        <v>1064</v>
      </c>
      <c r="R138" s="428"/>
      <c r="S138" s="428"/>
      <c r="T138" s="425"/>
      <c r="U138" s="426"/>
      <c r="V138" s="428"/>
      <c r="W138" s="426"/>
      <c r="X138" s="428"/>
      <c r="Y138" s="427"/>
      <c r="Z138" s="426"/>
      <c r="AA138" s="421">
        <v>46058</v>
      </c>
      <c r="AB138" s="428"/>
      <c r="AC138" s="426"/>
      <c r="AD138" s="446"/>
      <c r="AE138" s="428"/>
      <c r="AF138" s="427"/>
      <c r="AG138" s="426"/>
      <c r="AH138" s="425"/>
      <c r="AI138" s="427"/>
      <c r="AJ138" s="427"/>
      <c r="AK138" s="426"/>
      <c r="AL138" s="430" t="s">
        <v>1099</v>
      </c>
      <c r="AM138" s="427"/>
      <c r="AN138" s="427"/>
      <c r="AO138" s="426"/>
      <c r="AP138" s="428"/>
      <c r="AQ138" s="427"/>
      <c r="AR138" s="427"/>
      <c r="AS138" s="427"/>
      <c r="AT138" s="427"/>
      <c r="AU138" s="427"/>
      <c r="AV138" s="426"/>
      <c r="AW138" s="428"/>
      <c r="AX138" s="426"/>
      <c r="AY138" s="446"/>
      <c r="AZ138" s="450" t="s">
        <v>693</v>
      </c>
      <c r="BA138" s="451" t="s">
        <v>635</v>
      </c>
      <c r="BB138" s="452" t="s">
        <v>1226</v>
      </c>
      <c r="BC138" s="453" t="s">
        <v>1070</v>
      </c>
      <c r="BD138" s="439">
        <v>1</v>
      </c>
      <c r="BE138" s="439">
        <v>0</v>
      </c>
      <c r="BF138" s="440">
        <v>46063</v>
      </c>
      <c r="BG138" s="439">
        <v>0</v>
      </c>
      <c r="BH138" s="441">
        <v>0</v>
      </c>
      <c r="BI138" s="442">
        <v>1</v>
      </c>
      <c r="BJ138" s="443" t="s">
        <v>89</v>
      </c>
    </row>
    <row r="139" spans="1:62" s="459" customFormat="1" ht="12" customHeight="1">
      <c r="A139" s="423"/>
      <c r="B139" s="414"/>
      <c r="C139" s="414"/>
      <c r="D139" s="414"/>
      <c r="E139" s="414"/>
      <c r="F139" s="414"/>
      <c r="G139" s="414"/>
      <c r="H139" s="414"/>
      <c r="I139" s="447"/>
      <c r="J139" s="417">
        <v>46038</v>
      </c>
      <c r="K139" s="418">
        <v>46065</v>
      </c>
      <c r="L139" s="418"/>
      <c r="M139" s="419" t="s">
        <v>1058</v>
      </c>
      <c r="N139" s="448"/>
      <c r="O139" s="420">
        <v>46058</v>
      </c>
      <c r="P139" s="422">
        <v>46065</v>
      </c>
      <c r="Q139" s="449" t="s">
        <v>1064</v>
      </c>
      <c r="R139" s="428"/>
      <c r="S139" s="428"/>
      <c r="T139" s="425"/>
      <c r="U139" s="426"/>
      <c r="V139" s="424" t="s">
        <v>1099</v>
      </c>
      <c r="W139" s="426"/>
      <c r="X139" s="428"/>
      <c r="Y139" s="427"/>
      <c r="Z139" s="426"/>
      <c r="AA139" s="448"/>
      <c r="AB139" s="428"/>
      <c r="AC139" s="426"/>
      <c r="AD139" s="446"/>
      <c r="AE139" s="428"/>
      <c r="AF139" s="427"/>
      <c r="AG139" s="426"/>
      <c r="AH139" s="425"/>
      <c r="AI139" s="427"/>
      <c r="AJ139" s="427"/>
      <c r="AK139" s="426"/>
      <c r="AL139" s="428"/>
      <c r="AM139" s="427"/>
      <c r="AN139" s="427"/>
      <c r="AO139" s="426"/>
      <c r="AP139" s="428"/>
      <c r="AQ139" s="427"/>
      <c r="AR139" s="427"/>
      <c r="AS139" s="427"/>
      <c r="AT139" s="427"/>
      <c r="AU139" s="427"/>
      <c r="AV139" s="426"/>
      <c r="AW139" s="428"/>
      <c r="AX139" s="426"/>
      <c r="AY139" s="446"/>
      <c r="AZ139" s="450" t="s">
        <v>743</v>
      </c>
      <c r="BA139" s="451" t="s">
        <v>635</v>
      </c>
      <c r="BB139" s="452" t="s">
        <v>1218</v>
      </c>
      <c r="BC139" s="453" t="s">
        <v>1070</v>
      </c>
      <c r="BD139" s="439">
        <v>1</v>
      </c>
      <c r="BE139" s="439">
        <v>0</v>
      </c>
      <c r="BF139" s="440">
        <v>46065</v>
      </c>
      <c r="BG139" s="439">
        <v>0</v>
      </c>
      <c r="BH139" s="441">
        <v>1</v>
      </c>
      <c r="BI139" s="442">
        <v>0</v>
      </c>
      <c r="BJ139" s="443" t="s">
        <v>74</v>
      </c>
    </row>
    <row r="140" spans="1:62" s="459" customFormat="1" ht="12" customHeight="1">
      <c r="A140" s="423"/>
      <c r="B140" s="414"/>
      <c r="C140" s="414"/>
      <c r="D140" s="414"/>
      <c r="E140" s="414"/>
      <c r="F140" s="414"/>
      <c r="G140" s="414"/>
      <c r="H140" s="414"/>
      <c r="I140" s="447"/>
      <c r="J140" s="417">
        <v>46038</v>
      </c>
      <c r="K140" s="418">
        <v>46065</v>
      </c>
      <c r="L140" s="418"/>
      <c r="M140" s="419" t="s">
        <v>1058</v>
      </c>
      <c r="N140" s="448"/>
      <c r="O140" s="420">
        <v>46058</v>
      </c>
      <c r="P140" s="422">
        <v>46065</v>
      </c>
      <c r="Q140" s="449" t="s">
        <v>1064</v>
      </c>
      <c r="R140" s="428"/>
      <c r="S140" s="428"/>
      <c r="T140" s="425"/>
      <c r="U140" s="426"/>
      <c r="V140" s="424" t="s">
        <v>1099</v>
      </c>
      <c r="W140" s="426"/>
      <c r="X140" s="428"/>
      <c r="Y140" s="427"/>
      <c r="Z140" s="426"/>
      <c r="AA140" s="448"/>
      <c r="AB140" s="428"/>
      <c r="AC140" s="426"/>
      <c r="AD140" s="446"/>
      <c r="AE140" s="428"/>
      <c r="AF140" s="427"/>
      <c r="AG140" s="426"/>
      <c r="AH140" s="425"/>
      <c r="AI140" s="427"/>
      <c r="AJ140" s="427"/>
      <c r="AK140" s="426"/>
      <c r="AL140" s="428"/>
      <c r="AM140" s="427"/>
      <c r="AN140" s="427"/>
      <c r="AO140" s="426"/>
      <c r="AP140" s="428"/>
      <c r="AQ140" s="427"/>
      <c r="AR140" s="427"/>
      <c r="AS140" s="427"/>
      <c r="AT140" s="427"/>
      <c r="AU140" s="427"/>
      <c r="AV140" s="426"/>
      <c r="AW140" s="428"/>
      <c r="AX140" s="426"/>
      <c r="AY140" s="446"/>
      <c r="AZ140" s="450" t="s">
        <v>743</v>
      </c>
      <c r="BA140" s="451" t="s">
        <v>635</v>
      </c>
      <c r="BB140" s="452" t="s">
        <v>1219</v>
      </c>
      <c r="BC140" s="453" t="s">
        <v>1070</v>
      </c>
      <c r="BD140" s="439">
        <v>1</v>
      </c>
      <c r="BE140" s="439">
        <v>0</v>
      </c>
      <c r="BF140" s="440">
        <v>46065</v>
      </c>
      <c r="BG140" s="439">
        <v>0</v>
      </c>
      <c r="BH140" s="441">
        <v>1</v>
      </c>
      <c r="BI140" s="442">
        <v>0</v>
      </c>
      <c r="BJ140" s="443" t="s">
        <v>74</v>
      </c>
    </row>
    <row r="141" spans="1:62" s="459" customFormat="1" ht="12" customHeight="1">
      <c r="A141" s="423"/>
      <c r="B141" s="414"/>
      <c r="C141" s="414"/>
      <c r="D141" s="414"/>
      <c r="E141" s="414"/>
      <c r="F141" s="414"/>
      <c r="G141" s="414"/>
      <c r="H141" s="414"/>
      <c r="I141" s="447"/>
      <c r="J141" s="417">
        <v>46038</v>
      </c>
      <c r="K141" s="418">
        <v>46065</v>
      </c>
      <c r="L141" s="418"/>
      <c r="M141" s="419" t="s">
        <v>1058</v>
      </c>
      <c r="N141" s="448"/>
      <c r="O141" s="420">
        <v>46058</v>
      </c>
      <c r="P141" s="422">
        <v>46065</v>
      </c>
      <c r="Q141" s="449" t="s">
        <v>1064</v>
      </c>
      <c r="R141" s="428"/>
      <c r="S141" s="428"/>
      <c r="T141" s="425"/>
      <c r="U141" s="426"/>
      <c r="V141" s="424" t="s">
        <v>1099</v>
      </c>
      <c r="W141" s="426"/>
      <c r="X141" s="428"/>
      <c r="Y141" s="427"/>
      <c r="Z141" s="426"/>
      <c r="AA141" s="448"/>
      <c r="AB141" s="428"/>
      <c r="AC141" s="426"/>
      <c r="AD141" s="446"/>
      <c r="AE141" s="428"/>
      <c r="AF141" s="427"/>
      <c r="AG141" s="426"/>
      <c r="AH141" s="425"/>
      <c r="AI141" s="427"/>
      <c r="AJ141" s="427"/>
      <c r="AK141" s="426"/>
      <c r="AL141" s="428"/>
      <c r="AM141" s="427"/>
      <c r="AN141" s="427"/>
      <c r="AO141" s="426"/>
      <c r="AP141" s="428"/>
      <c r="AQ141" s="427"/>
      <c r="AR141" s="427"/>
      <c r="AS141" s="427"/>
      <c r="AT141" s="427"/>
      <c r="AU141" s="427"/>
      <c r="AV141" s="426"/>
      <c r="AW141" s="428"/>
      <c r="AX141" s="426"/>
      <c r="AY141" s="446"/>
      <c r="AZ141" s="450" t="s">
        <v>744</v>
      </c>
      <c r="BA141" s="451" t="s">
        <v>635</v>
      </c>
      <c r="BB141" s="452" t="s">
        <v>1227</v>
      </c>
      <c r="BC141" s="453" t="s">
        <v>1070</v>
      </c>
      <c r="BD141" s="439">
        <v>1</v>
      </c>
      <c r="BE141" s="439">
        <v>0</v>
      </c>
      <c r="BF141" s="440">
        <v>46065</v>
      </c>
      <c r="BG141" s="439">
        <v>0</v>
      </c>
      <c r="BH141" s="441">
        <v>1</v>
      </c>
      <c r="BI141" s="442">
        <v>0</v>
      </c>
      <c r="BJ141" s="443" t="s">
        <v>74</v>
      </c>
    </row>
    <row r="142" spans="1:62" s="459" customFormat="1" ht="12" customHeight="1">
      <c r="A142" s="423"/>
      <c r="B142" s="414"/>
      <c r="C142" s="414"/>
      <c r="D142" s="414"/>
      <c r="E142" s="414"/>
      <c r="F142" s="414"/>
      <c r="G142" s="414"/>
      <c r="H142" s="414"/>
      <c r="I142" s="447"/>
      <c r="J142" s="417">
        <v>46038</v>
      </c>
      <c r="K142" s="418">
        <v>46065</v>
      </c>
      <c r="L142" s="418"/>
      <c r="M142" s="419" t="s">
        <v>1058</v>
      </c>
      <c r="N142" s="448"/>
      <c r="O142" s="420">
        <v>46058</v>
      </c>
      <c r="P142" s="422">
        <v>46065</v>
      </c>
      <c r="Q142" s="449" t="s">
        <v>1064</v>
      </c>
      <c r="R142" s="428"/>
      <c r="S142" s="428"/>
      <c r="T142" s="425"/>
      <c r="U142" s="426"/>
      <c r="V142" s="424" t="s">
        <v>1099</v>
      </c>
      <c r="W142" s="426"/>
      <c r="X142" s="428"/>
      <c r="Y142" s="427"/>
      <c r="Z142" s="426"/>
      <c r="AA142" s="448"/>
      <c r="AB142" s="428"/>
      <c r="AC142" s="426"/>
      <c r="AD142" s="446"/>
      <c r="AE142" s="428"/>
      <c r="AF142" s="427"/>
      <c r="AG142" s="426"/>
      <c r="AH142" s="425"/>
      <c r="AI142" s="427"/>
      <c r="AJ142" s="427"/>
      <c r="AK142" s="426"/>
      <c r="AL142" s="428"/>
      <c r="AM142" s="427"/>
      <c r="AN142" s="427"/>
      <c r="AO142" s="426"/>
      <c r="AP142" s="428"/>
      <c r="AQ142" s="427"/>
      <c r="AR142" s="427"/>
      <c r="AS142" s="427"/>
      <c r="AT142" s="427"/>
      <c r="AU142" s="427"/>
      <c r="AV142" s="426"/>
      <c r="AW142" s="428"/>
      <c r="AX142" s="426"/>
      <c r="AY142" s="446"/>
      <c r="AZ142" s="450" t="s">
        <v>744</v>
      </c>
      <c r="BA142" s="451" t="s">
        <v>635</v>
      </c>
      <c r="BB142" s="452" t="s">
        <v>1219</v>
      </c>
      <c r="BC142" s="453" t="s">
        <v>1070</v>
      </c>
      <c r="BD142" s="439">
        <v>1</v>
      </c>
      <c r="BE142" s="439">
        <v>0</v>
      </c>
      <c r="BF142" s="440">
        <v>46065</v>
      </c>
      <c r="BG142" s="439">
        <v>0</v>
      </c>
      <c r="BH142" s="441">
        <v>1</v>
      </c>
      <c r="BI142" s="442">
        <v>0</v>
      </c>
      <c r="BJ142" s="443" t="s">
        <v>74</v>
      </c>
    </row>
    <row r="143" spans="1:62" s="459" customFormat="1" ht="12" customHeight="1">
      <c r="A143" s="423"/>
      <c r="B143" s="414"/>
      <c r="C143" s="414"/>
      <c r="D143" s="414"/>
      <c r="E143" s="414"/>
      <c r="F143" s="414"/>
      <c r="G143" s="414"/>
      <c r="H143" s="414"/>
      <c r="I143" s="447"/>
      <c r="J143" s="417">
        <v>46038</v>
      </c>
      <c r="K143" s="418">
        <v>46066</v>
      </c>
      <c r="L143" s="418"/>
      <c r="M143" s="419" t="s">
        <v>1058</v>
      </c>
      <c r="N143" s="448"/>
      <c r="O143" s="420">
        <v>46059</v>
      </c>
      <c r="P143" s="422">
        <v>46066</v>
      </c>
      <c r="Q143" s="449" t="s">
        <v>1064</v>
      </c>
      <c r="R143" s="428"/>
      <c r="S143" s="428"/>
      <c r="T143" s="425"/>
      <c r="U143" s="426"/>
      <c r="V143" s="424" t="s">
        <v>1065</v>
      </c>
      <c r="W143" s="426"/>
      <c r="X143" s="428"/>
      <c r="Y143" s="427"/>
      <c r="Z143" s="426"/>
      <c r="AA143" s="448"/>
      <c r="AB143" s="428"/>
      <c r="AC143" s="426"/>
      <c r="AD143" s="446"/>
      <c r="AE143" s="428"/>
      <c r="AF143" s="427"/>
      <c r="AG143" s="426"/>
      <c r="AH143" s="425"/>
      <c r="AI143" s="427"/>
      <c r="AJ143" s="427"/>
      <c r="AK143" s="426"/>
      <c r="AL143" s="428"/>
      <c r="AM143" s="427"/>
      <c r="AN143" s="427"/>
      <c r="AO143" s="426"/>
      <c r="AP143" s="428"/>
      <c r="AQ143" s="427"/>
      <c r="AR143" s="427"/>
      <c r="AS143" s="427"/>
      <c r="AT143" s="427"/>
      <c r="AU143" s="427"/>
      <c r="AV143" s="426"/>
      <c r="AW143" s="428"/>
      <c r="AX143" s="426"/>
      <c r="AY143" s="446"/>
      <c r="AZ143" s="450" t="s">
        <v>745</v>
      </c>
      <c r="BA143" s="451" t="s">
        <v>635</v>
      </c>
      <c r="BB143" s="452" t="s">
        <v>1209</v>
      </c>
      <c r="BC143" s="453" t="s">
        <v>1070</v>
      </c>
      <c r="BD143" s="439">
        <v>1</v>
      </c>
      <c r="BE143" s="439">
        <v>0</v>
      </c>
      <c r="BF143" s="440">
        <v>46066</v>
      </c>
      <c r="BG143" s="439">
        <v>0</v>
      </c>
      <c r="BH143" s="441">
        <v>1</v>
      </c>
      <c r="BI143" s="442">
        <v>0</v>
      </c>
      <c r="BJ143" s="443" t="s">
        <v>74</v>
      </c>
    </row>
    <row r="144" spans="1:62" s="459" customFormat="1" ht="12" customHeight="1">
      <c r="A144" s="423"/>
      <c r="B144" s="414"/>
      <c r="C144" s="414"/>
      <c r="D144" s="414"/>
      <c r="E144" s="414"/>
      <c r="F144" s="414"/>
      <c r="G144" s="414"/>
      <c r="H144" s="414"/>
      <c r="I144" s="447"/>
      <c r="J144" s="417">
        <v>46038</v>
      </c>
      <c r="K144" s="418">
        <v>46066</v>
      </c>
      <c r="L144" s="418"/>
      <c r="M144" s="419" t="s">
        <v>1058</v>
      </c>
      <c r="N144" s="448"/>
      <c r="O144" s="420">
        <v>46059</v>
      </c>
      <c r="P144" s="422">
        <v>46066</v>
      </c>
      <c r="Q144" s="449" t="s">
        <v>1064</v>
      </c>
      <c r="R144" s="428"/>
      <c r="S144" s="428"/>
      <c r="T144" s="425"/>
      <c r="U144" s="426"/>
      <c r="V144" s="424" t="s">
        <v>1099</v>
      </c>
      <c r="W144" s="426"/>
      <c r="X144" s="428"/>
      <c r="Y144" s="427"/>
      <c r="Z144" s="426"/>
      <c r="AA144" s="448"/>
      <c r="AB144" s="428"/>
      <c r="AC144" s="426"/>
      <c r="AD144" s="446"/>
      <c r="AE144" s="428"/>
      <c r="AF144" s="427"/>
      <c r="AG144" s="426"/>
      <c r="AH144" s="425"/>
      <c r="AI144" s="427"/>
      <c r="AJ144" s="427"/>
      <c r="AK144" s="426"/>
      <c r="AL144" s="428"/>
      <c r="AM144" s="427"/>
      <c r="AN144" s="427"/>
      <c r="AO144" s="426"/>
      <c r="AP144" s="428"/>
      <c r="AQ144" s="427"/>
      <c r="AR144" s="427"/>
      <c r="AS144" s="427"/>
      <c r="AT144" s="427"/>
      <c r="AU144" s="427"/>
      <c r="AV144" s="426"/>
      <c r="AW144" s="428"/>
      <c r="AX144" s="426"/>
      <c r="AY144" s="446"/>
      <c r="AZ144" s="450" t="s">
        <v>745</v>
      </c>
      <c r="BA144" s="451" t="s">
        <v>635</v>
      </c>
      <c r="BB144" s="452" t="s">
        <v>1210</v>
      </c>
      <c r="BC144" s="453" t="s">
        <v>1070</v>
      </c>
      <c r="BD144" s="439">
        <v>1</v>
      </c>
      <c r="BE144" s="439">
        <v>0</v>
      </c>
      <c r="BF144" s="440">
        <v>46066</v>
      </c>
      <c r="BG144" s="439">
        <v>0</v>
      </c>
      <c r="BH144" s="441">
        <v>1</v>
      </c>
      <c r="BI144" s="442">
        <v>0</v>
      </c>
      <c r="BJ144" s="443" t="s">
        <v>74</v>
      </c>
    </row>
    <row r="145" spans="1:62" s="459" customFormat="1" ht="12" customHeight="1">
      <c r="A145" s="423"/>
      <c r="B145" s="414"/>
      <c r="C145" s="414"/>
      <c r="D145" s="414"/>
      <c r="E145" s="414"/>
      <c r="F145" s="414"/>
      <c r="G145" s="414"/>
      <c r="H145" s="414"/>
      <c r="I145" s="447"/>
      <c r="J145" s="417">
        <v>46038</v>
      </c>
      <c r="K145" s="418">
        <v>46066</v>
      </c>
      <c r="L145" s="418"/>
      <c r="M145" s="419" t="s">
        <v>1058</v>
      </c>
      <c r="N145" s="448"/>
      <c r="O145" s="420">
        <v>46059</v>
      </c>
      <c r="P145" s="422">
        <v>46066</v>
      </c>
      <c r="Q145" s="449" t="s">
        <v>1064</v>
      </c>
      <c r="R145" s="428"/>
      <c r="S145" s="428"/>
      <c r="T145" s="425"/>
      <c r="U145" s="426"/>
      <c r="V145" s="424" t="s">
        <v>1099</v>
      </c>
      <c r="W145" s="426"/>
      <c r="X145" s="428"/>
      <c r="Y145" s="427"/>
      <c r="Z145" s="426"/>
      <c r="AA145" s="448"/>
      <c r="AB145" s="428"/>
      <c r="AC145" s="426"/>
      <c r="AD145" s="446"/>
      <c r="AE145" s="428"/>
      <c r="AF145" s="427"/>
      <c r="AG145" s="426"/>
      <c r="AH145" s="425"/>
      <c r="AI145" s="427"/>
      <c r="AJ145" s="427"/>
      <c r="AK145" s="426"/>
      <c r="AL145" s="428"/>
      <c r="AM145" s="427"/>
      <c r="AN145" s="427"/>
      <c r="AO145" s="426"/>
      <c r="AP145" s="428"/>
      <c r="AQ145" s="427"/>
      <c r="AR145" s="427"/>
      <c r="AS145" s="427"/>
      <c r="AT145" s="427"/>
      <c r="AU145" s="427"/>
      <c r="AV145" s="426"/>
      <c r="AW145" s="428"/>
      <c r="AX145" s="426"/>
      <c r="AY145" s="446"/>
      <c r="AZ145" s="450" t="s">
        <v>745</v>
      </c>
      <c r="BA145" s="451" t="s">
        <v>635</v>
      </c>
      <c r="BB145" s="452" t="s">
        <v>1211</v>
      </c>
      <c r="BC145" s="453" t="s">
        <v>1070</v>
      </c>
      <c r="BD145" s="439">
        <v>1</v>
      </c>
      <c r="BE145" s="439">
        <v>0</v>
      </c>
      <c r="BF145" s="440">
        <v>46066</v>
      </c>
      <c r="BG145" s="439">
        <v>0</v>
      </c>
      <c r="BH145" s="441">
        <v>1</v>
      </c>
      <c r="BI145" s="442">
        <v>0</v>
      </c>
      <c r="BJ145" s="443" t="s">
        <v>74</v>
      </c>
    </row>
    <row r="146" spans="1:62" s="459" customFormat="1" ht="12" customHeight="1">
      <c r="A146" s="423"/>
      <c r="B146" s="414"/>
      <c r="C146" s="414"/>
      <c r="D146" s="414"/>
      <c r="E146" s="414"/>
      <c r="F146" s="414"/>
      <c r="G146" s="414"/>
      <c r="H146" s="414"/>
      <c r="I146" s="447"/>
      <c r="J146" s="417">
        <v>46042</v>
      </c>
      <c r="K146" s="418">
        <v>46069</v>
      </c>
      <c r="L146" s="418"/>
      <c r="M146" s="419" t="s">
        <v>1058</v>
      </c>
      <c r="N146" s="448"/>
      <c r="O146" s="420">
        <v>46062</v>
      </c>
      <c r="P146" s="422">
        <v>46069</v>
      </c>
      <c r="Q146" s="449" t="s">
        <v>1064</v>
      </c>
      <c r="R146" s="428"/>
      <c r="S146" s="428"/>
      <c r="T146" s="425"/>
      <c r="U146" s="426"/>
      <c r="V146" s="424" t="s">
        <v>1099</v>
      </c>
      <c r="W146" s="426"/>
      <c r="X146" s="428"/>
      <c r="Y146" s="427"/>
      <c r="Z146" s="426"/>
      <c r="AA146" s="448"/>
      <c r="AB146" s="428"/>
      <c r="AC146" s="426"/>
      <c r="AD146" s="446"/>
      <c r="AE146" s="428"/>
      <c r="AF146" s="427"/>
      <c r="AG146" s="426"/>
      <c r="AH146" s="425"/>
      <c r="AI146" s="427"/>
      <c r="AJ146" s="427"/>
      <c r="AK146" s="426"/>
      <c r="AL146" s="428"/>
      <c r="AM146" s="427"/>
      <c r="AN146" s="427"/>
      <c r="AO146" s="426"/>
      <c r="AP146" s="428"/>
      <c r="AQ146" s="427"/>
      <c r="AR146" s="427"/>
      <c r="AS146" s="427"/>
      <c r="AT146" s="427"/>
      <c r="AU146" s="427"/>
      <c r="AV146" s="426"/>
      <c r="AW146" s="428"/>
      <c r="AX146" s="426"/>
      <c r="AY146" s="446"/>
      <c r="AZ146" s="450" t="s">
        <v>746</v>
      </c>
      <c r="BA146" s="451" t="s">
        <v>635</v>
      </c>
      <c r="BB146" s="452" t="s">
        <v>1209</v>
      </c>
      <c r="BC146" s="453" t="s">
        <v>1070</v>
      </c>
      <c r="BD146" s="439">
        <v>1</v>
      </c>
      <c r="BE146" s="439">
        <v>0</v>
      </c>
      <c r="BF146" s="440">
        <v>46069</v>
      </c>
      <c r="BG146" s="439">
        <v>0</v>
      </c>
      <c r="BH146" s="441">
        <v>1</v>
      </c>
      <c r="BI146" s="442">
        <v>0</v>
      </c>
      <c r="BJ146" s="443" t="s">
        <v>74</v>
      </c>
    </row>
    <row r="147" spans="1:62" s="459" customFormat="1" ht="12" customHeight="1">
      <c r="A147" s="423"/>
      <c r="B147" s="414"/>
      <c r="C147" s="414"/>
      <c r="D147" s="414"/>
      <c r="E147" s="414"/>
      <c r="F147" s="414"/>
      <c r="G147" s="414"/>
      <c r="H147" s="414"/>
      <c r="I147" s="447"/>
      <c r="J147" s="417">
        <v>46042</v>
      </c>
      <c r="K147" s="418">
        <v>46069</v>
      </c>
      <c r="L147" s="418"/>
      <c r="M147" s="419" t="s">
        <v>1058</v>
      </c>
      <c r="N147" s="448"/>
      <c r="O147" s="420">
        <v>46062</v>
      </c>
      <c r="P147" s="422">
        <v>46069</v>
      </c>
      <c r="Q147" s="449" t="s">
        <v>1064</v>
      </c>
      <c r="R147" s="428"/>
      <c r="S147" s="428"/>
      <c r="T147" s="425"/>
      <c r="U147" s="426"/>
      <c r="V147" s="424" t="s">
        <v>1099</v>
      </c>
      <c r="W147" s="426"/>
      <c r="X147" s="428"/>
      <c r="Y147" s="427"/>
      <c r="Z147" s="426"/>
      <c r="AA147" s="448"/>
      <c r="AB147" s="428"/>
      <c r="AC147" s="426"/>
      <c r="AD147" s="446"/>
      <c r="AE147" s="428"/>
      <c r="AF147" s="427"/>
      <c r="AG147" s="426"/>
      <c r="AH147" s="425"/>
      <c r="AI147" s="427"/>
      <c r="AJ147" s="427"/>
      <c r="AK147" s="426"/>
      <c r="AL147" s="428"/>
      <c r="AM147" s="427"/>
      <c r="AN147" s="427"/>
      <c r="AO147" s="426"/>
      <c r="AP147" s="428"/>
      <c r="AQ147" s="427"/>
      <c r="AR147" s="427"/>
      <c r="AS147" s="427"/>
      <c r="AT147" s="427"/>
      <c r="AU147" s="427"/>
      <c r="AV147" s="426"/>
      <c r="AW147" s="428"/>
      <c r="AX147" s="426"/>
      <c r="AY147" s="446"/>
      <c r="AZ147" s="450" t="s">
        <v>746</v>
      </c>
      <c r="BA147" s="451" t="s">
        <v>635</v>
      </c>
      <c r="BB147" s="452" t="s">
        <v>1210</v>
      </c>
      <c r="BC147" s="453" t="s">
        <v>1070</v>
      </c>
      <c r="BD147" s="439">
        <v>1</v>
      </c>
      <c r="BE147" s="439">
        <v>0</v>
      </c>
      <c r="BF147" s="440">
        <v>46069</v>
      </c>
      <c r="BG147" s="439">
        <v>0</v>
      </c>
      <c r="BH147" s="441">
        <v>1</v>
      </c>
      <c r="BI147" s="442">
        <v>0</v>
      </c>
      <c r="BJ147" s="443" t="s">
        <v>74</v>
      </c>
    </row>
    <row r="148" spans="1:62" s="459" customFormat="1" ht="12" customHeight="1">
      <c r="A148" s="423"/>
      <c r="B148" s="414"/>
      <c r="C148" s="414"/>
      <c r="D148" s="414"/>
      <c r="E148" s="414"/>
      <c r="F148" s="414"/>
      <c r="G148" s="414"/>
      <c r="H148" s="414"/>
      <c r="I148" s="447"/>
      <c r="J148" s="417">
        <v>46042</v>
      </c>
      <c r="K148" s="418">
        <v>46069</v>
      </c>
      <c r="L148" s="418"/>
      <c r="M148" s="419" t="s">
        <v>1058</v>
      </c>
      <c r="N148" s="448"/>
      <c r="O148" s="420">
        <v>46062</v>
      </c>
      <c r="P148" s="422">
        <v>46069</v>
      </c>
      <c r="Q148" s="449" t="s">
        <v>1064</v>
      </c>
      <c r="R148" s="428"/>
      <c r="S148" s="428"/>
      <c r="T148" s="425"/>
      <c r="U148" s="426"/>
      <c r="V148" s="424" t="s">
        <v>1099</v>
      </c>
      <c r="W148" s="426"/>
      <c r="X148" s="428"/>
      <c r="Y148" s="427"/>
      <c r="Z148" s="426"/>
      <c r="AA148" s="448"/>
      <c r="AB148" s="428"/>
      <c r="AC148" s="426"/>
      <c r="AD148" s="446"/>
      <c r="AE148" s="428"/>
      <c r="AF148" s="427"/>
      <c r="AG148" s="426"/>
      <c r="AH148" s="425"/>
      <c r="AI148" s="427"/>
      <c r="AJ148" s="427"/>
      <c r="AK148" s="426"/>
      <c r="AL148" s="428"/>
      <c r="AM148" s="427"/>
      <c r="AN148" s="427"/>
      <c r="AO148" s="426"/>
      <c r="AP148" s="428"/>
      <c r="AQ148" s="427"/>
      <c r="AR148" s="427"/>
      <c r="AS148" s="427"/>
      <c r="AT148" s="427"/>
      <c r="AU148" s="427"/>
      <c r="AV148" s="426"/>
      <c r="AW148" s="428"/>
      <c r="AX148" s="426"/>
      <c r="AY148" s="446"/>
      <c r="AZ148" s="450" t="s">
        <v>746</v>
      </c>
      <c r="BA148" s="451" t="s">
        <v>635</v>
      </c>
      <c r="BB148" s="452" t="s">
        <v>1211</v>
      </c>
      <c r="BC148" s="453" t="s">
        <v>1070</v>
      </c>
      <c r="BD148" s="439">
        <v>1</v>
      </c>
      <c r="BE148" s="439">
        <v>0</v>
      </c>
      <c r="BF148" s="440">
        <v>46069</v>
      </c>
      <c r="BG148" s="439">
        <v>0</v>
      </c>
      <c r="BH148" s="441">
        <v>1</v>
      </c>
      <c r="BI148" s="442">
        <v>0</v>
      </c>
      <c r="BJ148" s="443" t="s">
        <v>74</v>
      </c>
    </row>
    <row r="149" spans="1:62" s="459" customFormat="1" ht="12" customHeight="1">
      <c r="A149" s="423"/>
      <c r="B149" s="414"/>
      <c r="C149" s="414"/>
      <c r="D149" s="414"/>
      <c r="E149" s="414"/>
      <c r="F149" s="414"/>
      <c r="G149" s="414"/>
      <c r="H149" s="414"/>
      <c r="I149" s="447"/>
      <c r="J149" s="417">
        <v>46042</v>
      </c>
      <c r="K149" s="418">
        <v>46069</v>
      </c>
      <c r="L149" s="418"/>
      <c r="M149" s="419" t="s">
        <v>1058</v>
      </c>
      <c r="N149" s="448"/>
      <c r="O149" s="420">
        <v>46062</v>
      </c>
      <c r="P149" s="422">
        <v>46069</v>
      </c>
      <c r="Q149" s="449" t="s">
        <v>1064</v>
      </c>
      <c r="R149" s="428"/>
      <c r="S149" s="428"/>
      <c r="T149" s="425"/>
      <c r="U149" s="426"/>
      <c r="V149" s="424" t="s">
        <v>1099</v>
      </c>
      <c r="W149" s="426"/>
      <c r="X149" s="428"/>
      <c r="Y149" s="427"/>
      <c r="Z149" s="426"/>
      <c r="AA149" s="448"/>
      <c r="AB149" s="428"/>
      <c r="AC149" s="426"/>
      <c r="AD149" s="446"/>
      <c r="AE149" s="428"/>
      <c r="AF149" s="427"/>
      <c r="AG149" s="426"/>
      <c r="AH149" s="425"/>
      <c r="AI149" s="427"/>
      <c r="AJ149" s="427"/>
      <c r="AK149" s="426"/>
      <c r="AL149" s="428"/>
      <c r="AM149" s="427"/>
      <c r="AN149" s="427"/>
      <c r="AO149" s="426"/>
      <c r="AP149" s="428"/>
      <c r="AQ149" s="427"/>
      <c r="AR149" s="427"/>
      <c r="AS149" s="427"/>
      <c r="AT149" s="427"/>
      <c r="AU149" s="427"/>
      <c r="AV149" s="426"/>
      <c r="AW149" s="428"/>
      <c r="AX149" s="426"/>
      <c r="AY149" s="446"/>
      <c r="AZ149" s="450" t="s">
        <v>747</v>
      </c>
      <c r="BA149" s="451" t="s">
        <v>679</v>
      </c>
      <c r="BB149" s="452" t="s">
        <v>1218</v>
      </c>
      <c r="BC149" s="453" t="s">
        <v>1228</v>
      </c>
      <c r="BD149" s="439">
        <v>1</v>
      </c>
      <c r="BE149" s="439">
        <v>0</v>
      </c>
      <c r="BF149" s="440">
        <v>46069</v>
      </c>
      <c r="BG149" s="439">
        <v>0</v>
      </c>
      <c r="BH149" s="441">
        <v>1</v>
      </c>
      <c r="BI149" s="442">
        <v>0</v>
      </c>
      <c r="BJ149" s="443" t="s">
        <v>74</v>
      </c>
    </row>
    <row r="150" spans="1:62" s="459" customFormat="1" ht="12" customHeight="1">
      <c r="A150" s="423"/>
      <c r="B150" s="414"/>
      <c r="C150" s="414"/>
      <c r="D150" s="414"/>
      <c r="E150" s="414"/>
      <c r="F150" s="414"/>
      <c r="G150" s="414"/>
      <c r="H150" s="414"/>
      <c r="I150" s="447"/>
      <c r="J150" s="417">
        <v>46042</v>
      </c>
      <c r="K150" s="418">
        <v>46069</v>
      </c>
      <c r="L150" s="418"/>
      <c r="M150" s="419" t="s">
        <v>1058</v>
      </c>
      <c r="N150" s="448"/>
      <c r="O150" s="420">
        <v>46062</v>
      </c>
      <c r="P150" s="422">
        <v>46069</v>
      </c>
      <c r="Q150" s="449" t="s">
        <v>1064</v>
      </c>
      <c r="R150" s="428"/>
      <c r="S150" s="428"/>
      <c r="T150" s="425"/>
      <c r="U150" s="426"/>
      <c r="V150" s="424" t="s">
        <v>1099</v>
      </c>
      <c r="W150" s="426"/>
      <c r="X150" s="428"/>
      <c r="Y150" s="427"/>
      <c r="Z150" s="426"/>
      <c r="AA150" s="448"/>
      <c r="AB150" s="428"/>
      <c r="AC150" s="426"/>
      <c r="AD150" s="446"/>
      <c r="AE150" s="428"/>
      <c r="AF150" s="427"/>
      <c r="AG150" s="426"/>
      <c r="AH150" s="425"/>
      <c r="AI150" s="427"/>
      <c r="AJ150" s="427"/>
      <c r="AK150" s="426"/>
      <c r="AL150" s="428"/>
      <c r="AM150" s="427"/>
      <c r="AN150" s="427"/>
      <c r="AO150" s="426"/>
      <c r="AP150" s="428"/>
      <c r="AQ150" s="427"/>
      <c r="AR150" s="427"/>
      <c r="AS150" s="427"/>
      <c r="AT150" s="427"/>
      <c r="AU150" s="427"/>
      <c r="AV150" s="426"/>
      <c r="AW150" s="428"/>
      <c r="AX150" s="426"/>
      <c r="AY150" s="446"/>
      <c r="AZ150" s="450" t="s">
        <v>747</v>
      </c>
      <c r="BA150" s="451" t="s">
        <v>679</v>
      </c>
      <c r="BB150" s="452" t="s">
        <v>1229</v>
      </c>
      <c r="BC150" s="453" t="s">
        <v>1228</v>
      </c>
      <c r="BD150" s="439">
        <v>1</v>
      </c>
      <c r="BE150" s="439">
        <v>0</v>
      </c>
      <c r="BF150" s="440">
        <v>46069</v>
      </c>
      <c r="BG150" s="439">
        <v>0</v>
      </c>
      <c r="BH150" s="441">
        <v>1</v>
      </c>
      <c r="BI150" s="442">
        <v>0</v>
      </c>
      <c r="BJ150" s="443" t="s">
        <v>74</v>
      </c>
    </row>
    <row r="151" spans="1:62" s="459" customFormat="1" ht="12" customHeight="1">
      <c r="A151" s="423"/>
      <c r="B151" s="414"/>
      <c r="C151" s="414"/>
      <c r="D151" s="414"/>
      <c r="E151" s="414"/>
      <c r="F151" s="414"/>
      <c r="G151" s="414"/>
      <c r="H151" s="414"/>
      <c r="I151" s="447"/>
      <c r="J151" s="417">
        <v>46042</v>
      </c>
      <c r="K151" s="418">
        <v>46070</v>
      </c>
      <c r="L151" s="418"/>
      <c r="M151" s="419" t="s">
        <v>1058</v>
      </c>
      <c r="N151" s="448"/>
      <c r="O151" s="448"/>
      <c r="P151" s="422">
        <v>46070</v>
      </c>
      <c r="Q151" s="449" t="s">
        <v>1064</v>
      </c>
      <c r="R151" s="428"/>
      <c r="S151" s="428"/>
      <c r="T151" s="425"/>
      <c r="U151" s="426"/>
      <c r="V151" s="428"/>
      <c r="W151" s="426"/>
      <c r="X151" s="428"/>
      <c r="Y151" s="427"/>
      <c r="Z151" s="426"/>
      <c r="AA151" s="421">
        <v>46065</v>
      </c>
      <c r="AB151" s="428"/>
      <c r="AC151" s="445" t="s">
        <v>1072</v>
      </c>
      <c r="AD151" s="446"/>
      <c r="AE151" s="428"/>
      <c r="AF151" s="427"/>
      <c r="AG151" s="426"/>
      <c r="AH151" s="425"/>
      <c r="AI151" s="427"/>
      <c r="AJ151" s="427"/>
      <c r="AK151" s="426"/>
      <c r="AL151" s="428"/>
      <c r="AM151" s="427"/>
      <c r="AN151" s="427"/>
      <c r="AO151" s="426"/>
      <c r="AP151" s="428"/>
      <c r="AQ151" s="427"/>
      <c r="AR151" s="427"/>
      <c r="AS151" s="427"/>
      <c r="AT151" s="427"/>
      <c r="AU151" s="427"/>
      <c r="AV151" s="426"/>
      <c r="AW151" s="428"/>
      <c r="AX151" s="426"/>
      <c r="AY151" s="446"/>
      <c r="AZ151" s="450" t="s">
        <v>750</v>
      </c>
      <c r="BA151" s="451" t="s">
        <v>635</v>
      </c>
      <c r="BB151" s="452" t="s">
        <v>1230</v>
      </c>
      <c r="BC151" s="453" t="s">
        <v>1070</v>
      </c>
      <c r="BD151" s="439">
        <v>1</v>
      </c>
      <c r="BE151" s="439">
        <v>0</v>
      </c>
      <c r="BF151" s="440">
        <v>46070</v>
      </c>
      <c r="BG151" s="439">
        <v>0</v>
      </c>
      <c r="BH151" s="441">
        <v>0</v>
      </c>
      <c r="BI151" s="442">
        <v>1</v>
      </c>
      <c r="BJ151" s="443" t="s">
        <v>80</v>
      </c>
    </row>
    <row r="152" spans="1:62" s="459" customFormat="1" ht="12" customHeight="1">
      <c r="A152" s="423"/>
      <c r="B152" s="414"/>
      <c r="C152" s="414"/>
      <c r="D152" s="414"/>
      <c r="E152" s="414"/>
      <c r="F152" s="414"/>
      <c r="G152" s="414"/>
      <c r="H152" s="414"/>
      <c r="I152" s="447"/>
      <c r="J152" s="417">
        <v>46042</v>
      </c>
      <c r="K152" s="418">
        <v>46070</v>
      </c>
      <c r="L152" s="418"/>
      <c r="M152" s="419" t="s">
        <v>1058</v>
      </c>
      <c r="N152" s="448"/>
      <c r="O152" s="448"/>
      <c r="P152" s="422">
        <v>46070</v>
      </c>
      <c r="Q152" s="449" t="s">
        <v>1064</v>
      </c>
      <c r="R152" s="428"/>
      <c r="S152" s="428"/>
      <c r="T152" s="425"/>
      <c r="U152" s="426"/>
      <c r="V152" s="428"/>
      <c r="W152" s="426"/>
      <c r="X152" s="428"/>
      <c r="Y152" s="427"/>
      <c r="Z152" s="426"/>
      <c r="AA152" s="421">
        <v>46065</v>
      </c>
      <c r="AB152" s="428"/>
      <c r="AC152" s="445" t="s">
        <v>1072</v>
      </c>
      <c r="AD152" s="446"/>
      <c r="AE152" s="428"/>
      <c r="AF152" s="427"/>
      <c r="AG152" s="426"/>
      <c r="AH152" s="425"/>
      <c r="AI152" s="427"/>
      <c r="AJ152" s="427"/>
      <c r="AK152" s="426"/>
      <c r="AL152" s="428"/>
      <c r="AM152" s="427"/>
      <c r="AN152" s="427"/>
      <c r="AO152" s="426"/>
      <c r="AP152" s="428"/>
      <c r="AQ152" s="427"/>
      <c r="AR152" s="427"/>
      <c r="AS152" s="427"/>
      <c r="AT152" s="427"/>
      <c r="AU152" s="427"/>
      <c r="AV152" s="426"/>
      <c r="AW152" s="428"/>
      <c r="AX152" s="426"/>
      <c r="AY152" s="446"/>
      <c r="AZ152" s="450" t="s">
        <v>750</v>
      </c>
      <c r="BA152" s="451" t="s">
        <v>635</v>
      </c>
      <c r="BB152" s="452" t="s">
        <v>1231</v>
      </c>
      <c r="BC152" s="453" t="s">
        <v>1070</v>
      </c>
      <c r="BD152" s="439">
        <v>1</v>
      </c>
      <c r="BE152" s="439">
        <v>0</v>
      </c>
      <c r="BF152" s="440">
        <v>46070</v>
      </c>
      <c r="BG152" s="439">
        <v>0</v>
      </c>
      <c r="BH152" s="441">
        <v>0</v>
      </c>
      <c r="BI152" s="442">
        <v>1</v>
      </c>
      <c r="BJ152" s="443" t="s">
        <v>80</v>
      </c>
    </row>
    <row r="153" spans="1:62" s="459" customFormat="1" ht="12" customHeight="1">
      <c r="A153" s="423"/>
      <c r="B153" s="414"/>
      <c r="C153" s="414"/>
      <c r="D153" s="414"/>
      <c r="E153" s="414"/>
      <c r="F153" s="414"/>
      <c r="G153" s="414"/>
      <c r="H153" s="414"/>
      <c r="I153" s="447"/>
      <c r="J153" s="417">
        <v>46042</v>
      </c>
      <c r="K153" s="418">
        <v>46070</v>
      </c>
      <c r="L153" s="418"/>
      <c r="M153" s="419" t="s">
        <v>1058</v>
      </c>
      <c r="N153" s="448"/>
      <c r="O153" s="448"/>
      <c r="P153" s="422">
        <v>46070</v>
      </c>
      <c r="Q153" s="449" t="s">
        <v>1064</v>
      </c>
      <c r="R153" s="428"/>
      <c r="S153" s="428"/>
      <c r="T153" s="425"/>
      <c r="U153" s="426"/>
      <c r="V153" s="428"/>
      <c r="W153" s="426"/>
      <c r="X153" s="428"/>
      <c r="Y153" s="427"/>
      <c r="Z153" s="426"/>
      <c r="AA153" s="421">
        <v>46065</v>
      </c>
      <c r="AB153" s="428"/>
      <c r="AC153" s="445" t="s">
        <v>1099</v>
      </c>
      <c r="AD153" s="446"/>
      <c r="AE153" s="428"/>
      <c r="AF153" s="427"/>
      <c r="AG153" s="426"/>
      <c r="AH153" s="425"/>
      <c r="AI153" s="427"/>
      <c r="AJ153" s="427"/>
      <c r="AK153" s="426"/>
      <c r="AL153" s="428"/>
      <c r="AM153" s="427"/>
      <c r="AN153" s="427"/>
      <c r="AO153" s="426"/>
      <c r="AP153" s="428"/>
      <c r="AQ153" s="427"/>
      <c r="AR153" s="427"/>
      <c r="AS153" s="427"/>
      <c r="AT153" s="427"/>
      <c r="AU153" s="427"/>
      <c r="AV153" s="426"/>
      <c r="AW153" s="428"/>
      <c r="AX153" s="426"/>
      <c r="AY153" s="446"/>
      <c r="AZ153" s="450" t="s">
        <v>750</v>
      </c>
      <c r="BA153" s="451" t="s">
        <v>635</v>
      </c>
      <c r="BB153" s="452" t="s">
        <v>1232</v>
      </c>
      <c r="BC153" s="453" t="s">
        <v>1070</v>
      </c>
      <c r="BD153" s="439">
        <v>1</v>
      </c>
      <c r="BE153" s="439">
        <v>0</v>
      </c>
      <c r="BF153" s="440">
        <v>46070</v>
      </c>
      <c r="BG153" s="439">
        <v>0</v>
      </c>
      <c r="BH153" s="441">
        <v>0</v>
      </c>
      <c r="BI153" s="442">
        <v>1</v>
      </c>
      <c r="BJ153" s="443" t="s">
        <v>80</v>
      </c>
    </row>
    <row r="154" spans="1:62" s="459" customFormat="1" ht="12" customHeight="1">
      <c r="A154" s="423"/>
      <c r="B154" s="414"/>
      <c r="C154" s="414"/>
      <c r="D154" s="414"/>
      <c r="E154" s="414"/>
      <c r="F154" s="414"/>
      <c r="G154" s="414"/>
      <c r="H154" s="414"/>
      <c r="I154" s="447"/>
      <c r="J154" s="417">
        <v>46042</v>
      </c>
      <c r="K154" s="418">
        <v>46070</v>
      </c>
      <c r="L154" s="418"/>
      <c r="M154" s="419" t="s">
        <v>1058</v>
      </c>
      <c r="N154" s="448"/>
      <c r="O154" s="448"/>
      <c r="P154" s="422">
        <v>46070</v>
      </c>
      <c r="Q154" s="449" t="s">
        <v>1064</v>
      </c>
      <c r="R154" s="428"/>
      <c r="S154" s="428"/>
      <c r="T154" s="425"/>
      <c r="U154" s="426"/>
      <c r="V154" s="428"/>
      <c r="W154" s="426"/>
      <c r="X154" s="428"/>
      <c r="Y154" s="427"/>
      <c r="Z154" s="426"/>
      <c r="AA154" s="421">
        <v>46065</v>
      </c>
      <c r="AB154" s="428"/>
      <c r="AC154" s="445" t="s">
        <v>1072</v>
      </c>
      <c r="AD154" s="446"/>
      <c r="AE154" s="428"/>
      <c r="AF154" s="427"/>
      <c r="AG154" s="426"/>
      <c r="AH154" s="425"/>
      <c r="AI154" s="427"/>
      <c r="AJ154" s="427"/>
      <c r="AK154" s="426"/>
      <c r="AL154" s="428"/>
      <c r="AM154" s="427"/>
      <c r="AN154" s="427"/>
      <c r="AO154" s="426"/>
      <c r="AP154" s="428"/>
      <c r="AQ154" s="427"/>
      <c r="AR154" s="427"/>
      <c r="AS154" s="427"/>
      <c r="AT154" s="427"/>
      <c r="AU154" s="427"/>
      <c r="AV154" s="426"/>
      <c r="AW154" s="428"/>
      <c r="AX154" s="426"/>
      <c r="AY154" s="446"/>
      <c r="AZ154" s="450" t="s">
        <v>750</v>
      </c>
      <c r="BA154" s="451" t="s">
        <v>635</v>
      </c>
      <c r="BB154" s="452" t="s">
        <v>1233</v>
      </c>
      <c r="BC154" s="453" t="s">
        <v>1070</v>
      </c>
      <c r="BD154" s="439">
        <v>1</v>
      </c>
      <c r="BE154" s="439">
        <v>0</v>
      </c>
      <c r="BF154" s="440">
        <v>46070</v>
      </c>
      <c r="BG154" s="439">
        <v>0</v>
      </c>
      <c r="BH154" s="441">
        <v>0</v>
      </c>
      <c r="BI154" s="442">
        <v>1</v>
      </c>
      <c r="BJ154" s="443" t="s">
        <v>80</v>
      </c>
    </row>
    <row r="155" spans="1:62" s="459" customFormat="1" ht="12" customHeight="1">
      <c r="A155" s="423"/>
      <c r="B155" s="414"/>
      <c r="C155" s="414"/>
      <c r="D155" s="414"/>
      <c r="E155" s="414"/>
      <c r="F155" s="414"/>
      <c r="G155" s="414"/>
      <c r="H155" s="414"/>
      <c r="I155" s="447"/>
      <c r="J155" s="417">
        <v>46042</v>
      </c>
      <c r="K155" s="418">
        <v>46070</v>
      </c>
      <c r="L155" s="418"/>
      <c r="M155" s="419" t="s">
        <v>1058</v>
      </c>
      <c r="N155" s="448"/>
      <c r="O155" s="448"/>
      <c r="P155" s="422">
        <v>46070</v>
      </c>
      <c r="Q155" s="449" t="s">
        <v>1064</v>
      </c>
      <c r="R155" s="428"/>
      <c r="S155" s="428"/>
      <c r="T155" s="425"/>
      <c r="U155" s="426"/>
      <c r="V155" s="428"/>
      <c r="W155" s="426"/>
      <c r="X155" s="428"/>
      <c r="Y155" s="427"/>
      <c r="Z155" s="426"/>
      <c r="AA155" s="421">
        <v>46065</v>
      </c>
      <c r="AB155" s="428"/>
      <c r="AC155" s="445" t="s">
        <v>1072</v>
      </c>
      <c r="AD155" s="446"/>
      <c r="AE155" s="428"/>
      <c r="AF155" s="427"/>
      <c r="AG155" s="426"/>
      <c r="AH155" s="425"/>
      <c r="AI155" s="427"/>
      <c r="AJ155" s="427"/>
      <c r="AK155" s="426"/>
      <c r="AL155" s="428"/>
      <c r="AM155" s="427"/>
      <c r="AN155" s="427"/>
      <c r="AO155" s="426"/>
      <c r="AP155" s="428"/>
      <c r="AQ155" s="427"/>
      <c r="AR155" s="427"/>
      <c r="AS155" s="427"/>
      <c r="AT155" s="427"/>
      <c r="AU155" s="427"/>
      <c r="AV155" s="426"/>
      <c r="AW155" s="428"/>
      <c r="AX155" s="426"/>
      <c r="AY155" s="446"/>
      <c r="AZ155" s="450" t="s">
        <v>750</v>
      </c>
      <c r="BA155" s="451" t="s">
        <v>635</v>
      </c>
      <c r="BB155" s="452" t="s">
        <v>1234</v>
      </c>
      <c r="BC155" s="453" t="s">
        <v>1070</v>
      </c>
      <c r="BD155" s="439">
        <v>1</v>
      </c>
      <c r="BE155" s="439">
        <v>0</v>
      </c>
      <c r="BF155" s="440">
        <v>46070</v>
      </c>
      <c r="BG155" s="439">
        <v>0</v>
      </c>
      <c r="BH155" s="441">
        <v>0</v>
      </c>
      <c r="BI155" s="442">
        <v>1</v>
      </c>
      <c r="BJ155" s="443" t="s">
        <v>80</v>
      </c>
    </row>
    <row r="156" spans="1:62" s="459" customFormat="1" ht="12" customHeight="1">
      <c r="A156" s="413">
        <v>21374</v>
      </c>
      <c r="B156" s="414"/>
      <c r="C156" s="414"/>
      <c r="D156" s="414"/>
      <c r="E156" s="414"/>
      <c r="F156" s="415">
        <v>1255</v>
      </c>
      <c r="G156" s="414"/>
      <c r="H156" s="414"/>
      <c r="I156" s="416" t="s">
        <v>342</v>
      </c>
      <c r="J156" s="417">
        <v>46058</v>
      </c>
      <c r="K156" s="418">
        <v>46071</v>
      </c>
      <c r="L156" s="418"/>
      <c r="M156" s="419" t="s">
        <v>1058</v>
      </c>
      <c r="N156" s="417">
        <v>46070</v>
      </c>
      <c r="O156" s="420">
        <v>46063</v>
      </c>
      <c r="P156" s="422">
        <v>46071</v>
      </c>
      <c r="Q156" s="423"/>
      <c r="R156" s="424" t="s">
        <v>1058</v>
      </c>
      <c r="S156" s="424" t="s">
        <v>1058</v>
      </c>
      <c r="T156" s="455"/>
      <c r="U156" s="456"/>
      <c r="V156" s="424" t="s">
        <v>1058</v>
      </c>
      <c r="W156" s="456"/>
      <c r="X156" s="458"/>
      <c r="Y156" s="454" t="s">
        <v>1058</v>
      </c>
      <c r="Z156" s="456"/>
      <c r="AA156" s="421">
        <v>46066</v>
      </c>
      <c r="AB156" s="458"/>
      <c r="AC156" s="445" t="s">
        <v>1058</v>
      </c>
      <c r="AD156" s="461"/>
      <c r="AE156" s="430" t="s">
        <v>1058</v>
      </c>
      <c r="AF156" s="457"/>
      <c r="AG156" s="456"/>
      <c r="AH156" s="431" t="s">
        <v>1058</v>
      </c>
      <c r="AI156" s="457"/>
      <c r="AJ156" s="457"/>
      <c r="AK156" s="456"/>
      <c r="AL156" s="430" t="s">
        <v>1058</v>
      </c>
      <c r="AM156" s="457"/>
      <c r="AN156" s="457"/>
      <c r="AO156" s="456"/>
      <c r="AP156" s="458"/>
      <c r="AQ156" s="457"/>
      <c r="AR156" s="457"/>
      <c r="AS156" s="457"/>
      <c r="AT156" s="432" t="s">
        <v>1058</v>
      </c>
      <c r="AU156" s="457"/>
      <c r="AV156" s="456"/>
      <c r="AW156" s="433" t="s">
        <v>1058</v>
      </c>
      <c r="AX156" s="456"/>
      <c r="AY156" s="434" t="s">
        <v>1058</v>
      </c>
      <c r="AZ156" s="435" t="s">
        <v>340</v>
      </c>
      <c r="BA156" s="436" t="s">
        <v>279</v>
      </c>
      <c r="BB156" s="437" t="s">
        <v>341</v>
      </c>
      <c r="BC156" s="438" t="s">
        <v>342</v>
      </c>
      <c r="BD156" s="439">
        <v>11</v>
      </c>
      <c r="BE156" s="439" t="s">
        <v>342</v>
      </c>
      <c r="BF156" s="440">
        <v>46071</v>
      </c>
      <c r="BG156" s="439">
        <v>21374</v>
      </c>
      <c r="BH156" s="441">
        <v>4</v>
      </c>
      <c r="BI156" s="442">
        <v>4</v>
      </c>
      <c r="BJ156" s="443"/>
    </row>
    <row r="157" spans="1:62" s="459" customFormat="1" ht="12" customHeight="1">
      <c r="A157" s="423"/>
      <c r="B157" s="414"/>
      <c r="C157" s="414"/>
      <c r="D157" s="414"/>
      <c r="E157" s="414"/>
      <c r="F157" s="414"/>
      <c r="G157" s="414"/>
      <c r="H157" s="414"/>
      <c r="I157" s="447"/>
      <c r="J157" s="417">
        <v>46044</v>
      </c>
      <c r="K157" s="418">
        <v>46071</v>
      </c>
      <c r="L157" s="418"/>
      <c r="M157" s="419" t="s">
        <v>1058</v>
      </c>
      <c r="N157" s="448"/>
      <c r="O157" s="420">
        <v>46065</v>
      </c>
      <c r="P157" s="422">
        <v>46071</v>
      </c>
      <c r="Q157" s="449" t="s">
        <v>1064</v>
      </c>
      <c r="R157" s="428"/>
      <c r="S157" s="428"/>
      <c r="T157" s="425"/>
      <c r="U157" s="426"/>
      <c r="V157" s="424" t="s">
        <v>1099</v>
      </c>
      <c r="W157" s="426"/>
      <c r="X157" s="428"/>
      <c r="Y157" s="427"/>
      <c r="Z157" s="426"/>
      <c r="AA157" s="448"/>
      <c r="AB157" s="428"/>
      <c r="AC157" s="426"/>
      <c r="AD157" s="446"/>
      <c r="AE157" s="428"/>
      <c r="AF157" s="427"/>
      <c r="AG157" s="426"/>
      <c r="AH157" s="425"/>
      <c r="AI157" s="427"/>
      <c r="AJ157" s="427"/>
      <c r="AK157" s="426"/>
      <c r="AL157" s="428"/>
      <c r="AM157" s="427"/>
      <c r="AN157" s="427"/>
      <c r="AO157" s="426"/>
      <c r="AP157" s="428"/>
      <c r="AQ157" s="427"/>
      <c r="AR157" s="427"/>
      <c r="AS157" s="427"/>
      <c r="AT157" s="427"/>
      <c r="AU157" s="427"/>
      <c r="AV157" s="426"/>
      <c r="AW157" s="428"/>
      <c r="AX157" s="426"/>
      <c r="AY157" s="446"/>
      <c r="AZ157" s="450" t="s">
        <v>748</v>
      </c>
      <c r="BA157" s="451" t="s">
        <v>635</v>
      </c>
      <c r="BB157" s="452" t="s">
        <v>1235</v>
      </c>
      <c r="BC157" s="453" t="s">
        <v>1070</v>
      </c>
      <c r="BD157" s="439">
        <v>1</v>
      </c>
      <c r="BE157" s="439">
        <v>0</v>
      </c>
      <c r="BF157" s="440">
        <v>46071</v>
      </c>
      <c r="BG157" s="439">
        <v>0</v>
      </c>
      <c r="BH157" s="441">
        <v>1</v>
      </c>
      <c r="BI157" s="442">
        <v>0</v>
      </c>
      <c r="BJ157" s="443" t="s">
        <v>74</v>
      </c>
    </row>
    <row r="158" spans="1:62" s="459" customFormat="1" ht="12" customHeight="1">
      <c r="A158" s="423"/>
      <c r="B158" s="414"/>
      <c r="C158" s="414"/>
      <c r="D158" s="414"/>
      <c r="E158" s="414"/>
      <c r="F158" s="414"/>
      <c r="G158" s="414"/>
      <c r="H158" s="414"/>
      <c r="I158" s="447"/>
      <c r="J158" s="417">
        <v>46044</v>
      </c>
      <c r="K158" s="418">
        <v>46071</v>
      </c>
      <c r="L158" s="418"/>
      <c r="M158" s="419" t="s">
        <v>1058</v>
      </c>
      <c r="N158" s="448"/>
      <c r="O158" s="420">
        <v>46065</v>
      </c>
      <c r="P158" s="422">
        <v>46071</v>
      </c>
      <c r="Q158" s="449" t="s">
        <v>1064</v>
      </c>
      <c r="R158" s="428"/>
      <c r="S158" s="428"/>
      <c r="T158" s="425"/>
      <c r="U158" s="426"/>
      <c r="V158" s="424" t="s">
        <v>1099</v>
      </c>
      <c r="W158" s="426"/>
      <c r="X158" s="428"/>
      <c r="Y158" s="427"/>
      <c r="Z158" s="426"/>
      <c r="AA158" s="448"/>
      <c r="AB158" s="428"/>
      <c r="AC158" s="426"/>
      <c r="AD158" s="446"/>
      <c r="AE158" s="428"/>
      <c r="AF158" s="427"/>
      <c r="AG158" s="426"/>
      <c r="AH158" s="425"/>
      <c r="AI158" s="427"/>
      <c r="AJ158" s="427"/>
      <c r="AK158" s="426"/>
      <c r="AL158" s="428"/>
      <c r="AM158" s="427"/>
      <c r="AN158" s="427"/>
      <c r="AO158" s="426"/>
      <c r="AP158" s="428"/>
      <c r="AQ158" s="427"/>
      <c r="AR158" s="427"/>
      <c r="AS158" s="427"/>
      <c r="AT158" s="427"/>
      <c r="AU158" s="427"/>
      <c r="AV158" s="426"/>
      <c r="AW158" s="428"/>
      <c r="AX158" s="426"/>
      <c r="AY158" s="446"/>
      <c r="AZ158" s="450" t="s">
        <v>748</v>
      </c>
      <c r="BA158" s="451" t="s">
        <v>635</v>
      </c>
      <c r="BB158" s="452" t="s">
        <v>1236</v>
      </c>
      <c r="BC158" s="453" t="s">
        <v>1070</v>
      </c>
      <c r="BD158" s="439">
        <v>1</v>
      </c>
      <c r="BE158" s="439">
        <v>0</v>
      </c>
      <c r="BF158" s="440">
        <v>46071</v>
      </c>
      <c r="BG158" s="439">
        <v>0</v>
      </c>
      <c r="BH158" s="441">
        <v>1</v>
      </c>
      <c r="BI158" s="442">
        <v>0</v>
      </c>
      <c r="BJ158" s="443" t="s">
        <v>74</v>
      </c>
    </row>
    <row r="159" spans="1:62" s="459" customFormat="1" ht="12" customHeight="1">
      <c r="A159" s="423"/>
      <c r="B159" s="414"/>
      <c r="C159" s="414"/>
      <c r="D159" s="414"/>
      <c r="E159" s="414"/>
      <c r="F159" s="414"/>
      <c r="G159" s="414"/>
      <c r="H159" s="414"/>
      <c r="I159" s="447"/>
      <c r="J159" s="417">
        <v>46044</v>
      </c>
      <c r="K159" s="418">
        <v>46071</v>
      </c>
      <c r="L159" s="418"/>
      <c r="M159" s="419" t="s">
        <v>1058</v>
      </c>
      <c r="N159" s="448"/>
      <c r="O159" s="420">
        <v>46065</v>
      </c>
      <c r="P159" s="422">
        <v>46071</v>
      </c>
      <c r="Q159" s="449" t="s">
        <v>1064</v>
      </c>
      <c r="R159" s="428"/>
      <c r="S159" s="428"/>
      <c r="T159" s="425"/>
      <c r="U159" s="426"/>
      <c r="V159" s="424" t="s">
        <v>1099</v>
      </c>
      <c r="W159" s="426"/>
      <c r="X159" s="428"/>
      <c r="Y159" s="427"/>
      <c r="Z159" s="426"/>
      <c r="AA159" s="448"/>
      <c r="AB159" s="428"/>
      <c r="AC159" s="426"/>
      <c r="AD159" s="446"/>
      <c r="AE159" s="428"/>
      <c r="AF159" s="427"/>
      <c r="AG159" s="426"/>
      <c r="AH159" s="425"/>
      <c r="AI159" s="427"/>
      <c r="AJ159" s="427"/>
      <c r="AK159" s="426"/>
      <c r="AL159" s="428"/>
      <c r="AM159" s="427"/>
      <c r="AN159" s="427"/>
      <c r="AO159" s="426"/>
      <c r="AP159" s="428"/>
      <c r="AQ159" s="427"/>
      <c r="AR159" s="427"/>
      <c r="AS159" s="427"/>
      <c r="AT159" s="427"/>
      <c r="AU159" s="427"/>
      <c r="AV159" s="426"/>
      <c r="AW159" s="428"/>
      <c r="AX159" s="426"/>
      <c r="AY159" s="446"/>
      <c r="AZ159" s="450" t="s">
        <v>748</v>
      </c>
      <c r="BA159" s="451" t="s">
        <v>635</v>
      </c>
      <c r="BB159" s="452" t="s">
        <v>1237</v>
      </c>
      <c r="BC159" s="453" t="s">
        <v>1070</v>
      </c>
      <c r="BD159" s="439">
        <v>1</v>
      </c>
      <c r="BE159" s="439">
        <v>0</v>
      </c>
      <c r="BF159" s="440">
        <v>46071</v>
      </c>
      <c r="BG159" s="439">
        <v>0</v>
      </c>
      <c r="BH159" s="441">
        <v>1</v>
      </c>
      <c r="BI159" s="442">
        <v>0</v>
      </c>
      <c r="BJ159" s="443" t="s">
        <v>74</v>
      </c>
    </row>
    <row r="160" spans="1:62" s="459" customFormat="1" ht="12" customHeight="1">
      <c r="A160" s="423"/>
      <c r="B160" s="414"/>
      <c r="C160" s="414"/>
      <c r="D160" s="414"/>
      <c r="E160" s="414"/>
      <c r="F160" s="414"/>
      <c r="G160" s="414"/>
      <c r="H160" s="414"/>
      <c r="I160" s="447"/>
      <c r="J160" s="417">
        <v>46044</v>
      </c>
      <c r="K160" s="418">
        <v>46071</v>
      </c>
      <c r="L160" s="418"/>
      <c r="M160" s="419" t="s">
        <v>1058</v>
      </c>
      <c r="N160" s="448"/>
      <c r="O160" s="420">
        <v>46065</v>
      </c>
      <c r="P160" s="422">
        <v>46071</v>
      </c>
      <c r="Q160" s="449" t="s">
        <v>1064</v>
      </c>
      <c r="R160" s="428"/>
      <c r="S160" s="428"/>
      <c r="T160" s="425"/>
      <c r="U160" s="426"/>
      <c r="V160" s="424" t="s">
        <v>1099</v>
      </c>
      <c r="W160" s="426"/>
      <c r="X160" s="428"/>
      <c r="Y160" s="427"/>
      <c r="Z160" s="426"/>
      <c r="AA160" s="448"/>
      <c r="AB160" s="428"/>
      <c r="AC160" s="426"/>
      <c r="AD160" s="446"/>
      <c r="AE160" s="428"/>
      <c r="AF160" s="427"/>
      <c r="AG160" s="426"/>
      <c r="AH160" s="425"/>
      <c r="AI160" s="427"/>
      <c r="AJ160" s="427"/>
      <c r="AK160" s="426"/>
      <c r="AL160" s="428"/>
      <c r="AM160" s="427"/>
      <c r="AN160" s="427"/>
      <c r="AO160" s="426"/>
      <c r="AP160" s="428"/>
      <c r="AQ160" s="427"/>
      <c r="AR160" s="427"/>
      <c r="AS160" s="427"/>
      <c r="AT160" s="427"/>
      <c r="AU160" s="427"/>
      <c r="AV160" s="426"/>
      <c r="AW160" s="428"/>
      <c r="AX160" s="426"/>
      <c r="AY160" s="446"/>
      <c r="AZ160" s="450" t="s">
        <v>748</v>
      </c>
      <c r="BA160" s="451" t="s">
        <v>635</v>
      </c>
      <c r="BB160" s="452" t="s">
        <v>1238</v>
      </c>
      <c r="BC160" s="453" t="s">
        <v>1070</v>
      </c>
      <c r="BD160" s="439">
        <v>1</v>
      </c>
      <c r="BE160" s="439">
        <v>0</v>
      </c>
      <c r="BF160" s="440">
        <v>46071</v>
      </c>
      <c r="BG160" s="439">
        <v>0</v>
      </c>
      <c r="BH160" s="441">
        <v>1</v>
      </c>
      <c r="BI160" s="442">
        <v>0</v>
      </c>
      <c r="BJ160" s="443" t="s">
        <v>74</v>
      </c>
    </row>
    <row r="161" spans="1:62" s="459" customFormat="1" ht="12" customHeight="1">
      <c r="A161" s="423"/>
      <c r="B161" s="414"/>
      <c r="C161" s="414"/>
      <c r="D161" s="414"/>
      <c r="E161" s="414"/>
      <c r="F161" s="414"/>
      <c r="G161" s="414"/>
      <c r="H161" s="414"/>
      <c r="I161" s="447"/>
      <c r="J161" s="417">
        <v>46044</v>
      </c>
      <c r="K161" s="418">
        <v>46071</v>
      </c>
      <c r="L161" s="418"/>
      <c r="M161" s="419" t="s">
        <v>1058</v>
      </c>
      <c r="N161" s="448"/>
      <c r="O161" s="420">
        <v>46065</v>
      </c>
      <c r="P161" s="422">
        <v>46071</v>
      </c>
      <c r="Q161" s="449" t="s">
        <v>1064</v>
      </c>
      <c r="R161" s="428"/>
      <c r="S161" s="428"/>
      <c r="T161" s="425"/>
      <c r="U161" s="426"/>
      <c r="V161" s="424" t="s">
        <v>1099</v>
      </c>
      <c r="W161" s="426"/>
      <c r="X161" s="428"/>
      <c r="Y161" s="427"/>
      <c r="Z161" s="426"/>
      <c r="AA161" s="448"/>
      <c r="AB161" s="428"/>
      <c r="AC161" s="426"/>
      <c r="AD161" s="446"/>
      <c r="AE161" s="428"/>
      <c r="AF161" s="427"/>
      <c r="AG161" s="426"/>
      <c r="AH161" s="425"/>
      <c r="AI161" s="427"/>
      <c r="AJ161" s="427"/>
      <c r="AK161" s="426"/>
      <c r="AL161" s="428"/>
      <c r="AM161" s="427"/>
      <c r="AN161" s="427"/>
      <c r="AO161" s="426"/>
      <c r="AP161" s="428"/>
      <c r="AQ161" s="427"/>
      <c r="AR161" s="427"/>
      <c r="AS161" s="427"/>
      <c r="AT161" s="427"/>
      <c r="AU161" s="427"/>
      <c r="AV161" s="426"/>
      <c r="AW161" s="428"/>
      <c r="AX161" s="426"/>
      <c r="AY161" s="446"/>
      <c r="AZ161" s="450" t="s">
        <v>748</v>
      </c>
      <c r="BA161" s="451" t="s">
        <v>635</v>
      </c>
      <c r="BB161" s="452" t="s">
        <v>1239</v>
      </c>
      <c r="BC161" s="453" t="s">
        <v>1070</v>
      </c>
      <c r="BD161" s="439">
        <v>1</v>
      </c>
      <c r="BE161" s="439">
        <v>0</v>
      </c>
      <c r="BF161" s="440">
        <v>46071</v>
      </c>
      <c r="BG161" s="439">
        <v>0</v>
      </c>
      <c r="BH161" s="441">
        <v>1</v>
      </c>
      <c r="BI161" s="442">
        <v>0</v>
      </c>
      <c r="BJ161" s="443" t="s">
        <v>74</v>
      </c>
    </row>
    <row r="162" spans="1:62" s="459" customFormat="1" ht="12" customHeight="1">
      <c r="A162" s="413">
        <v>21375</v>
      </c>
      <c r="B162" s="414"/>
      <c r="C162" s="414"/>
      <c r="D162" s="414"/>
      <c r="E162" s="414"/>
      <c r="F162" s="415">
        <v>1256</v>
      </c>
      <c r="G162" s="414"/>
      <c r="H162" s="414"/>
      <c r="I162" s="416" t="s">
        <v>342</v>
      </c>
      <c r="J162" s="417">
        <v>46059</v>
      </c>
      <c r="K162" s="418">
        <v>46072</v>
      </c>
      <c r="L162" s="418"/>
      <c r="M162" s="419" t="s">
        <v>1058</v>
      </c>
      <c r="N162" s="417">
        <v>46071</v>
      </c>
      <c r="O162" s="420">
        <v>46065</v>
      </c>
      <c r="P162" s="422">
        <v>46072</v>
      </c>
      <c r="Q162" s="423"/>
      <c r="R162" s="424" t="s">
        <v>1058</v>
      </c>
      <c r="S162" s="424" t="s">
        <v>1058</v>
      </c>
      <c r="T162" s="455"/>
      <c r="U162" s="456"/>
      <c r="V162" s="424" t="s">
        <v>1058</v>
      </c>
      <c r="W162" s="456"/>
      <c r="X162" s="458"/>
      <c r="Y162" s="454" t="s">
        <v>1058</v>
      </c>
      <c r="Z162" s="456"/>
      <c r="AA162" s="421">
        <v>46069</v>
      </c>
      <c r="AB162" s="458"/>
      <c r="AC162" s="445" t="s">
        <v>1058</v>
      </c>
      <c r="AD162" s="461"/>
      <c r="AE162" s="430" t="s">
        <v>1058</v>
      </c>
      <c r="AF162" s="457"/>
      <c r="AG162" s="456"/>
      <c r="AH162" s="431" t="s">
        <v>1058</v>
      </c>
      <c r="AI162" s="457"/>
      <c r="AJ162" s="457"/>
      <c r="AK162" s="456"/>
      <c r="AL162" s="430" t="s">
        <v>1058</v>
      </c>
      <c r="AM162" s="457"/>
      <c r="AN162" s="457"/>
      <c r="AO162" s="456"/>
      <c r="AP162" s="458"/>
      <c r="AQ162" s="457"/>
      <c r="AR162" s="457"/>
      <c r="AS162" s="457"/>
      <c r="AT162" s="432" t="s">
        <v>1058</v>
      </c>
      <c r="AU162" s="457"/>
      <c r="AV162" s="456"/>
      <c r="AW162" s="433" t="s">
        <v>1058</v>
      </c>
      <c r="AX162" s="456"/>
      <c r="AY162" s="434" t="s">
        <v>1058</v>
      </c>
      <c r="AZ162" s="435" t="s">
        <v>344</v>
      </c>
      <c r="BA162" s="436" t="s">
        <v>345</v>
      </c>
      <c r="BB162" s="437" t="s">
        <v>346</v>
      </c>
      <c r="BC162" s="438" t="s">
        <v>342</v>
      </c>
      <c r="BD162" s="439">
        <v>11</v>
      </c>
      <c r="BE162" s="439" t="s">
        <v>342</v>
      </c>
      <c r="BF162" s="440">
        <v>46072</v>
      </c>
      <c r="BG162" s="439">
        <v>21375</v>
      </c>
      <c r="BH162" s="441">
        <v>4</v>
      </c>
      <c r="BI162" s="442">
        <v>4</v>
      </c>
      <c r="BJ162" s="443"/>
    </row>
    <row r="163" spans="1:62" s="459" customFormat="1" ht="12" customHeight="1">
      <c r="A163" s="423"/>
      <c r="B163" s="414"/>
      <c r="C163" s="414"/>
      <c r="D163" s="414"/>
      <c r="E163" s="414"/>
      <c r="F163" s="414"/>
      <c r="G163" s="414"/>
      <c r="H163" s="414"/>
      <c r="I163" s="447"/>
      <c r="J163" s="417">
        <v>46056</v>
      </c>
      <c r="K163" s="418">
        <v>46084</v>
      </c>
      <c r="L163" s="418"/>
      <c r="M163" s="419" t="s">
        <v>1058</v>
      </c>
      <c r="N163" s="448"/>
      <c r="O163" s="420">
        <v>46078</v>
      </c>
      <c r="P163" s="422">
        <v>46084</v>
      </c>
      <c r="Q163" s="449" t="s">
        <v>1064</v>
      </c>
      <c r="R163" s="428"/>
      <c r="S163" s="428"/>
      <c r="T163" s="425"/>
      <c r="U163" s="426"/>
      <c r="V163" s="424" t="s">
        <v>1099</v>
      </c>
      <c r="W163" s="426"/>
      <c r="X163" s="428"/>
      <c r="Y163" s="427"/>
      <c r="Z163" s="426"/>
      <c r="AA163" s="448"/>
      <c r="AB163" s="428"/>
      <c r="AC163" s="426"/>
      <c r="AD163" s="446"/>
      <c r="AE163" s="428"/>
      <c r="AF163" s="427"/>
      <c r="AG163" s="426"/>
      <c r="AH163" s="425"/>
      <c r="AI163" s="427"/>
      <c r="AJ163" s="427"/>
      <c r="AK163" s="426"/>
      <c r="AL163" s="428"/>
      <c r="AM163" s="427"/>
      <c r="AN163" s="427"/>
      <c r="AO163" s="426"/>
      <c r="AP163" s="428"/>
      <c r="AQ163" s="427"/>
      <c r="AR163" s="427"/>
      <c r="AS163" s="427"/>
      <c r="AT163" s="427"/>
      <c r="AU163" s="427"/>
      <c r="AV163" s="426"/>
      <c r="AW163" s="428"/>
      <c r="AX163" s="426"/>
      <c r="AY163" s="446"/>
      <c r="AZ163" s="450" t="s">
        <v>749</v>
      </c>
      <c r="BA163" s="451" t="s">
        <v>644</v>
      </c>
      <c r="BB163" s="452" t="s">
        <v>1218</v>
      </c>
      <c r="BC163" s="453" t="s">
        <v>1228</v>
      </c>
      <c r="BD163" s="439">
        <v>1</v>
      </c>
      <c r="BE163" s="439">
        <v>0</v>
      </c>
      <c r="BF163" s="440">
        <v>46084</v>
      </c>
      <c r="BG163" s="439">
        <v>0</v>
      </c>
      <c r="BH163" s="441">
        <v>1</v>
      </c>
      <c r="BI163" s="442">
        <v>0</v>
      </c>
      <c r="BJ163" s="443" t="s">
        <v>74</v>
      </c>
    </row>
    <row r="164" spans="1:62" s="459" customFormat="1" ht="12" customHeight="1">
      <c r="A164" s="423"/>
      <c r="B164" s="414"/>
      <c r="C164" s="414"/>
      <c r="D164" s="414"/>
      <c r="E164" s="414"/>
      <c r="F164" s="414"/>
      <c r="G164" s="414"/>
      <c r="H164" s="414"/>
      <c r="I164" s="447"/>
      <c r="J164" s="417">
        <v>46056</v>
      </c>
      <c r="K164" s="418">
        <v>46084</v>
      </c>
      <c r="L164" s="418"/>
      <c r="M164" s="419" t="s">
        <v>1058</v>
      </c>
      <c r="N164" s="448"/>
      <c r="O164" s="420">
        <v>46078</v>
      </c>
      <c r="P164" s="422">
        <v>46084</v>
      </c>
      <c r="Q164" s="449" t="s">
        <v>1064</v>
      </c>
      <c r="R164" s="428"/>
      <c r="S164" s="428"/>
      <c r="T164" s="425"/>
      <c r="U164" s="426"/>
      <c r="V164" s="424" t="s">
        <v>1099</v>
      </c>
      <c r="W164" s="426"/>
      <c r="X164" s="428"/>
      <c r="Y164" s="427"/>
      <c r="Z164" s="426"/>
      <c r="AA164" s="448"/>
      <c r="AB164" s="428"/>
      <c r="AC164" s="426"/>
      <c r="AD164" s="446"/>
      <c r="AE164" s="428"/>
      <c r="AF164" s="427"/>
      <c r="AG164" s="426"/>
      <c r="AH164" s="425"/>
      <c r="AI164" s="427"/>
      <c r="AJ164" s="427"/>
      <c r="AK164" s="426"/>
      <c r="AL164" s="428"/>
      <c r="AM164" s="427"/>
      <c r="AN164" s="427"/>
      <c r="AO164" s="426"/>
      <c r="AP164" s="428"/>
      <c r="AQ164" s="427"/>
      <c r="AR164" s="427"/>
      <c r="AS164" s="427"/>
      <c r="AT164" s="427"/>
      <c r="AU164" s="427"/>
      <c r="AV164" s="426"/>
      <c r="AW164" s="428"/>
      <c r="AX164" s="426"/>
      <c r="AY164" s="446"/>
      <c r="AZ164" s="450" t="s">
        <v>749</v>
      </c>
      <c r="BA164" s="451" t="s">
        <v>644</v>
      </c>
      <c r="BB164" s="452" t="s">
        <v>1240</v>
      </c>
      <c r="BC164" s="453" t="s">
        <v>1228</v>
      </c>
      <c r="BD164" s="439">
        <v>1</v>
      </c>
      <c r="BE164" s="439">
        <v>0</v>
      </c>
      <c r="BF164" s="440">
        <v>46084</v>
      </c>
      <c r="BG164" s="439">
        <v>0</v>
      </c>
      <c r="BH164" s="441">
        <v>1</v>
      </c>
      <c r="BI164" s="442">
        <v>0</v>
      </c>
      <c r="BJ164" s="443" t="s">
        <v>74</v>
      </c>
    </row>
    <row r="165" spans="1:62" s="459" customFormat="1" ht="12" customHeight="1">
      <c r="A165" s="413">
        <v>21376</v>
      </c>
      <c r="B165" s="415">
        <v>3220</v>
      </c>
      <c r="C165" s="414"/>
      <c r="D165" s="414"/>
      <c r="E165" s="414"/>
      <c r="F165" s="414"/>
      <c r="G165" s="414"/>
      <c r="H165" s="414"/>
      <c r="I165" s="416" t="s">
        <v>134</v>
      </c>
      <c r="J165" s="417">
        <v>46072</v>
      </c>
      <c r="K165" s="418">
        <v>46085</v>
      </c>
      <c r="L165" s="418"/>
      <c r="M165" s="419" t="s">
        <v>1058</v>
      </c>
      <c r="N165" s="417">
        <v>46080</v>
      </c>
      <c r="O165" s="420">
        <v>46073</v>
      </c>
      <c r="P165" s="422">
        <v>46085</v>
      </c>
      <c r="Q165" s="423"/>
      <c r="R165" s="424" t="s">
        <v>1058</v>
      </c>
      <c r="S165" s="424" t="s">
        <v>1058</v>
      </c>
      <c r="T165" s="455"/>
      <c r="U165" s="456"/>
      <c r="V165" s="424" t="s">
        <v>1058</v>
      </c>
      <c r="W165" s="456"/>
      <c r="X165" s="424" t="s">
        <v>1058</v>
      </c>
      <c r="Y165" s="457"/>
      <c r="Z165" s="456"/>
      <c r="AA165" s="421">
        <v>46080</v>
      </c>
      <c r="AB165" s="458"/>
      <c r="AC165" s="456"/>
      <c r="AD165" s="429" t="s">
        <v>1058</v>
      </c>
      <c r="AE165" s="430" t="s">
        <v>1058</v>
      </c>
      <c r="AF165" s="457"/>
      <c r="AG165" s="456"/>
      <c r="AH165" s="431" t="s">
        <v>1058</v>
      </c>
      <c r="AI165" s="457"/>
      <c r="AJ165" s="457"/>
      <c r="AK165" s="456"/>
      <c r="AL165" s="430" t="s">
        <v>1058</v>
      </c>
      <c r="AM165" s="457"/>
      <c r="AN165" s="457"/>
      <c r="AO165" s="456"/>
      <c r="AP165" s="433" t="s">
        <v>1058</v>
      </c>
      <c r="AQ165" s="457"/>
      <c r="AR165" s="457"/>
      <c r="AS165" s="457"/>
      <c r="AT165" s="457"/>
      <c r="AU165" s="457"/>
      <c r="AV165" s="456"/>
      <c r="AW165" s="458"/>
      <c r="AX165" s="463" t="s">
        <v>1058</v>
      </c>
      <c r="AY165" s="434" t="s">
        <v>1058</v>
      </c>
      <c r="AZ165" s="435" t="s">
        <v>347</v>
      </c>
      <c r="BA165" s="436" t="s">
        <v>208</v>
      </c>
      <c r="BB165" s="437"/>
      <c r="BC165" s="438" t="s">
        <v>134</v>
      </c>
      <c r="BD165" s="439">
        <v>11</v>
      </c>
      <c r="BE165" s="439" t="s">
        <v>134</v>
      </c>
      <c r="BF165" s="440">
        <v>46085</v>
      </c>
      <c r="BG165" s="439">
        <v>21376</v>
      </c>
      <c r="BH165" s="441">
        <v>4</v>
      </c>
      <c r="BI165" s="442">
        <v>4</v>
      </c>
      <c r="BJ165" s="443"/>
    </row>
    <row r="166" spans="1:62" s="459" customFormat="1" ht="12" customHeight="1">
      <c r="A166" s="413">
        <v>21377</v>
      </c>
      <c r="B166" s="415">
        <v>3221</v>
      </c>
      <c r="C166" s="414"/>
      <c r="D166" s="414"/>
      <c r="E166" s="414"/>
      <c r="F166" s="414"/>
      <c r="G166" s="414"/>
      <c r="H166" s="414"/>
      <c r="I166" s="416" t="s">
        <v>134</v>
      </c>
      <c r="J166" s="417">
        <v>46073</v>
      </c>
      <c r="K166" s="418">
        <v>46086</v>
      </c>
      <c r="L166" s="418"/>
      <c r="M166" s="419" t="s">
        <v>1058</v>
      </c>
      <c r="N166" s="417">
        <v>46083</v>
      </c>
      <c r="O166" s="420">
        <v>46077</v>
      </c>
      <c r="P166" s="422">
        <v>46086</v>
      </c>
      <c r="Q166" s="423"/>
      <c r="R166" s="424" t="s">
        <v>1058</v>
      </c>
      <c r="S166" s="424" t="s">
        <v>1058</v>
      </c>
      <c r="T166" s="455"/>
      <c r="U166" s="456"/>
      <c r="V166" s="424" t="s">
        <v>1058</v>
      </c>
      <c r="W166" s="456"/>
      <c r="X166" s="424" t="s">
        <v>1058</v>
      </c>
      <c r="Y166" s="457"/>
      <c r="Z166" s="456"/>
      <c r="AA166" s="421">
        <v>46083</v>
      </c>
      <c r="AB166" s="458"/>
      <c r="AC166" s="456"/>
      <c r="AD166" s="429" t="s">
        <v>1058</v>
      </c>
      <c r="AE166" s="430" t="s">
        <v>1058</v>
      </c>
      <c r="AF166" s="457"/>
      <c r="AG166" s="456"/>
      <c r="AH166" s="431" t="s">
        <v>1058</v>
      </c>
      <c r="AI166" s="457"/>
      <c r="AJ166" s="457"/>
      <c r="AK166" s="456"/>
      <c r="AL166" s="430" t="s">
        <v>1058</v>
      </c>
      <c r="AM166" s="457"/>
      <c r="AN166" s="457"/>
      <c r="AO166" s="456"/>
      <c r="AP166" s="433" t="s">
        <v>1058</v>
      </c>
      <c r="AQ166" s="457"/>
      <c r="AR166" s="457"/>
      <c r="AS166" s="457"/>
      <c r="AT166" s="457"/>
      <c r="AU166" s="457"/>
      <c r="AV166" s="456"/>
      <c r="AW166" s="458"/>
      <c r="AX166" s="463" t="s">
        <v>1058</v>
      </c>
      <c r="AY166" s="434" t="s">
        <v>1058</v>
      </c>
      <c r="AZ166" s="435" t="s">
        <v>348</v>
      </c>
      <c r="BA166" s="436" t="s">
        <v>208</v>
      </c>
      <c r="BB166" s="437"/>
      <c r="BC166" s="438" t="s">
        <v>134</v>
      </c>
      <c r="BD166" s="439">
        <v>11</v>
      </c>
      <c r="BE166" s="439" t="s">
        <v>134</v>
      </c>
      <c r="BF166" s="440">
        <v>46086</v>
      </c>
      <c r="BG166" s="439">
        <v>21377</v>
      </c>
      <c r="BH166" s="441">
        <v>4</v>
      </c>
      <c r="BI166" s="442">
        <v>4</v>
      </c>
      <c r="BJ166" s="443"/>
    </row>
    <row r="167" spans="1:62" s="459" customFormat="1" ht="12" customHeight="1">
      <c r="A167" s="413">
        <v>21378</v>
      </c>
      <c r="B167" s="415">
        <v>3222</v>
      </c>
      <c r="C167" s="414"/>
      <c r="D167" s="414"/>
      <c r="E167" s="414"/>
      <c r="F167" s="414"/>
      <c r="G167" s="414"/>
      <c r="H167" s="414"/>
      <c r="I167" s="416" t="s">
        <v>134</v>
      </c>
      <c r="J167" s="417">
        <v>46077</v>
      </c>
      <c r="K167" s="418">
        <v>46087</v>
      </c>
      <c r="L167" s="418"/>
      <c r="M167" s="419" t="s">
        <v>1058</v>
      </c>
      <c r="N167" s="417">
        <v>46084</v>
      </c>
      <c r="O167" s="420">
        <v>46078</v>
      </c>
      <c r="P167" s="422">
        <v>46087</v>
      </c>
      <c r="Q167" s="423"/>
      <c r="R167" s="424" t="s">
        <v>1058</v>
      </c>
      <c r="S167" s="424" t="s">
        <v>1058</v>
      </c>
      <c r="T167" s="455"/>
      <c r="U167" s="456"/>
      <c r="V167" s="424" t="s">
        <v>1058</v>
      </c>
      <c r="W167" s="456"/>
      <c r="X167" s="424" t="s">
        <v>1058</v>
      </c>
      <c r="Y167" s="457"/>
      <c r="Z167" s="456"/>
      <c r="AA167" s="421">
        <v>46084</v>
      </c>
      <c r="AB167" s="458"/>
      <c r="AC167" s="456"/>
      <c r="AD167" s="429" t="s">
        <v>1058</v>
      </c>
      <c r="AE167" s="430" t="s">
        <v>1058</v>
      </c>
      <c r="AF167" s="457"/>
      <c r="AG167" s="456"/>
      <c r="AH167" s="431" t="s">
        <v>1058</v>
      </c>
      <c r="AI167" s="457"/>
      <c r="AJ167" s="457"/>
      <c r="AK167" s="456"/>
      <c r="AL167" s="430" t="s">
        <v>1058</v>
      </c>
      <c r="AM167" s="457"/>
      <c r="AN167" s="457"/>
      <c r="AO167" s="456"/>
      <c r="AP167" s="433" t="s">
        <v>1058</v>
      </c>
      <c r="AQ167" s="457"/>
      <c r="AR167" s="457"/>
      <c r="AS167" s="457"/>
      <c r="AT167" s="457"/>
      <c r="AU167" s="457"/>
      <c r="AV167" s="456"/>
      <c r="AW167" s="458"/>
      <c r="AX167" s="463" t="s">
        <v>1058</v>
      </c>
      <c r="AY167" s="434" t="s">
        <v>1058</v>
      </c>
      <c r="AZ167" s="435" t="s">
        <v>349</v>
      </c>
      <c r="BA167" s="436" t="s">
        <v>208</v>
      </c>
      <c r="BB167" s="437"/>
      <c r="BC167" s="438" t="s">
        <v>134</v>
      </c>
      <c r="BD167" s="439">
        <v>11</v>
      </c>
      <c r="BE167" s="439" t="s">
        <v>134</v>
      </c>
      <c r="BF167" s="440">
        <v>46087</v>
      </c>
      <c r="BG167" s="439">
        <v>21378</v>
      </c>
      <c r="BH167" s="441">
        <v>4</v>
      </c>
      <c r="BI167" s="442">
        <v>4</v>
      </c>
      <c r="BJ167" s="443"/>
    </row>
    <row r="168" spans="1:62" s="459" customFormat="1" ht="12" customHeight="1">
      <c r="A168" s="413">
        <v>21379</v>
      </c>
      <c r="B168" s="415">
        <v>3223</v>
      </c>
      <c r="C168" s="414"/>
      <c r="D168" s="414"/>
      <c r="E168" s="414"/>
      <c r="F168" s="414"/>
      <c r="G168" s="414"/>
      <c r="H168" s="414"/>
      <c r="I168" s="416" t="s">
        <v>134</v>
      </c>
      <c r="J168" s="417">
        <v>46078</v>
      </c>
      <c r="K168" s="418">
        <v>46090</v>
      </c>
      <c r="L168" s="418"/>
      <c r="M168" s="419" t="s">
        <v>1058</v>
      </c>
      <c r="N168" s="417">
        <v>46085</v>
      </c>
      <c r="O168" s="420">
        <v>46079</v>
      </c>
      <c r="P168" s="422">
        <v>46090</v>
      </c>
      <c r="Q168" s="423"/>
      <c r="R168" s="424" t="s">
        <v>1058</v>
      </c>
      <c r="S168" s="424" t="s">
        <v>1058</v>
      </c>
      <c r="T168" s="455"/>
      <c r="U168" s="456"/>
      <c r="V168" s="424" t="s">
        <v>1058</v>
      </c>
      <c r="W168" s="456"/>
      <c r="X168" s="424" t="s">
        <v>1058</v>
      </c>
      <c r="Y168" s="457"/>
      <c r="Z168" s="456"/>
      <c r="AA168" s="421">
        <v>46085</v>
      </c>
      <c r="AB168" s="458"/>
      <c r="AC168" s="456"/>
      <c r="AD168" s="429" t="s">
        <v>1058</v>
      </c>
      <c r="AE168" s="430" t="s">
        <v>1058</v>
      </c>
      <c r="AF168" s="457"/>
      <c r="AG168" s="456"/>
      <c r="AH168" s="431" t="s">
        <v>1058</v>
      </c>
      <c r="AI168" s="457"/>
      <c r="AJ168" s="457"/>
      <c r="AK168" s="456"/>
      <c r="AL168" s="430" t="s">
        <v>1058</v>
      </c>
      <c r="AM168" s="457"/>
      <c r="AN168" s="457"/>
      <c r="AO168" s="456"/>
      <c r="AP168" s="433" t="s">
        <v>1058</v>
      </c>
      <c r="AQ168" s="457"/>
      <c r="AR168" s="457"/>
      <c r="AS168" s="457"/>
      <c r="AT168" s="457"/>
      <c r="AU168" s="457"/>
      <c r="AV168" s="456"/>
      <c r="AW168" s="458"/>
      <c r="AX168" s="463" t="s">
        <v>1058</v>
      </c>
      <c r="AY168" s="434" t="s">
        <v>1058</v>
      </c>
      <c r="AZ168" s="435" t="s">
        <v>350</v>
      </c>
      <c r="BA168" s="436" t="s">
        <v>208</v>
      </c>
      <c r="BB168" s="437"/>
      <c r="BC168" s="438" t="s">
        <v>134</v>
      </c>
      <c r="BD168" s="439">
        <v>11</v>
      </c>
      <c r="BE168" s="439" t="s">
        <v>134</v>
      </c>
      <c r="BF168" s="440">
        <v>46090</v>
      </c>
      <c r="BG168" s="439">
        <v>21379</v>
      </c>
      <c r="BH168" s="441">
        <v>4</v>
      </c>
      <c r="BI168" s="442">
        <v>4</v>
      </c>
      <c r="BJ168" s="443"/>
    </row>
    <row r="169" spans="1:62" s="459" customFormat="1" ht="12" customHeight="1">
      <c r="A169" s="413">
        <v>21380</v>
      </c>
      <c r="B169" s="415">
        <v>3224</v>
      </c>
      <c r="C169" s="414"/>
      <c r="D169" s="414"/>
      <c r="E169" s="414"/>
      <c r="F169" s="414"/>
      <c r="G169" s="414"/>
      <c r="H169" s="414"/>
      <c r="I169" s="416" t="s">
        <v>134</v>
      </c>
      <c r="J169" s="417">
        <v>46079</v>
      </c>
      <c r="K169" s="418">
        <v>46091</v>
      </c>
      <c r="L169" s="418"/>
      <c r="M169" s="419" t="s">
        <v>1058</v>
      </c>
      <c r="N169" s="417">
        <v>46086</v>
      </c>
      <c r="O169" s="420">
        <v>46080</v>
      </c>
      <c r="P169" s="422">
        <v>46091</v>
      </c>
      <c r="Q169" s="423"/>
      <c r="R169" s="424" t="s">
        <v>1058</v>
      </c>
      <c r="S169" s="424" t="s">
        <v>1058</v>
      </c>
      <c r="T169" s="455"/>
      <c r="U169" s="456"/>
      <c r="V169" s="424" t="s">
        <v>1058</v>
      </c>
      <c r="W169" s="456"/>
      <c r="X169" s="424" t="s">
        <v>1058</v>
      </c>
      <c r="Y169" s="457"/>
      <c r="Z169" s="456"/>
      <c r="AA169" s="421">
        <v>46086</v>
      </c>
      <c r="AB169" s="458"/>
      <c r="AC169" s="456"/>
      <c r="AD169" s="429" t="s">
        <v>1058</v>
      </c>
      <c r="AE169" s="430" t="s">
        <v>1058</v>
      </c>
      <c r="AF169" s="457"/>
      <c r="AG169" s="456"/>
      <c r="AH169" s="431" t="s">
        <v>1058</v>
      </c>
      <c r="AI169" s="457"/>
      <c r="AJ169" s="457"/>
      <c r="AK169" s="456"/>
      <c r="AL169" s="430" t="s">
        <v>1058</v>
      </c>
      <c r="AM169" s="457"/>
      <c r="AN169" s="457"/>
      <c r="AO169" s="456"/>
      <c r="AP169" s="433" t="s">
        <v>1058</v>
      </c>
      <c r="AQ169" s="457"/>
      <c r="AR169" s="457"/>
      <c r="AS169" s="457"/>
      <c r="AT169" s="457"/>
      <c r="AU169" s="457"/>
      <c r="AV169" s="456"/>
      <c r="AW169" s="458"/>
      <c r="AX169" s="463" t="s">
        <v>1058</v>
      </c>
      <c r="AY169" s="434" t="s">
        <v>1058</v>
      </c>
      <c r="AZ169" s="435" t="s">
        <v>351</v>
      </c>
      <c r="BA169" s="436" t="s">
        <v>208</v>
      </c>
      <c r="BB169" s="437"/>
      <c r="BC169" s="438" t="s">
        <v>134</v>
      </c>
      <c r="BD169" s="439">
        <v>11</v>
      </c>
      <c r="BE169" s="439" t="s">
        <v>134</v>
      </c>
      <c r="BF169" s="440">
        <v>46091</v>
      </c>
      <c r="BG169" s="439">
        <v>21380</v>
      </c>
      <c r="BH169" s="441">
        <v>4</v>
      </c>
      <c r="BI169" s="442">
        <v>4</v>
      </c>
      <c r="BJ169" s="443"/>
    </row>
    <row r="170" spans="1:62" s="459" customFormat="1" ht="12" customHeight="1">
      <c r="A170" s="423"/>
      <c r="B170" s="414"/>
      <c r="C170" s="414"/>
      <c r="D170" s="414"/>
      <c r="E170" s="414"/>
      <c r="F170" s="414"/>
      <c r="G170" s="414"/>
      <c r="H170" s="414"/>
      <c r="I170" s="447"/>
      <c r="J170" s="417">
        <v>46063</v>
      </c>
      <c r="K170" s="418">
        <v>46091</v>
      </c>
      <c r="L170" s="418"/>
      <c r="M170" s="419" t="s">
        <v>1058</v>
      </c>
      <c r="N170" s="448"/>
      <c r="O170" s="420">
        <v>46085</v>
      </c>
      <c r="P170" s="422">
        <v>46091</v>
      </c>
      <c r="Q170" s="449" t="s">
        <v>1064</v>
      </c>
      <c r="R170" s="424" t="s">
        <v>1099</v>
      </c>
      <c r="S170" s="428"/>
      <c r="T170" s="425"/>
      <c r="U170" s="426"/>
      <c r="V170" s="428"/>
      <c r="W170" s="426"/>
      <c r="X170" s="428"/>
      <c r="Y170" s="427"/>
      <c r="Z170" s="426"/>
      <c r="AA170" s="448"/>
      <c r="AB170" s="428"/>
      <c r="AC170" s="426"/>
      <c r="AD170" s="446"/>
      <c r="AE170" s="428"/>
      <c r="AF170" s="427"/>
      <c r="AG170" s="426"/>
      <c r="AH170" s="425"/>
      <c r="AI170" s="427"/>
      <c r="AJ170" s="427"/>
      <c r="AK170" s="426"/>
      <c r="AL170" s="428"/>
      <c r="AM170" s="427"/>
      <c r="AN170" s="427"/>
      <c r="AO170" s="426"/>
      <c r="AP170" s="428"/>
      <c r="AQ170" s="427"/>
      <c r="AR170" s="427"/>
      <c r="AS170" s="427"/>
      <c r="AT170" s="427"/>
      <c r="AU170" s="427"/>
      <c r="AV170" s="426"/>
      <c r="AW170" s="428"/>
      <c r="AX170" s="426"/>
      <c r="AY170" s="446"/>
      <c r="AZ170" s="450" t="s">
        <v>661</v>
      </c>
      <c r="BA170" s="451" t="s">
        <v>644</v>
      </c>
      <c r="BB170" s="452" t="s">
        <v>1241</v>
      </c>
      <c r="BC170" s="453" t="s">
        <v>1228</v>
      </c>
      <c r="BD170" s="439">
        <v>1</v>
      </c>
      <c r="BE170" s="439">
        <v>0</v>
      </c>
      <c r="BF170" s="440">
        <v>46091</v>
      </c>
      <c r="BG170" s="439">
        <v>0</v>
      </c>
      <c r="BH170" s="441">
        <v>1</v>
      </c>
      <c r="BI170" s="442">
        <v>0</v>
      </c>
      <c r="BJ170" s="443" t="s">
        <v>70</v>
      </c>
    </row>
    <row r="171" spans="1:62" s="459" customFormat="1" ht="12" customHeight="1">
      <c r="A171" s="423"/>
      <c r="B171" s="414"/>
      <c r="C171" s="414"/>
      <c r="D171" s="414"/>
      <c r="E171" s="414"/>
      <c r="F171" s="414"/>
      <c r="G171" s="414"/>
      <c r="H171" s="414"/>
      <c r="I171" s="447"/>
      <c r="J171" s="417">
        <v>46063</v>
      </c>
      <c r="K171" s="418">
        <v>46091</v>
      </c>
      <c r="L171" s="418"/>
      <c r="M171" s="419" t="s">
        <v>1058</v>
      </c>
      <c r="N171" s="448"/>
      <c r="O171" s="420">
        <v>46085</v>
      </c>
      <c r="P171" s="422">
        <v>46091</v>
      </c>
      <c r="Q171" s="449" t="s">
        <v>1064</v>
      </c>
      <c r="R171" s="424" t="s">
        <v>1072</v>
      </c>
      <c r="S171" s="428"/>
      <c r="T171" s="425"/>
      <c r="U171" s="426"/>
      <c r="V171" s="428"/>
      <c r="W171" s="426"/>
      <c r="X171" s="428"/>
      <c r="Y171" s="427"/>
      <c r="Z171" s="426"/>
      <c r="AA171" s="448"/>
      <c r="AB171" s="428"/>
      <c r="AC171" s="426"/>
      <c r="AD171" s="446"/>
      <c r="AE171" s="428"/>
      <c r="AF171" s="427"/>
      <c r="AG171" s="426"/>
      <c r="AH171" s="425"/>
      <c r="AI171" s="427"/>
      <c r="AJ171" s="427"/>
      <c r="AK171" s="426"/>
      <c r="AL171" s="428"/>
      <c r="AM171" s="427"/>
      <c r="AN171" s="427"/>
      <c r="AO171" s="426"/>
      <c r="AP171" s="428"/>
      <c r="AQ171" s="427"/>
      <c r="AR171" s="427"/>
      <c r="AS171" s="427"/>
      <c r="AT171" s="427"/>
      <c r="AU171" s="427"/>
      <c r="AV171" s="426"/>
      <c r="AW171" s="428"/>
      <c r="AX171" s="426"/>
      <c r="AY171" s="446"/>
      <c r="AZ171" s="450" t="s">
        <v>661</v>
      </c>
      <c r="BA171" s="451" t="s">
        <v>644</v>
      </c>
      <c r="BB171" s="452" t="s">
        <v>1242</v>
      </c>
      <c r="BC171" s="453" t="s">
        <v>1228</v>
      </c>
      <c r="BD171" s="439">
        <v>1</v>
      </c>
      <c r="BE171" s="439">
        <v>0</v>
      </c>
      <c r="BF171" s="440">
        <v>46091</v>
      </c>
      <c r="BG171" s="439">
        <v>0</v>
      </c>
      <c r="BH171" s="441">
        <v>1</v>
      </c>
      <c r="BI171" s="442">
        <v>0</v>
      </c>
      <c r="BJ171" s="443" t="s">
        <v>70</v>
      </c>
    </row>
    <row r="172" spans="1:62" s="459" customFormat="1" ht="12" customHeight="1">
      <c r="A172" s="413">
        <v>21381</v>
      </c>
      <c r="B172" s="415">
        <v>3225</v>
      </c>
      <c r="C172" s="414"/>
      <c r="D172" s="414"/>
      <c r="E172" s="414"/>
      <c r="F172" s="414"/>
      <c r="G172" s="414"/>
      <c r="H172" s="414"/>
      <c r="I172" s="416" t="s">
        <v>134</v>
      </c>
      <c r="J172" s="417">
        <v>46080</v>
      </c>
      <c r="K172" s="418">
        <v>46092</v>
      </c>
      <c r="L172" s="418"/>
      <c r="M172" s="419" t="s">
        <v>1058</v>
      </c>
      <c r="N172" s="417">
        <v>46087</v>
      </c>
      <c r="O172" s="420">
        <v>46083</v>
      </c>
      <c r="P172" s="422">
        <v>46092</v>
      </c>
      <c r="Q172" s="423"/>
      <c r="R172" s="424" t="s">
        <v>1058</v>
      </c>
      <c r="S172" s="424" t="s">
        <v>1058</v>
      </c>
      <c r="T172" s="455"/>
      <c r="U172" s="456"/>
      <c r="V172" s="424" t="s">
        <v>1058</v>
      </c>
      <c r="W172" s="456"/>
      <c r="X172" s="424" t="s">
        <v>1058</v>
      </c>
      <c r="Y172" s="457"/>
      <c r="Z172" s="456"/>
      <c r="AA172" s="421">
        <v>46087</v>
      </c>
      <c r="AB172" s="458"/>
      <c r="AC172" s="456"/>
      <c r="AD172" s="429" t="s">
        <v>1058</v>
      </c>
      <c r="AE172" s="430" t="s">
        <v>1058</v>
      </c>
      <c r="AF172" s="457"/>
      <c r="AG172" s="456"/>
      <c r="AH172" s="431" t="s">
        <v>1058</v>
      </c>
      <c r="AI172" s="457"/>
      <c r="AJ172" s="457"/>
      <c r="AK172" s="456"/>
      <c r="AL172" s="430" t="s">
        <v>1058</v>
      </c>
      <c r="AM172" s="457"/>
      <c r="AN172" s="457"/>
      <c r="AO172" s="456"/>
      <c r="AP172" s="433" t="s">
        <v>1058</v>
      </c>
      <c r="AQ172" s="457"/>
      <c r="AR172" s="457"/>
      <c r="AS172" s="457"/>
      <c r="AT172" s="457"/>
      <c r="AU172" s="457"/>
      <c r="AV172" s="456"/>
      <c r="AW172" s="458"/>
      <c r="AX172" s="463" t="s">
        <v>1058</v>
      </c>
      <c r="AY172" s="434" t="s">
        <v>1058</v>
      </c>
      <c r="AZ172" s="435" t="s">
        <v>358</v>
      </c>
      <c r="BA172" s="436" t="s">
        <v>208</v>
      </c>
      <c r="BB172" s="437"/>
      <c r="BC172" s="438" t="s">
        <v>134</v>
      </c>
      <c r="BD172" s="439">
        <v>11</v>
      </c>
      <c r="BE172" s="439" t="s">
        <v>134</v>
      </c>
      <c r="BF172" s="440">
        <v>46092</v>
      </c>
      <c r="BG172" s="439">
        <v>21381</v>
      </c>
      <c r="BH172" s="441">
        <v>4</v>
      </c>
      <c r="BI172" s="442">
        <v>4</v>
      </c>
      <c r="BJ172" s="443"/>
    </row>
    <row r="173" spans="1:62" s="459" customFormat="1" ht="12" customHeight="1">
      <c r="A173" s="413">
        <v>21382</v>
      </c>
      <c r="B173" s="414"/>
      <c r="C173" s="414"/>
      <c r="D173" s="414"/>
      <c r="E173" s="414"/>
      <c r="F173" s="414"/>
      <c r="G173" s="414"/>
      <c r="H173" s="415">
        <v>3533</v>
      </c>
      <c r="I173" s="416" t="s">
        <v>199</v>
      </c>
      <c r="J173" s="417">
        <v>46080</v>
      </c>
      <c r="K173" s="418">
        <v>46092</v>
      </c>
      <c r="L173" s="418"/>
      <c r="M173" s="419" t="s">
        <v>1058</v>
      </c>
      <c r="N173" s="417">
        <v>46090</v>
      </c>
      <c r="O173" s="420">
        <v>46084</v>
      </c>
      <c r="P173" s="422">
        <v>46092</v>
      </c>
      <c r="Q173" s="423"/>
      <c r="R173" s="424" t="s">
        <v>1058</v>
      </c>
      <c r="S173" s="424" t="s">
        <v>1058</v>
      </c>
      <c r="T173" s="455"/>
      <c r="U173" s="456"/>
      <c r="V173" s="424" t="s">
        <v>1058</v>
      </c>
      <c r="W173" s="456"/>
      <c r="X173" s="458"/>
      <c r="Y173" s="457"/>
      <c r="Z173" s="462" t="s">
        <v>1058</v>
      </c>
      <c r="AA173" s="421">
        <v>46087</v>
      </c>
      <c r="AB173" s="458"/>
      <c r="AC173" s="445" t="s">
        <v>1058</v>
      </c>
      <c r="AD173" s="461"/>
      <c r="AE173" s="458"/>
      <c r="AF173" s="457"/>
      <c r="AG173" s="445" t="s">
        <v>1058</v>
      </c>
      <c r="AH173" s="455"/>
      <c r="AI173" s="457"/>
      <c r="AJ173" s="457"/>
      <c r="AK173" s="445" t="s">
        <v>1058</v>
      </c>
      <c r="AL173" s="458"/>
      <c r="AM173" s="457"/>
      <c r="AN173" s="457"/>
      <c r="AO173" s="445" t="s">
        <v>1058</v>
      </c>
      <c r="AP173" s="458"/>
      <c r="AQ173" s="457"/>
      <c r="AR173" s="457"/>
      <c r="AS173" s="457"/>
      <c r="AT173" s="457"/>
      <c r="AU173" s="457"/>
      <c r="AV173" s="463" t="s">
        <v>1058</v>
      </c>
      <c r="AW173" s="433" t="s">
        <v>1058</v>
      </c>
      <c r="AX173" s="456"/>
      <c r="AY173" s="434" t="s">
        <v>1058</v>
      </c>
      <c r="AZ173" s="435" t="s">
        <v>352</v>
      </c>
      <c r="BA173" s="436" t="s">
        <v>151</v>
      </c>
      <c r="BB173" s="437" t="s">
        <v>353</v>
      </c>
      <c r="BC173" s="438" t="s">
        <v>354</v>
      </c>
      <c r="BD173" s="439">
        <v>11</v>
      </c>
      <c r="BE173" s="439" t="s">
        <v>199</v>
      </c>
      <c r="BF173" s="440">
        <v>46092</v>
      </c>
      <c r="BG173" s="439">
        <v>21382</v>
      </c>
      <c r="BH173" s="441">
        <v>4</v>
      </c>
      <c r="BI173" s="442">
        <v>4</v>
      </c>
      <c r="BJ173" s="443"/>
    </row>
    <row r="174" spans="1:62" s="459" customFormat="1" ht="12" customHeight="1">
      <c r="A174" s="413">
        <v>21383</v>
      </c>
      <c r="B174" s="415">
        <v>3226</v>
      </c>
      <c r="C174" s="414"/>
      <c r="D174" s="414"/>
      <c r="E174" s="414"/>
      <c r="F174" s="414"/>
      <c r="G174" s="414"/>
      <c r="H174" s="414"/>
      <c r="I174" s="416" t="s">
        <v>134</v>
      </c>
      <c r="J174" s="417">
        <v>46083</v>
      </c>
      <c r="K174" s="418">
        <v>46093</v>
      </c>
      <c r="L174" s="418"/>
      <c r="M174" s="419" t="s">
        <v>1058</v>
      </c>
      <c r="N174" s="417">
        <v>46091</v>
      </c>
      <c r="O174" s="420">
        <v>46085</v>
      </c>
      <c r="P174" s="422">
        <v>46093</v>
      </c>
      <c r="Q174" s="423"/>
      <c r="R174" s="424" t="s">
        <v>1058</v>
      </c>
      <c r="S174" s="424" t="s">
        <v>1058</v>
      </c>
      <c r="T174" s="455"/>
      <c r="U174" s="456"/>
      <c r="V174" s="424" t="s">
        <v>1058</v>
      </c>
      <c r="W174" s="456"/>
      <c r="X174" s="424" t="s">
        <v>1058</v>
      </c>
      <c r="Y174" s="457"/>
      <c r="Z174" s="456"/>
      <c r="AA174" s="421">
        <v>46090</v>
      </c>
      <c r="AB174" s="458"/>
      <c r="AC174" s="456"/>
      <c r="AD174" s="429" t="s">
        <v>1058</v>
      </c>
      <c r="AE174" s="430" t="s">
        <v>1058</v>
      </c>
      <c r="AF174" s="457"/>
      <c r="AG174" s="456"/>
      <c r="AH174" s="431" t="s">
        <v>1058</v>
      </c>
      <c r="AI174" s="457"/>
      <c r="AJ174" s="457"/>
      <c r="AK174" s="456"/>
      <c r="AL174" s="430" t="s">
        <v>1058</v>
      </c>
      <c r="AM174" s="457"/>
      <c r="AN174" s="457"/>
      <c r="AO174" s="456"/>
      <c r="AP174" s="433" t="s">
        <v>1058</v>
      </c>
      <c r="AQ174" s="457"/>
      <c r="AR174" s="457"/>
      <c r="AS174" s="457"/>
      <c r="AT174" s="457"/>
      <c r="AU174" s="457"/>
      <c r="AV174" s="456"/>
      <c r="AW174" s="458"/>
      <c r="AX174" s="463" t="s">
        <v>1058</v>
      </c>
      <c r="AY174" s="434" t="s">
        <v>1058</v>
      </c>
      <c r="AZ174" s="435" t="s">
        <v>361</v>
      </c>
      <c r="BA174" s="436" t="s">
        <v>208</v>
      </c>
      <c r="BB174" s="437"/>
      <c r="BC174" s="438" t="s">
        <v>134</v>
      </c>
      <c r="BD174" s="439">
        <v>11</v>
      </c>
      <c r="BE174" s="439" t="s">
        <v>134</v>
      </c>
      <c r="BF174" s="440">
        <v>46093</v>
      </c>
      <c r="BG174" s="439">
        <v>21383</v>
      </c>
      <c r="BH174" s="441">
        <v>4</v>
      </c>
      <c r="BI174" s="442">
        <v>4</v>
      </c>
      <c r="BJ174" s="443"/>
    </row>
    <row r="175" spans="1:62" s="459" customFormat="1" ht="12" customHeight="1">
      <c r="A175" s="413">
        <v>21384</v>
      </c>
      <c r="B175" s="414"/>
      <c r="C175" s="414"/>
      <c r="D175" s="414"/>
      <c r="E175" s="414"/>
      <c r="F175" s="414"/>
      <c r="G175" s="414"/>
      <c r="H175" s="415">
        <v>3534</v>
      </c>
      <c r="I175" s="416" t="s">
        <v>199</v>
      </c>
      <c r="J175" s="417">
        <v>46083</v>
      </c>
      <c r="K175" s="418">
        <v>46093</v>
      </c>
      <c r="L175" s="418"/>
      <c r="M175" s="419" t="s">
        <v>1058</v>
      </c>
      <c r="N175" s="417">
        <v>46092</v>
      </c>
      <c r="O175" s="420">
        <v>46086</v>
      </c>
      <c r="P175" s="422">
        <v>46093</v>
      </c>
      <c r="Q175" s="423"/>
      <c r="R175" s="424" t="s">
        <v>1058</v>
      </c>
      <c r="S175" s="424" t="s">
        <v>1058</v>
      </c>
      <c r="T175" s="455"/>
      <c r="U175" s="456"/>
      <c r="V175" s="424" t="s">
        <v>1058</v>
      </c>
      <c r="W175" s="456"/>
      <c r="X175" s="458"/>
      <c r="Y175" s="457"/>
      <c r="Z175" s="462" t="s">
        <v>1058</v>
      </c>
      <c r="AA175" s="421">
        <v>46090</v>
      </c>
      <c r="AB175" s="458"/>
      <c r="AC175" s="445" t="s">
        <v>1058</v>
      </c>
      <c r="AD175" s="461"/>
      <c r="AE175" s="458"/>
      <c r="AF175" s="457"/>
      <c r="AG175" s="445" t="s">
        <v>1058</v>
      </c>
      <c r="AH175" s="455"/>
      <c r="AI175" s="457"/>
      <c r="AJ175" s="457"/>
      <c r="AK175" s="445" t="s">
        <v>1058</v>
      </c>
      <c r="AL175" s="458"/>
      <c r="AM175" s="457"/>
      <c r="AN175" s="457"/>
      <c r="AO175" s="445" t="s">
        <v>1058</v>
      </c>
      <c r="AP175" s="458"/>
      <c r="AQ175" s="457"/>
      <c r="AR175" s="457"/>
      <c r="AS175" s="457"/>
      <c r="AT175" s="457"/>
      <c r="AU175" s="457"/>
      <c r="AV175" s="463" t="s">
        <v>1058</v>
      </c>
      <c r="AW175" s="433" t="s">
        <v>1058</v>
      </c>
      <c r="AX175" s="456"/>
      <c r="AY175" s="434" t="s">
        <v>1058</v>
      </c>
      <c r="AZ175" s="435" t="s">
        <v>359</v>
      </c>
      <c r="BA175" s="436" t="s">
        <v>151</v>
      </c>
      <c r="BB175" s="437" t="s">
        <v>360</v>
      </c>
      <c r="BC175" s="438" t="s">
        <v>198</v>
      </c>
      <c r="BD175" s="439">
        <v>11</v>
      </c>
      <c r="BE175" s="439" t="s">
        <v>199</v>
      </c>
      <c r="BF175" s="440">
        <v>46093</v>
      </c>
      <c r="BG175" s="439">
        <v>21384</v>
      </c>
      <c r="BH175" s="441">
        <v>4</v>
      </c>
      <c r="BI175" s="442">
        <v>4</v>
      </c>
      <c r="BJ175" s="443"/>
    </row>
    <row r="176" spans="1:62" s="459" customFormat="1" ht="12" customHeight="1">
      <c r="A176" s="413">
        <v>21385</v>
      </c>
      <c r="B176" s="414"/>
      <c r="C176" s="414"/>
      <c r="D176" s="414"/>
      <c r="E176" s="414"/>
      <c r="F176" s="414"/>
      <c r="G176" s="414"/>
      <c r="H176" s="415">
        <v>3535</v>
      </c>
      <c r="I176" s="416" t="s">
        <v>199</v>
      </c>
      <c r="J176" s="417">
        <v>46085</v>
      </c>
      <c r="K176" s="418">
        <v>46097</v>
      </c>
      <c r="L176" s="418"/>
      <c r="M176" s="419" t="s">
        <v>1058</v>
      </c>
      <c r="N176" s="417">
        <v>46094</v>
      </c>
      <c r="O176" s="420">
        <v>46090</v>
      </c>
      <c r="P176" s="422">
        <v>46097</v>
      </c>
      <c r="Q176" s="423"/>
      <c r="R176" s="424" t="s">
        <v>1058</v>
      </c>
      <c r="S176" s="424" t="s">
        <v>1058</v>
      </c>
      <c r="T176" s="455"/>
      <c r="U176" s="456"/>
      <c r="V176" s="424" t="s">
        <v>1058</v>
      </c>
      <c r="W176" s="456"/>
      <c r="X176" s="458"/>
      <c r="Y176" s="457"/>
      <c r="Z176" s="462" t="s">
        <v>1058</v>
      </c>
      <c r="AA176" s="421">
        <v>46092</v>
      </c>
      <c r="AB176" s="458"/>
      <c r="AC176" s="445" t="s">
        <v>1058</v>
      </c>
      <c r="AD176" s="461"/>
      <c r="AE176" s="458"/>
      <c r="AF176" s="457"/>
      <c r="AG176" s="445" t="s">
        <v>1058</v>
      </c>
      <c r="AH176" s="455"/>
      <c r="AI176" s="457"/>
      <c r="AJ176" s="457"/>
      <c r="AK176" s="445" t="s">
        <v>1058</v>
      </c>
      <c r="AL176" s="458"/>
      <c r="AM176" s="457"/>
      <c r="AN176" s="457"/>
      <c r="AO176" s="445" t="s">
        <v>1058</v>
      </c>
      <c r="AP176" s="458"/>
      <c r="AQ176" s="457"/>
      <c r="AR176" s="457"/>
      <c r="AS176" s="457"/>
      <c r="AT176" s="457"/>
      <c r="AU176" s="457"/>
      <c r="AV176" s="463" t="s">
        <v>1058</v>
      </c>
      <c r="AW176" s="433" t="s">
        <v>1058</v>
      </c>
      <c r="AX176" s="456"/>
      <c r="AY176" s="434" t="s">
        <v>1058</v>
      </c>
      <c r="AZ176" s="435" t="s">
        <v>362</v>
      </c>
      <c r="BA176" s="436" t="s">
        <v>151</v>
      </c>
      <c r="BB176" s="437" t="s">
        <v>363</v>
      </c>
      <c r="BC176" s="438"/>
      <c r="BD176" s="439">
        <v>11</v>
      </c>
      <c r="BE176" s="439" t="s">
        <v>199</v>
      </c>
      <c r="BF176" s="440">
        <v>46097</v>
      </c>
      <c r="BG176" s="439">
        <v>21385</v>
      </c>
      <c r="BH176" s="441">
        <v>4</v>
      </c>
      <c r="BI176" s="442">
        <v>4</v>
      </c>
      <c r="BJ176" s="443"/>
    </row>
    <row r="177" spans="1:62" s="459" customFormat="1" ht="12" customHeight="1">
      <c r="A177" s="413">
        <v>21386</v>
      </c>
      <c r="B177" s="414"/>
      <c r="C177" s="414"/>
      <c r="D177" s="414"/>
      <c r="E177" s="414"/>
      <c r="F177" s="415">
        <v>1257</v>
      </c>
      <c r="G177" s="414"/>
      <c r="H177" s="414"/>
      <c r="I177" s="416" t="s">
        <v>285</v>
      </c>
      <c r="J177" s="417">
        <v>46087</v>
      </c>
      <c r="K177" s="418">
        <v>46099</v>
      </c>
      <c r="L177" s="418"/>
      <c r="M177" s="419" t="s">
        <v>1058</v>
      </c>
      <c r="N177" s="417">
        <v>46097</v>
      </c>
      <c r="O177" s="420">
        <v>46091</v>
      </c>
      <c r="P177" s="422">
        <v>46099</v>
      </c>
      <c r="Q177" s="423"/>
      <c r="R177" s="424" t="s">
        <v>1058</v>
      </c>
      <c r="S177" s="424" t="s">
        <v>1058</v>
      </c>
      <c r="T177" s="455"/>
      <c r="U177" s="456"/>
      <c r="V177" s="424" t="s">
        <v>1058</v>
      </c>
      <c r="W177" s="456"/>
      <c r="X177" s="458"/>
      <c r="Y177" s="454" t="s">
        <v>1058</v>
      </c>
      <c r="Z177" s="456"/>
      <c r="AA177" s="421">
        <v>46094</v>
      </c>
      <c r="AB177" s="458"/>
      <c r="AC177" s="445" t="s">
        <v>1058</v>
      </c>
      <c r="AD177" s="461"/>
      <c r="AE177" s="430" t="s">
        <v>1058</v>
      </c>
      <c r="AF177" s="457"/>
      <c r="AG177" s="456"/>
      <c r="AH177" s="431" t="s">
        <v>1058</v>
      </c>
      <c r="AI177" s="457"/>
      <c r="AJ177" s="457"/>
      <c r="AK177" s="456"/>
      <c r="AL177" s="430" t="s">
        <v>1058</v>
      </c>
      <c r="AM177" s="457"/>
      <c r="AN177" s="457"/>
      <c r="AO177" s="456"/>
      <c r="AP177" s="458"/>
      <c r="AQ177" s="457"/>
      <c r="AR177" s="457"/>
      <c r="AS177" s="457"/>
      <c r="AT177" s="432" t="s">
        <v>1058</v>
      </c>
      <c r="AU177" s="457"/>
      <c r="AV177" s="456"/>
      <c r="AW177" s="433" t="s">
        <v>1058</v>
      </c>
      <c r="AX177" s="456"/>
      <c r="AY177" s="434" t="s">
        <v>1058</v>
      </c>
      <c r="AZ177" s="435" t="s">
        <v>366</v>
      </c>
      <c r="BA177" s="436" t="s">
        <v>279</v>
      </c>
      <c r="BB177" s="437" t="s">
        <v>367</v>
      </c>
      <c r="BC177" s="438"/>
      <c r="BD177" s="439">
        <v>11</v>
      </c>
      <c r="BE177" s="439" t="s">
        <v>285</v>
      </c>
      <c r="BF177" s="440">
        <v>46099</v>
      </c>
      <c r="BG177" s="439">
        <v>21386</v>
      </c>
      <c r="BH177" s="441">
        <v>4</v>
      </c>
      <c r="BI177" s="442">
        <v>4</v>
      </c>
      <c r="BJ177" s="443"/>
    </row>
    <row r="178" spans="1:62" s="459" customFormat="1" ht="12" customHeight="1">
      <c r="A178" s="413">
        <v>21387</v>
      </c>
      <c r="B178" s="414"/>
      <c r="C178" s="414"/>
      <c r="D178" s="414"/>
      <c r="E178" s="414"/>
      <c r="F178" s="414"/>
      <c r="G178" s="414"/>
      <c r="H178" s="415">
        <v>3536</v>
      </c>
      <c r="I178" s="416" t="s">
        <v>199</v>
      </c>
      <c r="J178" s="417">
        <v>46087</v>
      </c>
      <c r="K178" s="418">
        <v>46099</v>
      </c>
      <c r="L178" s="418"/>
      <c r="M178" s="419" t="s">
        <v>1058</v>
      </c>
      <c r="N178" s="417">
        <v>46098</v>
      </c>
      <c r="O178" s="420">
        <v>46092</v>
      </c>
      <c r="P178" s="422">
        <v>46099</v>
      </c>
      <c r="Q178" s="423"/>
      <c r="R178" s="424" t="s">
        <v>1058</v>
      </c>
      <c r="S178" s="424" t="s">
        <v>1058</v>
      </c>
      <c r="T178" s="455"/>
      <c r="U178" s="456"/>
      <c r="V178" s="424" t="s">
        <v>1058</v>
      </c>
      <c r="W178" s="456"/>
      <c r="X178" s="458"/>
      <c r="Y178" s="457"/>
      <c r="Z178" s="462" t="s">
        <v>1058</v>
      </c>
      <c r="AA178" s="421">
        <v>46094</v>
      </c>
      <c r="AB178" s="458"/>
      <c r="AC178" s="445" t="s">
        <v>1058</v>
      </c>
      <c r="AD178" s="461"/>
      <c r="AE178" s="458"/>
      <c r="AF178" s="457"/>
      <c r="AG178" s="445" t="s">
        <v>1058</v>
      </c>
      <c r="AH178" s="455"/>
      <c r="AI178" s="457"/>
      <c r="AJ178" s="457"/>
      <c r="AK178" s="445" t="s">
        <v>1058</v>
      </c>
      <c r="AL178" s="458"/>
      <c r="AM178" s="457"/>
      <c r="AN178" s="457"/>
      <c r="AO178" s="445" t="s">
        <v>1058</v>
      </c>
      <c r="AP178" s="458"/>
      <c r="AQ178" s="457"/>
      <c r="AR178" s="457"/>
      <c r="AS178" s="457"/>
      <c r="AT178" s="457"/>
      <c r="AU178" s="457"/>
      <c r="AV178" s="463" t="s">
        <v>1058</v>
      </c>
      <c r="AW178" s="433" t="s">
        <v>1058</v>
      </c>
      <c r="AX178" s="456"/>
      <c r="AY178" s="434" t="s">
        <v>1058</v>
      </c>
      <c r="AZ178" s="435" t="s">
        <v>364</v>
      </c>
      <c r="BA178" s="436" t="s">
        <v>151</v>
      </c>
      <c r="BB178" s="437" t="s">
        <v>365</v>
      </c>
      <c r="BC178" s="438" t="s">
        <v>198</v>
      </c>
      <c r="BD178" s="439">
        <v>11</v>
      </c>
      <c r="BE178" s="439" t="s">
        <v>199</v>
      </c>
      <c r="BF178" s="440">
        <v>46099</v>
      </c>
      <c r="BG178" s="439">
        <v>21387</v>
      </c>
      <c r="BH178" s="441">
        <v>4</v>
      </c>
      <c r="BI178" s="442">
        <v>4</v>
      </c>
      <c r="BJ178" s="443"/>
    </row>
    <row r="179" spans="1:62" s="459" customFormat="1" ht="12" customHeight="1">
      <c r="A179" s="413">
        <v>21388</v>
      </c>
      <c r="B179" s="414"/>
      <c r="C179" s="414"/>
      <c r="D179" s="414"/>
      <c r="E179" s="414"/>
      <c r="F179" s="415">
        <v>1258</v>
      </c>
      <c r="G179" s="414"/>
      <c r="H179" s="414"/>
      <c r="I179" s="416" t="s">
        <v>285</v>
      </c>
      <c r="J179" s="417">
        <v>46090</v>
      </c>
      <c r="K179" s="418">
        <v>46100</v>
      </c>
      <c r="L179" s="418"/>
      <c r="M179" s="419" t="s">
        <v>1058</v>
      </c>
      <c r="N179" s="417">
        <v>46099</v>
      </c>
      <c r="O179" s="420">
        <v>46093</v>
      </c>
      <c r="P179" s="422">
        <v>46100</v>
      </c>
      <c r="Q179" s="423"/>
      <c r="R179" s="424" t="s">
        <v>1058</v>
      </c>
      <c r="S179" s="424" t="s">
        <v>1058</v>
      </c>
      <c r="T179" s="455"/>
      <c r="U179" s="456"/>
      <c r="V179" s="424" t="s">
        <v>1058</v>
      </c>
      <c r="W179" s="456"/>
      <c r="X179" s="458"/>
      <c r="Y179" s="454" t="s">
        <v>1058</v>
      </c>
      <c r="Z179" s="456"/>
      <c r="AA179" s="421">
        <v>46097</v>
      </c>
      <c r="AB179" s="458"/>
      <c r="AC179" s="445" t="s">
        <v>1058</v>
      </c>
      <c r="AD179" s="461"/>
      <c r="AE179" s="430" t="s">
        <v>1058</v>
      </c>
      <c r="AF179" s="457"/>
      <c r="AG179" s="456"/>
      <c r="AH179" s="431" t="s">
        <v>1058</v>
      </c>
      <c r="AI179" s="457"/>
      <c r="AJ179" s="457"/>
      <c r="AK179" s="456"/>
      <c r="AL179" s="430" t="s">
        <v>1058</v>
      </c>
      <c r="AM179" s="457"/>
      <c r="AN179" s="457"/>
      <c r="AO179" s="456"/>
      <c r="AP179" s="458"/>
      <c r="AQ179" s="457"/>
      <c r="AR179" s="457"/>
      <c r="AS179" s="457"/>
      <c r="AT179" s="432" t="s">
        <v>1058</v>
      </c>
      <c r="AU179" s="457"/>
      <c r="AV179" s="456"/>
      <c r="AW179" s="433" t="s">
        <v>1058</v>
      </c>
      <c r="AX179" s="456"/>
      <c r="AY179" s="434" t="s">
        <v>1058</v>
      </c>
      <c r="AZ179" s="435" t="s">
        <v>370</v>
      </c>
      <c r="BA179" s="436" t="s">
        <v>279</v>
      </c>
      <c r="BB179" s="437" t="s">
        <v>371</v>
      </c>
      <c r="BC179" s="438" t="s">
        <v>215</v>
      </c>
      <c r="BD179" s="439">
        <v>11</v>
      </c>
      <c r="BE179" s="439" t="s">
        <v>285</v>
      </c>
      <c r="BF179" s="440">
        <v>46100</v>
      </c>
      <c r="BG179" s="439">
        <v>21388</v>
      </c>
      <c r="BH179" s="441">
        <v>4</v>
      </c>
      <c r="BI179" s="442">
        <v>4</v>
      </c>
      <c r="BJ179" s="443"/>
    </row>
    <row r="180" spans="1:62" s="459" customFormat="1" ht="12" customHeight="1">
      <c r="A180" s="413">
        <v>21389</v>
      </c>
      <c r="B180" s="414"/>
      <c r="C180" s="414"/>
      <c r="D180" s="414"/>
      <c r="E180" s="414"/>
      <c r="F180" s="415">
        <v>1259</v>
      </c>
      <c r="G180" s="414"/>
      <c r="H180" s="414"/>
      <c r="I180" s="416" t="s">
        <v>285</v>
      </c>
      <c r="J180" s="417">
        <v>46091</v>
      </c>
      <c r="K180" s="418">
        <v>46104</v>
      </c>
      <c r="L180" s="418"/>
      <c r="M180" s="419" t="s">
        <v>1058</v>
      </c>
      <c r="N180" s="417">
        <v>46100</v>
      </c>
      <c r="O180" s="420">
        <v>46094</v>
      </c>
      <c r="P180" s="422">
        <v>46104</v>
      </c>
      <c r="Q180" s="423"/>
      <c r="R180" s="424" t="s">
        <v>1058</v>
      </c>
      <c r="S180" s="424" t="s">
        <v>1058</v>
      </c>
      <c r="T180" s="455"/>
      <c r="U180" s="456"/>
      <c r="V180" s="424" t="s">
        <v>1058</v>
      </c>
      <c r="W180" s="456"/>
      <c r="X180" s="458"/>
      <c r="Y180" s="454" t="s">
        <v>1058</v>
      </c>
      <c r="Z180" s="456"/>
      <c r="AA180" s="421">
        <v>46098</v>
      </c>
      <c r="AB180" s="458"/>
      <c r="AC180" s="445" t="s">
        <v>1058</v>
      </c>
      <c r="AD180" s="461"/>
      <c r="AE180" s="430" t="s">
        <v>1058</v>
      </c>
      <c r="AF180" s="457"/>
      <c r="AG180" s="456"/>
      <c r="AH180" s="431" t="s">
        <v>1058</v>
      </c>
      <c r="AI180" s="457"/>
      <c r="AJ180" s="457"/>
      <c r="AK180" s="456"/>
      <c r="AL180" s="430" t="s">
        <v>1058</v>
      </c>
      <c r="AM180" s="457"/>
      <c r="AN180" s="457"/>
      <c r="AO180" s="456"/>
      <c r="AP180" s="458"/>
      <c r="AQ180" s="457"/>
      <c r="AR180" s="457"/>
      <c r="AS180" s="457"/>
      <c r="AT180" s="432" t="s">
        <v>1058</v>
      </c>
      <c r="AU180" s="457"/>
      <c r="AV180" s="456"/>
      <c r="AW180" s="433" t="s">
        <v>1058</v>
      </c>
      <c r="AX180" s="456"/>
      <c r="AY180" s="434" t="s">
        <v>1058</v>
      </c>
      <c r="AZ180" s="435" t="s">
        <v>372</v>
      </c>
      <c r="BA180" s="436" t="s">
        <v>279</v>
      </c>
      <c r="BB180" s="437" t="s">
        <v>371</v>
      </c>
      <c r="BC180" s="438" t="s">
        <v>373</v>
      </c>
      <c r="BD180" s="439">
        <v>11</v>
      </c>
      <c r="BE180" s="439" t="s">
        <v>285</v>
      </c>
      <c r="BF180" s="440">
        <v>46104</v>
      </c>
      <c r="BG180" s="439">
        <v>21389</v>
      </c>
      <c r="BH180" s="441">
        <v>4</v>
      </c>
      <c r="BI180" s="442">
        <v>4</v>
      </c>
      <c r="BJ180" s="443"/>
    </row>
    <row r="181" spans="1:62" s="459" customFormat="1" ht="12" customHeight="1">
      <c r="A181" s="413">
        <v>21390</v>
      </c>
      <c r="B181" s="414"/>
      <c r="C181" s="414"/>
      <c r="D181" s="414"/>
      <c r="E181" s="414"/>
      <c r="F181" s="415">
        <v>1260</v>
      </c>
      <c r="G181" s="414"/>
      <c r="H181" s="414"/>
      <c r="I181" s="416" t="s">
        <v>285</v>
      </c>
      <c r="J181" s="417">
        <v>46092</v>
      </c>
      <c r="K181" s="418">
        <v>46105</v>
      </c>
      <c r="L181" s="418"/>
      <c r="M181" s="419" t="s">
        <v>1058</v>
      </c>
      <c r="N181" s="417">
        <v>46104</v>
      </c>
      <c r="O181" s="420">
        <v>46097</v>
      </c>
      <c r="P181" s="422">
        <v>46105</v>
      </c>
      <c r="Q181" s="423"/>
      <c r="R181" s="424" t="s">
        <v>1058</v>
      </c>
      <c r="S181" s="424" t="s">
        <v>1058</v>
      </c>
      <c r="T181" s="455"/>
      <c r="U181" s="456"/>
      <c r="V181" s="424" t="s">
        <v>1058</v>
      </c>
      <c r="W181" s="456"/>
      <c r="X181" s="458"/>
      <c r="Y181" s="454" t="s">
        <v>1058</v>
      </c>
      <c r="Z181" s="456"/>
      <c r="AA181" s="421">
        <v>46099</v>
      </c>
      <c r="AB181" s="458"/>
      <c r="AC181" s="445" t="s">
        <v>1058</v>
      </c>
      <c r="AD181" s="461"/>
      <c r="AE181" s="430" t="s">
        <v>1058</v>
      </c>
      <c r="AF181" s="457"/>
      <c r="AG181" s="456"/>
      <c r="AH181" s="431" t="s">
        <v>1058</v>
      </c>
      <c r="AI181" s="457"/>
      <c r="AJ181" s="457"/>
      <c r="AK181" s="456"/>
      <c r="AL181" s="430" t="s">
        <v>1058</v>
      </c>
      <c r="AM181" s="457"/>
      <c r="AN181" s="457"/>
      <c r="AO181" s="456"/>
      <c r="AP181" s="458"/>
      <c r="AQ181" s="457"/>
      <c r="AR181" s="457"/>
      <c r="AS181" s="457"/>
      <c r="AT181" s="432" t="s">
        <v>1058</v>
      </c>
      <c r="AU181" s="457"/>
      <c r="AV181" s="456"/>
      <c r="AW181" s="433" t="s">
        <v>1058</v>
      </c>
      <c r="AX181" s="456"/>
      <c r="AY181" s="434" t="s">
        <v>1058</v>
      </c>
      <c r="AZ181" s="435" t="s">
        <v>374</v>
      </c>
      <c r="BA181" s="436" t="s">
        <v>279</v>
      </c>
      <c r="BB181" s="437" t="s">
        <v>375</v>
      </c>
      <c r="BC181" s="438"/>
      <c r="BD181" s="439">
        <v>11</v>
      </c>
      <c r="BE181" s="439" t="s">
        <v>285</v>
      </c>
      <c r="BF181" s="440">
        <v>46105</v>
      </c>
      <c r="BG181" s="439">
        <v>21390</v>
      </c>
      <c r="BH181" s="441">
        <v>4</v>
      </c>
      <c r="BI181" s="442">
        <v>4</v>
      </c>
      <c r="BJ181" s="443"/>
    </row>
    <row r="182" spans="1:62" s="459" customFormat="1" ht="12" customHeight="1">
      <c r="A182" s="413">
        <v>21391</v>
      </c>
      <c r="B182" s="414"/>
      <c r="C182" s="414"/>
      <c r="D182" s="414"/>
      <c r="E182" s="414"/>
      <c r="F182" s="415">
        <v>1261</v>
      </c>
      <c r="G182" s="414"/>
      <c r="H182" s="414"/>
      <c r="I182" s="416" t="s">
        <v>285</v>
      </c>
      <c r="J182" s="417">
        <v>46093</v>
      </c>
      <c r="K182" s="418">
        <v>46106</v>
      </c>
      <c r="L182" s="418"/>
      <c r="M182" s="419" t="s">
        <v>1058</v>
      </c>
      <c r="N182" s="417">
        <v>46105</v>
      </c>
      <c r="O182" s="420">
        <v>46098</v>
      </c>
      <c r="P182" s="422">
        <v>46106</v>
      </c>
      <c r="Q182" s="423"/>
      <c r="R182" s="424" t="s">
        <v>1058</v>
      </c>
      <c r="S182" s="424" t="s">
        <v>1058</v>
      </c>
      <c r="T182" s="455"/>
      <c r="U182" s="456"/>
      <c r="V182" s="424" t="s">
        <v>1058</v>
      </c>
      <c r="W182" s="456"/>
      <c r="X182" s="458"/>
      <c r="Y182" s="454" t="s">
        <v>1058</v>
      </c>
      <c r="Z182" s="456"/>
      <c r="AA182" s="421">
        <v>46100</v>
      </c>
      <c r="AB182" s="458"/>
      <c r="AC182" s="445" t="s">
        <v>1058</v>
      </c>
      <c r="AD182" s="461"/>
      <c r="AE182" s="430" t="s">
        <v>1058</v>
      </c>
      <c r="AF182" s="457"/>
      <c r="AG182" s="456"/>
      <c r="AH182" s="431" t="s">
        <v>1058</v>
      </c>
      <c r="AI182" s="457"/>
      <c r="AJ182" s="457"/>
      <c r="AK182" s="456"/>
      <c r="AL182" s="430" t="s">
        <v>1058</v>
      </c>
      <c r="AM182" s="457"/>
      <c r="AN182" s="457"/>
      <c r="AO182" s="456"/>
      <c r="AP182" s="458"/>
      <c r="AQ182" s="457"/>
      <c r="AR182" s="457"/>
      <c r="AS182" s="457"/>
      <c r="AT182" s="432" t="s">
        <v>1058</v>
      </c>
      <c r="AU182" s="457"/>
      <c r="AV182" s="456"/>
      <c r="AW182" s="433" t="s">
        <v>1058</v>
      </c>
      <c r="AX182" s="456"/>
      <c r="AY182" s="434" t="s">
        <v>1058</v>
      </c>
      <c r="AZ182" s="435" t="s">
        <v>376</v>
      </c>
      <c r="BA182" s="436" t="s">
        <v>279</v>
      </c>
      <c r="BB182" s="437" t="s">
        <v>377</v>
      </c>
      <c r="BC182" s="438" t="s">
        <v>215</v>
      </c>
      <c r="BD182" s="439">
        <v>11</v>
      </c>
      <c r="BE182" s="439" t="s">
        <v>285</v>
      </c>
      <c r="BF182" s="440">
        <v>46106</v>
      </c>
      <c r="BG182" s="439">
        <v>21391</v>
      </c>
      <c r="BH182" s="441">
        <v>4</v>
      </c>
      <c r="BI182" s="442">
        <v>4</v>
      </c>
      <c r="BJ182" s="443"/>
    </row>
    <row r="183" spans="1:62" s="459" customFormat="1" ht="12" customHeight="1">
      <c r="A183" s="413">
        <v>21392</v>
      </c>
      <c r="B183" s="414"/>
      <c r="C183" s="414"/>
      <c r="D183" s="414"/>
      <c r="E183" s="415">
        <v>8234</v>
      </c>
      <c r="F183" s="414"/>
      <c r="G183" s="414"/>
      <c r="H183" s="414"/>
      <c r="I183" s="416" t="s">
        <v>190</v>
      </c>
      <c r="J183" s="417">
        <v>46093</v>
      </c>
      <c r="K183" s="418">
        <v>46113</v>
      </c>
      <c r="L183" s="418"/>
      <c r="M183" s="419" t="s">
        <v>1058</v>
      </c>
      <c r="N183" s="417">
        <v>46112</v>
      </c>
      <c r="O183" s="420">
        <v>46106</v>
      </c>
      <c r="P183" s="422">
        <v>46113</v>
      </c>
      <c r="Q183" s="423"/>
      <c r="R183" s="424" t="s">
        <v>1058</v>
      </c>
      <c r="S183" s="424" t="s">
        <v>1058</v>
      </c>
      <c r="T183" s="455"/>
      <c r="U183" s="456"/>
      <c r="V183" s="424" t="s">
        <v>1058</v>
      </c>
      <c r="W183" s="456"/>
      <c r="X183" s="424" t="s">
        <v>1058</v>
      </c>
      <c r="Y183" s="457"/>
      <c r="Z183" s="456"/>
      <c r="AA183" s="421">
        <v>46108</v>
      </c>
      <c r="AB183" s="458"/>
      <c r="AC183" s="445" t="s">
        <v>1058</v>
      </c>
      <c r="AD183" s="461"/>
      <c r="AE183" s="430" t="s">
        <v>1058</v>
      </c>
      <c r="AF183" s="457"/>
      <c r="AG183" s="456"/>
      <c r="AH183" s="431" t="s">
        <v>1058</v>
      </c>
      <c r="AI183" s="457"/>
      <c r="AJ183" s="457"/>
      <c r="AK183" s="456"/>
      <c r="AL183" s="430" t="s">
        <v>1058</v>
      </c>
      <c r="AM183" s="457"/>
      <c r="AN183" s="457"/>
      <c r="AO183" s="456"/>
      <c r="AP183" s="458"/>
      <c r="AQ183" s="457"/>
      <c r="AR183" s="457"/>
      <c r="AS183" s="432" t="s">
        <v>1058</v>
      </c>
      <c r="AT183" s="457"/>
      <c r="AU183" s="457"/>
      <c r="AV183" s="456"/>
      <c r="AW183" s="433" t="s">
        <v>1058</v>
      </c>
      <c r="AX183" s="456"/>
      <c r="AY183" s="434" t="s">
        <v>1058</v>
      </c>
      <c r="AZ183" s="435" t="s">
        <v>378</v>
      </c>
      <c r="BA183" s="436" t="s">
        <v>164</v>
      </c>
      <c r="BB183" s="437" t="s">
        <v>379</v>
      </c>
      <c r="BC183" s="438" t="s">
        <v>380</v>
      </c>
      <c r="BD183" s="439">
        <v>11</v>
      </c>
      <c r="BE183" s="439" t="s">
        <v>190</v>
      </c>
      <c r="BF183" s="440">
        <v>46113</v>
      </c>
      <c r="BG183" s="439">
        <v>21392</v>
      </c>
      <c r="BH183" s="441">
        <v>4</v>
      </c>
      <c r="BI183" s="442">
        <v>4</v>
      </c>
      <c r="BJ183" s="443"/>
    </row>
    <row r="184" spans="1:62" s="459" customFormat="1" ht="12" customHeight="1">
      <c r="A184" s="413">
        <v>21393</v>
      </c>
      <c r="B184" s="414"/>
      <c r="C184" s="414"/>
      <c r="D184" s="414"/>
      <c r="E184" s="414"/>
      <c r="F184" s="414"/>
      <c r="G184" s="414"/>
      <c r="H184" s="415">
        <v>3537</v>
      </c>
      <c r="I184" s="416" t="s">
        <v>199</v>
      </c>
      <c r="J184" s="417">
        <v>46094</v>
      </c>
      <c r="K184" s="418">
        <v>46114</v>
      </c>
      <c r="L184" s="418"/>
      <c r="M184" s="419" t="s">
        <v>1058</v>
      </c>
      <c r="N184" s="417">
        <v>46113</v>
      </c>
      <c r="O184" s="420">
        <v>46107</v>
      </c>
      <c r="P184" s="422">
        <v>46114</v>
      </c>
      <c r="Q184" s="423"/>
      <c r="R184" s="424" t="s">
        <v>1058</v>
      </c>
      <c r="S184" s="424" t="s">
        <v>1058</v>
      </c>
      <c r="T184" s="455"/>
      <c r="U184" s="456"/>
      <c r="V184" s="424" t="s">
        <v>1058</v>
      </c>
      <c r="W184" s="456"/>
      <c r="X184" s="458"/>
      <c r="Y184" s="457"/>
      <c r="Z184" s="462" t="s">
        <v>1058</v>
      </c>
      <c r="AA184" s="421">
        <v>46111</v>
      </c>
      <c r="AB184" s="458"/>
      <c r="AC184" s="445" t="s">
        <v>1058</v>
      </c>
      <c r="AD184" s="461"/>
      <c r="AE184" s="458"/>
      <c r="AF184" s="457"/>
      <c r="AG184" s="445" t="s">
        <v>1058</v>
      </c>
      <c r="AH184" s="455"/>
      <c r="AI184" s="457"/>
      <c r="AJ184" s="457"/>
      <c r="AK184" s="445" t="s">
        <v>1058</v>
      </c>
      <c r="AL184" s="458"/>
      <c r="AM184" s="457"/>
      <c r="AN184" s="457"/>
      <c r="AO184" s="445" t="s">
        <v>1058</v>
      </c>
      <c r="AP184" s="458"/>
      <c r="AQ184" s="457"/>
      <c r="AR184" s="457"/>
      <c r="AS184" s="457"/>
      <c r="AT184" s="457"/>
      <c r="AU184" s="457"/>
      <c r="AV184" s="463" t="s">
        <v>1058</v>
      </c>
      <c r="AW184" s="433" t="s">
        <v>1058</v>
      </c>
      <c r="AX184" s="456"/>
      <c r="AY184" s="434" t="s">
        <v>1058</v>
      </c>
      <c r="AZ184" s="435" t="s">
        <v>381</v>
      </c>
      <c r="BA184" s="436" t="s">
        <v>151</v>
      </c>
      <c r="BB184" s="437" t="s">
        <v>382</v>
      </c>
      <c r="BC184" s="438" t="s">
        <v>383</v>
      </c>
      <c r="BD184" s="439">
        <v>11</v>
      </c>
      <c r="BE184" s="439" t="s">
        <v>199</v>
      </c>
      <c r="BF184" s="440">
        <v>46114</v>
      </c>
      <c r="BG184" s="439">
        <v>21393</v>
      </c>
      <c r="BH184" s="441">
        <v>4</v>
      </c>
      <c r="BI184" s="442">
        <v>4</v>
      </c>
      <c r="BJ184" s="443"/>
    </row>
    <row r="185" spans="1:62" s="459" customFormat="1" ht="12" customHeight="1">
      <c r="A185" s="413">
        <v>21394</v>
      </c>
      <c r="B185" s="414"/>
      <c r="C185" s="414"/>
      <c r="D185" s="414"/>
      <c r="E185" s="414"/>
      <c r="F185" s="414"/>
      <c r="G185" s="414"/>
      <c r="H185" s="415">
        <v>3538</v>
      </c>
      <c r="I185" s="416" t="s">
        <v>199</v>
      </c>
      <c r="J185" s="417">
        <v>46097</v>
      </c>
      <c r="K185" s="418">
        <v>46115</v>
      </c>
      <c r="L185" s="418"/>
      <c r="M185" s="419" t="s">
        <v>1058</v>
      </c>
      <c r="N185" s="417">
        <v>46114</v>
      </c>
      <c r="O185" s="420">
        <v>46108</v>
      </c>
      <c r="P185" s="422">
        <v>46115</v>
      </c>
      <c r="Q185" s="423"/>
      <c r="R185" s="424" t="s">
        <v>1058</v>
      </c>
      <c r="S185" s="424" t="s">
        <v>1058</v>
      </c>
      <c r="T185" s="455"/>
      <c r="U185" s="456"/>
      <c r="V185" s="424" t="s">
        <v>1058</v>
      </c>
      <c r="W185" s="456"/>
      <c r="X185" s="458"/>
      <c r="Y185" s="457"/>
      <c r="Z185" s="462" t="s">
        <v>1058</v>
      </c>
      <c r="AA185" s="421">
        <v>46112</v>
      </c>
      <c r="AB185" s="458"/>
      <c r="AC185" s="445" t="s">
        <v>1058</v>
      </c>
      <c r="AD185" s="461"/>
      <c r="AE185" s="458"/>
      <c r="AF185" s="457"/>
      <c r="AG185" s="445" t="s">
        <v>1058</v>
      </c>
      <c r="AH185" s="455"/>
      <c r="AI185" s="457"/>
      <c r="AJ185" s="457"/>
      <c r="AK185" s="445" t="s">
        <v>1058</v>
      </c>
      <c r="AL185" s="458"/>
      <c r="AM185" s="457"/>
      <c r="AN185" s="457"/>
      <c r="AO185" s="445" t="s">
        <v>1058</v>
      </c>
      <c r="AP185" s="458"/>
      <c r="AQ185" s="457"/>
      <c r="AR185" s="457"/>
      <c r="AS185" s="457"/>
      <c r="AT185" s="457"/>
      <c r="AU185" s="457"/>
      <c r="AV185" s="463" t="s">
        <v>1058</v>
      </c>
      <c r="AW185" s="433" t="s">
        <v>1058</v>
      </c>
      <c r="AX185" s="456"/>
      <c r="AY185" s="434" t="s">
        <v>1058</v>
      </c>
      <c r="AZ185" s="435" t="s">
        <v>384</v>
      </c>
      <c r="BA185" s="436" t="s">
        <v>151</v>
      </c>
      <c r="BB185" s="437" t="s">
        <v>385</v>
      </c>
      <c r="BC185" s="438" t="s">
        <v>148</v>
      </c>
      <c r="BD185" s="439">
        <v>11</v>
      </c>
      <c r="BE185" s="439" t="s">
        <v>199</v>
      </c>
      <c r="BF185" s="440">
        <v>46115</v>
      </c>
      <c r="BG185" s="439">
        <v>21394</v>
      </c>
      <c r="BH185" s="441">
        <v>4</v>
      </c>
      <c r="BI185" s="442">
        <v>4</v>
      </c>
      <c r="BJ185" s="443"/>
    </row>
    <row r="186" spans="1:62" s="459" customFormat="1" ht="12" customHeight="1">
      <c r="A186" s="413">
        <v>21395</v>
      </c>
      <c r="B186" s="414"/>
      <c r="C186" s="414"/>
      <c r="D186" s="414"/>
      <c r="E186" s="414"/>
      <c r="F186" s="414"/>
      <c r="G186" s="414"/>
      <c r="H186" s="415">
        <v>3539</v>
      </c>
      <c r="I186" s="416" t="s">
        <v>199</v>
      </c>
      <c r="J186" s="417">
        <v>46098</v>
      </c>
      <c r="K186" s="418">
        <v>46118</v>
      </c>
      <c r="L186" s="418"/>
      <c r="M186" s="419" t="s">
        <v>1058</v>
      </c>
      <c r="N186" s="417">
        <v>46115</v>
      </c>
      <c r="O186" s="420">
        <v>46111</v>
      </c>
      <c r="P186" s="422">
        <v>46118</v>
      </c>
      <c r="Q186" s="423"/>
      <c r="R186" s="424" t="s">
        <v>1058</v>
      </c>
      <c r="S186" s="424" t="s">
        <v>1058</v>
      </c>
      <c r="T186" s="455"/>
      <c r="U186" s="456"/>
      <c r="V186" s="424" t="s">
        <v>1058</v>
      </c>
      <c r="W186" s="456"/>
      <c r="X186" s="458"/>
      <c r="Y186" s="457"/>
      <c r="Z186" s="462" t="s">
        <v>1058</v>
      </c>
      <c r="AA186" s="421">
        <v>46113</v>
      </c>
      <c r="AB186" s="458"/>
      <c r="AC186" s="445" t="s">
        <v>1058</v>
      </c>
      <c r="AD186" s="461"/>
      <c r="AE186" s="458"/>
      <c r="AF186" s="457"/>
      <c r="AG186" s="445" t="s">
        <v>1058</v>
      </c>
      <c r="AH186" s="455"/>
      <c r="AI186" s="457"/>
      <c r="AJ186" s="457"/>
      <c r="AK186" s="445" t="s">
        <v>1058</v>
      </c>
      <c r="AL186" s="458"/>
      <c r="AM186" s="457"/>
      <c r="AN186" s="457"/>
      <c r="AO186" s="445" t="s">
        <v>1058</v>
      </c>
      <c r="AP186" s="458"/>
      <c r="AQ186" s="457"/>
      <c r="AR186" s="457"/>
      <c r="AS186" s="457"/>
      <c r="AT186" s="457"/>
      <c r="AU186" s="457"/>
      <c r="AV186" s="463" t="s">
        <v>1058</v>
      </c>
      <c r="AW186" s="433" t="s">
        <v>1058</v>
      </c>
      <c r="AX186" s="456"/>
      <c r="AY186" s="434" t="s">
        <v>1058</v>
      </c>
      <c r="AZ186" s="435" t="s">
        <v>386</v>
      </c>
      <c r="BA186" s="436" t="s">
        <v>151</v>
      </c>
      <c r="BB186" s="437" t="s">
        <v>385</v>
      </c>
      <c r="BC186" s="438" t="s">
        <v>387</v>
      </c>
      <c r="BD186" s="439">
        <v>11</v>
      </c>
      <c r="BE186" s="439" t="s">
        <v>199</v>
      </c>
      <c r="BF186" s="440">
        <v>46118</v>
      </c>
      <c r="BG186" s="439">
        <v>21395</v>
      </c>
      <c r="BH186" s="441">
        <v>4</v>
      </c>
      <c r="BI186" s="442">
        <v>4</v>
      </c>
      <c r="BJ186" s="443"/>
    </row>
    <row r="187" spans="1:62" s="459" customFormat="1" ht="12" customHeight="1">
      <c r="A187" s="413">
        <v>21396</v>
      </c>
      <c r="B187" s="414"/>
      <c r="C187" s="414"/>
      <c r="D187" s="414"/>
      <c r="E187" s="414"/>
      <c r="F187" s="414"/>
      <c r="G187" s="414"/>
      <c r="H187" s="415">
        <v>3540</v>
      </c>
      <c r="I187" s="416" t="s">
        <v>199</v>
      </c>
      <c r="J187" s="417">
        <v>46112</v>
      </c>
      <c r="K187" s="418">
        <v>46127</v>
      </c>
      <c r="L187" s="418"/>
      <c r="M187" s="419" t="s">
        <v>1058</v>
      </c>
      <c r="N187" s="417">
        <v>46121</v>
      </c>
      <c r="O187" s="420">
        <v>46115</v>
      </c>
      <c r="P187" s="422">
        <v>46127</v>
      </c>
      <c r="Q187" s="423"/>
      <c r="R187" s="424" t="s">
        <v>1058</v>
      </c>
      <c r="S187" s="424" t="s">
        <v>1058</v>
      </c>
      <c r="T187" s="455"/>
      <c r="U187" s="456"/>
      <c r="V187" s="424" t="s">
        <v>1058</v>
      </c>
      <c r="W187" s="456"/>
      <c r="X187" s="458"/>
      <c r="Y187" s="457"/>
      <c r="Z187" s="462" t="s">
        <v>1058</v>
      </c>
      <c r="AA187" s="421">
        <v>46122</v>
      </c>
      <c r="AB187" s="458"/>
      <c r="AC187" s="445" t="s">
        <v>1058</v>
      </c>
      <c r="AD187" s="461"/>
      <c r="AE187" s="458"/>
      <c r="AF187" s="457"/>
      <c r="AG187" s="445" t="s">
        <v>1058</v>
      </c>
      <c r="AH187" s="455"/>
      <c r="AI187" s="457"/>
      <c r="AJ187" s="457"/>
      <c r="AK187" s="445" t="s">
        <v>1058</v>
      </c>
      <c r="AL187" s="458"/>
      <c r="AM187" s="457"/>
      <c r="AN187" s="457"/>
      <c r="AO187" s="445" t="s">
        <v>1058</v>
      </c>
      <c r="AP187" s="458"/>
      <c r="AQ187" s="457"/>
      <c r="AR187" s="457"/>
      <c r="AS187" s="457"/>
      <c r="AT187" s="457"/>
      <c r="AU187" s="457"/>
      <c r="AV187" s="463" t="s">
        <v>1058</v>
      </c>
      <c r="AW187" s="433" t="s">
        <v>1058</v>
      </c>
      <c r="AX187" s="456"/>
      <c r="AY187" s="434" t="s">
        <v>1058</v>
      </c>
      <c r="AZ187" s="435" t="s">
        <v>388</v>
      </c>
      <c r="BA187" s="436" t="s">
        <v>151</v>
      </c>
      <c r="BB187" s="437" t="s">
        <v>389</v>
      </c>
      <c r="BC187" s="438" t="s">
        <v>148</v>
      </c>
      <c r="BD187" s="439">
        <v>11</v>
      </c>
      <c r="BE187" s="439" t="s">
        <v>199</v>
      </c>
      <c r="BF187" s="440">
        <v>46127</v>
      </c>
      <c r="BG187" s="439">
        <v>21396</v>
      </c>
      <c r="BH187" s="441">
        <v>4</v>
      </c>
      <c r="BI187" s="442">
        <v>4</v>
      </c>
      <c r="BJ187" s="443"/>
    </row>
    <row r="188" spans="1:62" s="459" customFormat="1" ht="12" customHeight="1">
      <c r="A188" s="413">
        <v>21397</v>
      </c>
      <c r="B188" s="414"/>
      <c r="C188" s="414"/>
      <c r="D188" s="414"/>
      <c r="E188" s="414"/>
      <c r="F188" s="415">
        <v>1262</v>
      </c>
      <c r="G188" s="414"/>
      <c r="H188" s="414"/>
      <c r="I188" s="416" t="s">
        <v>285</v>
      </c>
      <c r="J188" s="417">
        <v>46118</v>
      </c>
      <c r="K188" s="418">
        <v>46128</v>
      </c>
      <c r="L188" s="418"/>
      <c r="M188" s="419" t="s">
        <v>1058</v>
      </c>
      <c r="N188" s="417">
        <v>46122</v>
      </c>
      <c r="O188" s="420">
        <v>46118</v>
      </c>
      <c r="P188" s="422">
        <v>46128</v>
      </c>
      <c r="Q188" s="423"/>
      <c r="R188" s="424" t="s">
        <v>1058</v>
      </c>
      <c r="S188" s="424" t="s">
        <v>1058</v>
      </c>
      <c r="T188" s="455"/>
      <c r="U188" s="456"/>
      <c r="V188" s="424" t="s">
        <v>1058</v>
      </c>
      <c r="W188" s="456"/>
      <c r="X188" s="458"/>
      <c r="Y188" s="454" t="s">
        <v>1058</v>
      </c>
      <c r="Z188" s="456"/>
      <c r="AA188" s="421">
        <v>46125</v>
      </c>
      <c r="AB188" s="458"/>
      <c r="AC188" s="445" t="s">
        <v>1058</v>
      </c>
      <c r="AD188" s="461"/>
      <c r="AE188" s="430" t="s">
        <v>1058</v>
      </c>
      <c r="AF188" s="457"/>
      <c r="AG188" s="456"/>
      <c r="AH188" s="431" t="s">
        <v>1058</v>
      </c>
      <c r="AI188" s="457"/>
      <c r="AJ188" s="457"/>
      <c r="AK188" s="456"/>
      <c r="AL188" s="430" t="s">
        <v>1058</v>
      </c>
      <c r="AM188" s="457"/>
      <c r="AN188" s="457"/>
      <c r="AO188" s="456"/>
      <c r="AP188" s="458"/>
      <c r="AQ188" s="457"/>
      <c r="AR188" s="457"/>
      <c r="AS188" s="457"/>
      <c r="AT188" s="432" t="s">
        <v>1058</v>
      </c>
      <c r="AU188" s="457"/>
      <c r="AV188" s="456"/>
      <c r="AW188" s="433" t="s">
        <v>1058</v>
      </c>
      <c r="AX188" s="456"/>
      <c r="AY188" s="434" t="s">
        <v>1058</v>
      </c>
      <c r="AZ188" s="435" t="s">
        <v>390</v>
      </c>
      <c r="BA188" s="436" t="s">
        <v>279</v>
      </c>
      <c r="BB188" s="437" t="s">
        <v>391</v>
      </c>
      <c r="BC188" s="438" t="s">
        <v>215</v>
      </c>
      <c r="BD188" s="439">
        <v>11</v>
      </c>
      <c r="BE188" s="439" t="s">
        <v>285</v>
      </c>
      <c r="BF188" s="440">
        <v>46128</v>
      </c>
      <c r="BG188" s="439">
        <v>21397</v>
      </c>
      <c r="BH188" s="441">
        <v>4</v>
      </c>
      <c r="BI188" s="442">
        <v>4</v>
      </c>
      <c r="BJ188" s="443"/>
    </row>
    <row r="189" spans="1:62" s="459" customFormat="1" ht="12" customHeight="1">
      <c r="A189" s="413">
        <v>21398</v>
      </c>
      <c r="B189" s="414"/>
      <c r="C189" s="414"/>
      <c r="D189" s="414"/>
      <c r="E189" s="414"/>
      <c r="F189" s="415">
        <v>1263</v>
      </c>
      <c r="G189" s="414"/>
      <c r="H189" s="414"/>
      <c r="I189" s="416" t="s">
        <v>285</v>
      </c>
      <c r="J189" s="417">
        <v>46118</v>
      </c>
      <c r="K189" s="418">
        <v>46128</v>
      </c>
      <c r="L189" s="418"/>
      <c r="M189" s="419" t="s">
        <v>1058</v>
      </c>
      <c r="N189" s="417">
        <v>46125</v>
      </c>
      <c r="O189" s="420">
        <v>46119</v>
      </c>
      <c r="P189" s="422">
        <v>46128</v>
      </c>
      <c r="Q189" s="423"/>
      <c r="R189" s="424" t="s">
        <v>1058</v>
      </c>
      <c r="S189" s="424" t="s">
        <v>1058</v>
      </c>
      <c r="T189" s="455"/>
      <c r="U189" s="456"/>
      <c r="V189" s="424" t="s">
        <v>1058</v>
      </c>
      <c r="W189" s="456"/>
      <c r="X189" s="458"/>
      <c r="Y189" s="454" t="s">
        <v>1058</v>
      </c>
      <c r="Z189" s="456"/>
      <c r="AA189" s="421">
        <v>46125</v>
      </c>
      <c r="AB189" s="458"/>
      <c r="AC189" s="445" t="s">
        <v>1058</v>
      </c>
      <c r="AD189" s="461"/>
      <c r="AE189" s="430" t="s">
        <v>1058</v>
      </c>
      <c r="AF189" s="457"/>
      <c r="AG189" s="456"/>
      <c r="AH189" s="431" t="s">
        <v>1058</v>
      </c>
      <c r="AI189" s="457"/>
      <c r="AJ189" s="457"/>
      <c r="AK189" s="456"/>
      <c r="AL189" s="430" t="s">
        <v>1058</v>
      </c>
      <c r="AM189" s="457"/>
      <c r="AN189" s="457"/>
      <c r="AO189" s="456"/>
      <c r="AP189" s="458"/>
      <c r="AQ189" s="457"/>
      <c r="AR189" s="457"/>
      <c r="AS189" s="457"/>
      <c r="AT189" s="432" t="s">
        <v>1058</v>
      </c>
      <c r="AU189" s="457"/>
      <c r="AV189" s="456"/>
      <c r="AW189" s="433" t="s">
        <v>1058</v>
      </c>
      <c r="AX189" s="456"/>
      <c r="AY189" s="434" t="s">
        <v>1058</v>
      </c>
      <c r="AZ189" s="435" t="s">
        <v>392</v>
      </c>
      <c r="BA189" s="436" t="s">
        <v>279</v>
      </c>
      <c r="BB189" s="437" t="s">
        <v>391</v>
      </c>
      <c r="BC189" s="438" t="s">
        <v>373</v>
      </c>
      <c r="BD189" s="439">
        <v>11</v>
      </c>
      <c r="BE189" s="439" t="s">
        <v>285</v>
      </c>
      <c r="BF189" s="440">
        <v>46128</v>
      </c>
      <c r="BG189" s="439">
        <v>21398</v>
      </c>
      <c r="BH189" s="441">
        <v>4</v>
      </c>
      <c r="BI189" s="442">
        <v>4</v>
      </c>
      <c r="BJ189" s="443"/>
    </row>
    <row r="190" spans="1:62" s="459" customFormat="1" ht="12" customHeight="1">
      <c r="A190" s="413">
        <v>21399</v>
      </c>
      <c r="B190" s="414"/>
      <c r="C190" s="414"/>
      <c r="D190" s="414"/>
      <c r="E190" s="414"/>
      <c r="F190" s="415">
        <v>1264</v>
      </c>
      <c r="G190" s="414"/>
      <c r="H190" s="414"/>
      <c r="I190" s="416" t="s">
        <v>285</v>
      </c>
      <c r="J190" s="417">
        <v>46118</v>
      </c>
      <c r="K190" s="418">
        <v>46128</v>
      </c>
      <c r="L190" s="418"/>
      <c r="M190" s="419" t="s">
        <v>1058</v>
      </c>
      <c r="N190" s="417">
        <v>46126</v>
      </c>
      <c r="O190" s="420">
        <v>46120</v>
      </c>
      <c r="P190" s="422">
        <v>46128</v>
      </c>
      <c r="Q190" s="423"/>
      <c r="R190" s="424" t="s">
        <v>1058</v>
      </c>
      <c r="S190" s="424" t="s">
        <v>1058</v>
      </c>
      <c r="T190" s="455"/>
      <c r="U190" s="456"/>
      <c r="V190" s="424" t="s">
        <v>1058</v>
      </c>
      <c r="W190" s="456"/>
      <c r="X190" s="458"/>
      <c r="Y190" s="454" t="s">
        <v>1058</v>
      </c>
      <c r="Z190" s="456"/>
      <c r="AA190" s="421">
        <v>46125</v>
      </c>
      <c r="AB190" s="458"/>
      <c r="AC190" s="445" t="s">
        <v>1058</v>
      </c>
      <c r="AD190" s="461"/>
      <c r="AE190" s="430" t="s">
        <v>1058</v>
      </c>
      <c r="AF190" s="457"/>
      <c r="AG190" s="456"/>
      <c r="AH190" s="431" t="s">
        <v>1058</v>
      </c>
      <c r="AI190" s="457"/>
      <c r="AJ190" s="457"/>
      <c r="AK190" s="456"/>
      <c r="AL190" s="430" t="s">
        <v>1058</v>
      </c>
      <c r="AM190" s="457"/>
      <c r="AN190" s="457"/>
      <c r="AO190" s="456"/>
      <c r="AP190" s="458"/>
      <c r="AQ190" s="457"/>
      <c r="AR190" s="457"/>
      <c r="AS190" s="457"/>
      <c r="AT190" s="432" t="s">
        <v>1058</v>
      </c>
      <c r="AU190" s="457"/>
      <c r="AV190" s="456"/>
      <c r="AW190" s="433" t="s">
        <v>1058</v>
      </c>
      <c r="AX190" s="456"/>
      <c r="AY190" s="434" t="s">
        <v>1058</v>
      </c>
      <c r="AZ190" s="435" t="s">
        <v>395</v>
      </c>
      <c r="BA190" s="436" t="s">
        <v>279</v>
      </c>
      <c r="BB190" s="437" t="s">
        <v>396</v>
      </c>
      <c r="BC190" s="438"/>
      <c r="BD190" s="439">
        <v>11</v>
      </c>
      <c r="BE190" s="439" t="s">
        <v>285</v>
      </c>
      <c r="BF190" s="440">
        <v>46128</v>
      </c>
      <c r="BG190" s="439">
        <v>21399</v>
      </c>
      <c r="BH190" s="441">
        <v>4</v>
      </c>
      <c r="BI190" s="442">
        <v>4</v>
      </c>
      <c r="BJ190" s="443"/>
    </row>
    <row r="191" spans="1:62" s="459" customFormat="1" ht="12" customHeight="1">
      <c r="A191" s="413">
        <v>21400</v>
      </c>
      <c r="B191" s="414"/>
      <c r="C191" s="414"/>
      <c r="D191" s="414"/>
      <c r="E191" s="414"/>
      <c r="F191" s="415">
        <v>1265</v>
      </c>
      <c r="G191" s="414"/>
      <c r="H191" s="414"/>
      <c r="I191" s="416" t="s">
        <v>285</v>
      </c>
      <c r="J191" s="417">
        <v>46118</v>
      </c>
      <c r="K191" s="418">
        <v>46128</v>
      </c>
      <c r="L191" s="418"/>
      <c r="M191" s="419" t="s">
        <v>1058</v>
      </c>
      <c r="N191" s="417">
        <v>46127</v>
      </c>
      <c r="O191" s="420">
        <v>46121</v>
      </c>
      <c r="P191" s="422">
        <v>46128</v>
      </c>
      <c r="Q191" s="423"/>
      <c r="R191" s="424" t="s">
        <v>1058</v>
      </c>
      <c r="S191" s="424" t="s">
        <v>1058</v>
      </c>
      <c r="T191" s="455"/>
      <c r="U191" s="456"/>
      <c r="V191" s="424" t="s">
        <v>1058</v>
      </c>
      <c r="W191" s="456"/>
      <c r="X191" s="458"/>
      <c r="Y191" s="454" t="s">
        <v>1058</v>
      </c>
      <c r="Z191" s="456"/>
      <c r="AA191" s="421">
        <v>46125</v>
      </c>
      <c r="AB191" s="458"/>
      <c r="AC191" s="445" t="s">
        <v>1058</v>
      </c>
      <c r="AD191" s="461"/>
      <c r="AE191" s="430" t="s">
        <v>1058</v>
      </c>
      <c r="AF191" s="457"/>
      <c r="AG191" s="456"/>
      <c r="AH191" s="431" t="s">
        <v>1058</v>
      </c>
      <c r="AI191" s="457"/>
      <c r="AJ191" s="457"/>
      <c r="AK191" s="456"/>
      <c r="AL191" s="430" t="s">
        <v>1058</v>
      </c>
      <c r="AM191" s="457"/>
      <c r="AN191" s="457"/>
      <c r="AO191" s="456"/>
      <c r="AP191" s="458"/>
      <c r="AQ191" s="457"/>
      <c r="AR191" s="457"/>
      <c r="AS191" s="457"/>
      <c r="AT191" s="432" t="s">
        <v>1058</v>
      </c>
      <c r="AU191" s="457"/>
      <c r="AV191" s="456"/>
      <c r="AW191" s="433" t="s">
        <v>1058</v>
      </c>
      <c r="AX191" s="456"/>
      <c r="AY191" s="434" t="s">
        <v>1058</v>
      </c>
      <c r="AZ191" s="435" t="s">
        <v>393</v>
      </c>
      <c r="BA191" s="436" t="s">
        <v>279</v>
      </c>
      <c r="BB191" s="437" t="s">
        <v>394</v>
      </c>
      <c r="BC191" s="438"/>
      <c r="BD191" s="439">
        <v>11</v>
      </c>
      <c r="BE191" s="439" t="s">
        <v>285</v>
      </c>
      <c r="BF191" s="440">
        <v>46128</v>
      </c>
      <c r="BG191" s="439">
        <v>21400</v>
      </c>
      <c r="BH191" s="441">
        <v>4</v>
      </c>
      <c r="BI191" s="442">
        <v>4</v>
      </c>
      <c r="BJ191" s="443"/>
    </row>
    <row r="192" spans="1:62" s="459" customFormat="1" ht="12" customHeight="1">
      <c r="A192" s="413">
        <v>21401</v>
      </c>
      <c r="B192" s="414"/>
      <c r="C192" s="414"/>
      <c r="D192" s="414"/>
      <c r="E192" s="414"/>
      <c r="F192" s="414"/>
      <c r="G192" s="414"/>
      <c r="H192" s="415">
        <v>3541</v>
      </c>
      <c r="I192" s="416" t="s">
        <v>199</v>
      </c>
      <c r="J192" s="417">
        <v>46115</v>
      </c>
      <c r="K192" s="418">
        <v>46132</v>
      </c>
      <c r="L192" s="418"/>
      <c r="M192" s="419" t="s">
        <v>1058</v>
      </c>
      <c r="N192" s="417">
        <v>46128</v>
      </c>
      <c r="O192" s="420">
        <v>46122</v>
      </c>
      <c r="P192" s="422">
        <v>46132</v>
      </c>
      <c r="Q192" s="423"/>
      <c r="R192" s="424" t="s">
        <v>1058</v>
      </c>
      <c r="S192" s="424" t="s">
        <v>1058</v>
      </c>
      <c r="T192" s="455"/>
      <c r="U192" s="456"/>
      <c r="V192" s="424" t="s">
        <v>1058</v>
      </c>
      <c r="W192" s="456"/>
      <c r="X192" s="458"/>
      <c r="Y192" s="457"/>
      <c r="Z192" s="462" t="s">
        <v>1058</v>
      </c>
      <c r="AA192" s="421">
        <v>46127</v>
      </c>
      <c r="AB192" s="458"/>
      <c r="AC192" s="445" t="s">
        <v>1058</v>
      </c>
      <c r="AD192" s="461"/>
      <c r="AE192" s="458"/>
      <c r="AF192" s="457"/>
      <c r="AG192" s="445" t="s">
        <v>1058</v>
      </c>
      <c r="AH192" s="455"/>
      <c r="AI192" s="457"/>
      <c r="AJ192" s="457"/>
      <c r="AK192" s="445" t="s">
        <v>1058</v>
      </c>
      <c r="AL192" s="458"/>
      <c r="AM192" s="457"/>
      <c r="AN192" s="457"/>
      <c r="AO192" s="445" t="s">
        <v>1058</v>
      </c>
      <c r="AP192" s="458"/>
      <c r="AQ192" s="457"/>
      <c r="AR192" s="457"/>
      <c r="AS192" s="457"/>
      <c r="AT192" s="457"/>
      <c r="AU192" s="457"/>
      <c r="AV192" s="463" t="s">
        <v>1058</v>
      </c>
      <c r="AW192" s="433" t="s">
        <v>1058</v>
      </c>
      <c r="AX192" s="456"/>
      <c r="AY192" s="434" t="s">
        <v>1058</v>
      </c>
      <c r="AZ192" s="435" t="s">
        <v>397</v>
      </c>
      <c r="BA192" s="436" t="s">
        <v>151</v>
      </c>
      <c r="BB192" s="437" t="s">
        <v>389</v>
      </c>
      <c r="BC192" s="438" t="s">
        <v>387</v>
      </c>
      <c r="BD192" s="439">
        <v>11</v>
      </c>
      <c r="BE192" s="439" t="s">
        <v>199</v>
      </c>
      <c r="BF192" s="440">
        <v>46132</v>
      </c>
      <c r="BG192" s="439">
        <v>21401</v>
      </c>
      <c r="BH192" s="441">
        <v>4</v>
      </c>
      <c r="BI192" s="442">
        <v>4</v>
      </c>
      <c r="BJ192" s="443"/>
    </row>
    <row r="193" spans="1:62" s="459" customFormat="1" ht="12" customHeight="1">
      <c r="A193" s="413">
        <v>21402</v>
      </c>
      <c r="B193" s="414"/>
      <c r="C193" s="414"/>
      <c r="D193" s="414"/>
      <c r="E193" s="414"/>
      <c r="F193" s="415">
        <v>1266</v>
      </c>
      <c r="G193" s="414"/>
      <c r="H193" s="414"/>
      <c r="I193" s="416" t="s">
        <v>285</v>
      </c>
      <c r="J193" s="417">
        <v>46118</v>
      </c>
      <c r="K193" s="418">
        <v>46133</v>
      </c>
      <c r="L193" s="418"/>
      <c r="M193" s="419" t="s">
        <v>1058</v>
      </c>
      <c r="N193" s="417">
        <v>46129</v>
      </c>
      <c r="O193" s="420">
        <v>46125</v>
      </c>
      <c r="P193" s="422">
        <v>46133</v>
      </c>
      <c r="Q193" s="423"/>
      <c r="R193" s="424" t="s">
        <v>1058</v>
      </c>
      <c r="S193" s="424" t="s">
        <v>1058</v>
      </c>
      <c r="T193" s="455"/>
      <c r="U193" s="456"/>
      <c r="V193" s="424" t="s">
        <v>1058</v>
      </c>
      <c r="W193" s="456"/>
      <c r="X193" s="458"/>
      <c r="Y193" s="454" t="s">
        <v>1058</v>
      </c>
      <c r="Z193" s="456"/>
      <c r="AA193" s="421">
        <v>46128</v>
      </c>
      <c r="AB193" s="458"/>
      <c r="AC193" s="445" t="s">
        <v>1058</v>
      </c>
      <c r="AD193" s="461"/>
      <c r="AE193" s="430" t="s">
        <v>1058</v>
      </c>
      <c r="AF193" s="457"/>
      <c r="AG193" s="456"/>
      <c r="AH193" s="431" t="s">
        <v>1058</v>
      </c>
      <c r="AI193" s="457"/>
      <c r="AJ193" s="457"/>
      <c r="AK193" s="456"/>
      <c r="AL193" s="430" t="s">
        <v>1058</v>
      </c>
      <c r="AM193" s="457"/>
      <c r="AN193" s="457"/>
      <c r="AO193" s="456"/>
      <c r="AP193" s="458"/>
      <c r="AQ193" s="457"/>
      <c r="AR193" s="457"/>
      <c r="AS193" s="457"/>
      <c r="AT193" s="432" t="s">
        <v>1058</v>
      </c>
      <c r="AU193" s="457"/>
      <c r="AV193" s="456"/>
      <c r="AW193" s="433" t="s">
        <v>1058</v>
      </c>
      <c r="AX193" s="456"/>
      <c r="AY193" s="434" t="s">
        <v>1058</v>
      </c>
      <c r="AZ193" s="435" t="s">
        <v>402</v>
      </c>
      <c r="BA193" s="436" t="s">
        <v>279</v>
      </c>
      <c r="BB193" s="437" t="s">
        <v>399</v>
      </c>
      <c r="BC193" s="438"/>
      <c r="BD193" s="439">
        <v>11</v>
      </c>
      <c r="BE193" s="439" t="s">
        <v>285</v>
      </c>
      <c r="BF193" s="440">
        <v>46133</v>
      </c>
      <c r="BG193" s="439">
        <v>21402</v>
      </c>
      <c r="BH193" s="441">
        <v>4</v>
      </c>
      <c r="BI193" s="442">
        <v>4</v>
      </c>
      <c r="BJ193" s="443"/>
    </row>
    <row r="194" spans="1:62" s="459" customFormat="1" ht="12" customHeight="1">
      <c r="A194" s="413">
        <v>21403</v>
      </c>
      <c r="B194" s="414"/>
      <c r="C194" s="414"/>
      <c r="D194" s="414"/>
      <c r="E194" s="414"/>
      <c r="F194" s="415">
        <v>1267</v>
      </c>
      <c r="G194" s="414"/>
      <c r="H194" s="414"/>
      <c r="I194" s="416" t="s">
        <v>285</v>
      </c>
      <c r="J194" s="417">
        <v>46118</v>
      </c>
      <c r="K194" s="418">
        <v>46133</v>
      </c>
      <c r="L194" s="418"/>
      <c r="M194" s="419" t="s">
        <v>1058</v>
      </c>
      <c r="N194" s="417">
        <v>46132</v>
      </c>
      <c r="O194" s="420">
        <v>46126</v>
      </c>
      <c r="P194" s="422">
        <v>46133</v>
      </c>
      <c r="Q194" s="423"/>
      <c r="R194" s="424" t="s">
        <v>1058</v>
      </c>
      <c r="S194" s="424" t="s">
        <v>1058</v>
      </c>
      <c r="T194" s="455"/>
      <c r="U194" s="456"/>
      <c r="V194" s="424" t="s">
        <v>1058</v>
      </c>
      <c r="W194" s="456"/>
      <c r="X194" s="458"/>
      <c r="Y194" s="454" t="s">
        <v>1058</v>
      </c>
      <c r="Z194" s="456"/>
      <c r="AA194" s="421">
        <v>46128</v>
      </c>
      <c r="AB194" s="458"/>
      <c r="AC194" s="445" t="s">
        <v>1058</v>
      </c>
      <c r="AD194" s="461"/>
      <c r="AE194" s="430" t="s">
        <v>1058</v>
      </c>
      <c r="AF194" s="457"/>
      <c r="AG194" s="456"/>
      <c r="AH194" s="431" t="s">
        <v>1058</v>
      </c>
      <c r="AI194" s="457"/>
      <c r="AJ194" s="457"/>
      <c r="AK194" s="456"/>
      <c r="AL194" s="430" t="s">
        <v>1058</v>
      </c>
      <c r="AM194" s="457"/>
      <c r="AN194" s="457"/>
      <c r="AO194" s="456"/>
      <c r="AP194" s="458"/>
      <c r="AQ194" s="457"/>
      <c r="AR194" s="457"/>
      <c r="AS194" s="457"/>
      <c r="AT194" s="432" t="s">
        <v>1058</v>
      </c>
      <c r="AU194" s="457"/>
      <c r="AV194" s="456"/>
      <c r="AW194" s="433" t="s">
        <v>1058</v>
      </c>
      <c r="AX194" s="456"/>
      <c r="AY194" s="434" t="s">
        <v>1058</v>
      </c>
      <c r="AZ194" s="435" t="s">
        <v>398</v>
      </c>
      <c r="BA194" s="436" t="s">
        <v>279</v>
      </c>
      <c r="BB194" s="437" t="s">
        <v>399</v>
      </c>
      <c r="BC194" s="438"/>
      <c r="BD194" s="439">
        <v>11</v>
      </c>
      <c r="BE194" s="439" t="s">
        <v>285</v>
      </c>
      <c r="BF194" s="440">
        <v>46133</v>
      </c>
      <c r="BG194" s="439">
        <v>21403</v>
      </c>
      <c r="BH194" s="441">
        <v>4</v>
      </c>
      <c r="BI194" s="442">
        <v>4</v>
      </c>
      <c r="BJ194" s="443"/>
    </row>
    <row r="195" spans="1:62" s="459" customFormat="1" ht="12" customHeight="1">
      <c r="A195" s="413">
        <v>21404</v>
      </c>
      <c r="B195" s="414"/>
      <c r="C195" s="414"/>
      <c r="D195" s="414"/>
      <c r="E195" s="414"/>
      <c r="F195" s="415">
        <v>1268</v>
      </c>
      <c r="G195" s="414"/>
      <c r="H195" s="414"/>
      <c r="I195" s="416" t="s">
        <v>285</v>
      </c>
      <c r="J195" s="417">
        <v>46120</v>
      </c>
      <c r="K195" s="418">
        <v>46135</v>
      </c>
      <c r="L195" s="418"/>
      <c r="M195" s="419" t="s">
        <v>1058</v>
      </c>
      <c r="N195" s="417">
        <v>46134</v>
      </c>
      <c r="O195" s="420">
        <v>46128</v>
      </c>
      <c r="P195" s="422">
        <v>46135</v>
      </c>
      <c r="Q195" s="423"/>
      <c r="R195" s="424" t="s">
        <v>1058</v>
      </c>
      <c r="S195" s="424" t="s">
        <v>1058</v>
      </c>
      <c r="T195" s="455"/>
      <c r="U195" s="456"/>
      <c r="V195" s="424" t="s">
        <v>1058</v>
      </c>
      <c r="W195" s="456"/>
      <c r="X195" s="458"/>
      <c r="Y195" s="454" t="s">
        <v>1058</v>
      </c>
      <c r="Z195" s="456"/>
      <c r="AA195" s="421">
        <v>46132</v>
      </c>
      <c r="AB195" s="458"/>
      <c r="AC195" s="445" t="s">
        <v>1058</v>
      </c>
      <c r="AD195" s="461"/>
      <c r="AE195" s="430" t="s">
        <v>1058</v>
      </c>
      <c r="AF195" s="457"/>
      <c r="AG195" s="456"/>
      <c r="AH195" s="431" t="s">
        <v>1058</v>
      </c>
      <c r="AI195" s="457"/>
      <c r="AJ195" s="457"/>
      <c r="AK195" s="456"/>
      <c r="AL195" s="430" t="s">
        <v>1058</v>
      </c>
      <c r="AM195" s="457"/>
      <c r="AN195" s="457"/>
      <c r="AO195" s="456"/>
      <c r="AP195" s="458"/>
      <c r="AQ195" s="457"/>
      <c r="AR195" s="457"/>
      <c r="AS195" s="457"/>
      <c r="AT195" s="432" t="s">
        <v>1058</v>
      </c>
      <c r="AU195" s="457"/>
      <c r="AV195" s="456"/>
      <c r="AW195" s="433" t="s">
        <v>1058</v>
      </c>
      <c r="AX195" s="456"/>
      <c r="AY195" s="434" t="s">
        <v>1058</v>
      </c>
      <c r="AZ195" s="435" t="s">
        <v>403</v>
      </c>
      <c r="BA195" s="436" t="s">
        <v>279</v>
      </c>
      <c r="BB195" s="437" t="s">
        <v>404</v>
      </c>
      <c r="BC195" s="438"/>
      <c r="BD195" s="439">
        <v>11</v>
      </c>
      <c r="BE195" s="439" t="s">
        <v>285</v>
      </c>
      <c r="BF195" s="440">
        <v>46135</v>
      </c>
      <c r="BG195" s="439">
        <v>21404</v>
      </c>
      <c r="BH195" s="441">
        <v>4</v>
      </c>
      <c r="BI195" s="442">
        <v>4</v>
      </c>
      <c r="BJ195" s="443"/>
    </row>
  </sheetData>
  <phoneticPr fontId="6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60"/>
  <sheetViews>
    <sheetView topLeftCell="A25" workbookViewId="0">
      <selection activeCell="C40" sqref="C40:J59"/>
    </sheetView>
  </sheetViews>
  <sheetFormatPr defaultRowHeight="13.5"/>
  <cols>
    <col min="1" max="1" width="9" style="464"/>
    <col min="2" max="2" width="8.375" style="464" bestFit="1" customWidth="1"/>
    <col min="3" max="3" width="13.125" bestFit="1" customWidth="1"/>
    <col min="4" max="4" width="13" bestFit="1" customWidth="1"/>
    <col min="5" max="5" width="13.375" bestFit="1" customWidth="1"/>
    <col min="6" max="7" width="13" bestFit="1" customWidth="1"/>
    <col min="8" max="10" width="13.375" bestFit="1" customWidth="1"/>
  </cols>
  <sheetData>
    <row r="3" spans="1:10">
      <c r="B3" s="464" t="s">
        <v>822</v>
      </c>
      <c r="C3" t="s">
        <v>1358</v>
      </c>
      <c r="D3" t="s">
        <v>1359</v>
      </c>
      <c r="E3" t="s">
        <v>1360</v>
      </c>
      <c r="F3" t="s">
        <v>1361</v>
      </c>
      <c r="G3" t="s">
        <v>1362</v>
      </c>
      <c r="H3" t="s">
        <v>1363</v>
      </c>
      <c r="I3" t="s">
        <v>1364</v>
      </c>
      <c r="J3" t="s">
        <v>1365</v>
      </c>
    </row>
    <row r="4" spans="1:10">
      <c r="A4" s="464">
        <v>46031</v>
      </c>
      <c r="B4" s="464">
        <v>46038</v>
      </c>
      <c r="C4">
        <v>2</v>
      </c>
      <c r="D4">
        <v>2</v>
      </c>
      <c r="E4">
        <v>2</v>
      </c>
      <c r="F4">
        <v>2</v>
      </c>
      <c r="G4">
        <v>2</v>
      </c>
      <c r="H4">
        <v>5</v>
      </c>
      <c r="I4">
        <v>2</v>
      </c>
      <c r="J4">
        <v>2</v>
      </c>
    </row>
    <row r="5" spans="1:10">
      <c r="B5" s="464">
        <v>46039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</row>
    <row r="6" spans="1:10">
      <c r="B6" s="464">
        <v>46041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</row>
    <row r="7" spans="1:10">
      <c r="B7" s="464">
        <v>46042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</row>
    <row r="8" spans="1:10">
      <c r="B8" s="464">
        <v>46043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</row>
    <row r="9" spans="1:10">
      <c r="B9" s="464">
        <v>46044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</row>
    <row r="10" spans="1:10">
      <c r="B10" s="464">
        <v>46045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</row>
    <row r="11" spans="1:10" ht="14.25" thickBot="1">
      <c r="A11" s="466"/>
      <c r="B11" s="466">
        <v>46048</v>
      </c>
      <c r="C11" s="33">
        <v>3</v>
      </c>
      <c r="D11" s="33">
        <v>3</v>
      </c>
      <c r="E11" s="33">
        <v>3</v>
      </c>
      <c r="F11" s="33">
        <v>3</v>
      </c>
      <c r="G11" s="33">
        <v>3</v>
      </c>
      <c r="H11" s="33">
        <v>3</v>
      </c>
      <c r="I11" s="33">
        <v>3</v>
      </c>
      <c r="J11" s="33">
        <v>3</v>
      </c>
    </row>
    <row r="12" spans="1:10" ht="14.25" thickTop="1">
      <c r="A12" s="464">
        <v>46042</v>
      </c>
      <c r="B12" s="464">
        <v>46049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</row>
    <row r="13" spans="1:10">
      <c r="B13" s="464">
        <v>46050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</row>
    <row r="14" spans="1:10">
      <c r="B14" s="464">
        <v>46051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</row>
    <row r="15" spans="1:10">
      <c r="B15" s="464">
        <v>46052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</row>
    <row r="16" spans="1:10">
      <c r="B16" s="464">
        <v>46055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</row>
    <row r="17" spans="1:10">
      <c r="B17" s="464">
        <v>46056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</row>
    <row r="18" spans="1:10">
      <c r="B18" s="464">
        <v>46057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</row>
    <row r="19" spans="1:10">
      <c r="B19" s="464">
        <v>46058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B20" s="464">
        <v>46059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B21" s="464">
        <v>46062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B22" s="464">
        <v>46066</v>
      </c>
      <c r="I22">
        <v>4</v>
      </c>
    </row>
    <row r="23" spans="1:10" ht="14.25" thickBot="1">
      <c r="A23" s="466"/>
      <c r="B23" s="466">
        <v>46069</v>
      </c>
      <c r="C23" s="33">
        <v>1</v>
      </c>
      <c r="D23" s="33">
        <v>6</v>
      </c>
      <c r="E23" s="33">
        <v>1</v>
      </c>
      <c r="F23" s="33">
        <v>1</v>
      </c>
      <c r="G23" s="33">
        <v>1</v>
      </c>
      <c r="H23" s="33">
        <v>6</v>
      </c>
      <c r="I23" s="33">
        <v>5</v>
      </c>
      <c r="J23" s="33">
        <v>6</v>
      </c>
    </row>
    <row r="24" spans="1:10" ht="14.25" thickTop="1">
      <c r="A24" s="464">
        <v>46063</v>
      </c>
      <c r="B24" s="464">
        <v>46070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>
      <c r="B25" s="464">
        <v>46071</v>
      </c>
      <c r="C25">
        <v>1</v>
      </c>
      <c r="D25">
        <v>1</v>
      </c>
      <c r="E25">
        <v>1</v>
      </c>
      <c r="F25">
        <v>1</v>
      </c>
      <c r="G25">
        <v>1</v>
      </c>
      <c r="H25">
        <v>2</v>
      </c>
      <c r="I25">
        <v>1</v>
      </c>
      <c r="J25">
        <v>1</v>
      </c>
    </row>
    <row r="26" spans="1:10">
      <c r="B26" s="464">
        <v>46072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>
      <c r="B27" s="464">
        <v>46073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>
      <c r="B28" s="464">
        <v>46077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>
      <c r="B29" s="464">
        <v>46086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10">
      <c r="B30" s="464">
        <v>46087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>
      <c r="B31" s="464">
        <v>46090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>
      <c r="B32" s="464">
        <v>46091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B33" s="464">
        <v>46092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>
      <c r="B34" s="464">
        <v>46093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>
      <c r="B35" s="464">
        <v>46094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1:10">
      <c r="B36" s="464">
        <v>46097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>
      <c r="B37" s="464">
        <v>46098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>
      <c r="A38" s="467"/>
      <c r="B38" s="467">
        <v>46099</v>
      </c>
      <c r="C38" s="41">
        <v>1</v>
      </c>
      <c r="D38" s="41">
        <v>1</v>
      </c>
      <c r="E38" s="41">
        <v>1</v>
      </c>
      <c r="F38" s="41">
        <v>1</v>
      </c>
      <c r="G38" s="41">
        <v>1</v>
      </c>
      <c r="H38" s="41">
        <v>1</v>
      </c>
      <c r="I38" s="41">
        <v>1</v>
      </c>
      <c r="J38" s="41">
        <v>1</v>
      </c>
    </row>
    <row r="39" spans="1:10" ht="14.25" thickBot="1">
      <c r="A39" s="466"/>
      <c r="B39" s="466">
        <v>46100</v>
      </c>
      <c r="C39" s="33">
        <v>2</v>
      </c>
      <c r="D39" s="33">
        <v>2</v>
      </c>
      <c r="E39" s="33">
        <v>2</v>
      </c>
      <c r="F39" s="33">
        <v>2</v>
      </c>
      <c r="G39" s="33">
        <v>2</v>
      </c>
      <c r="H39" s="33">
        <v>2</v>
      </c>
      <c r="I39" s="33">
        <v>2</v>
      </c>
      <c r="J39" s="33">
        <v>2</v>
      </c>
    </row>
    <row r="40" spans="1:10" ht="14.25" thickTop="1">
      <c r="A40" s="464">
        <v>46093</v>
      </c>
      <c r="B40" s="464">
        <v>46106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</row>
    <row r="41" spans="1:10">
      <c r="B41" s="464">
        <v>46107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</row>
    <row r="42" spans="1:10">
      <c r="B42" s="464">
        <v>46108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</row>
    <row r="43" spans="1:10">
      <c r="B43" s="464">
        <v>46111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</row>
    <row r="44" spans="1:10">
      <c r="B44" s="464">
        <v>46112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</row>
    <row r="45" spans="1:10">
      <c r="B45" s="464">
        <v>46113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</row>
    <row r="46" spans="1:10">
      <c r="B46" s="464">
        <v>46114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</row>
    <row r="47" spans="1:10">
      <c r="B47" s="464">
        <v>46115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</row>
    <row r="48" spans="1:10">
      <c r="B48" s="464">
        <v>46118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</row>
    <row r="49" spans="2:10">
      <c r="B49" s="464">
        <v>46119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</row>
    <row r="50" spans="2:10">
      <c r="B50" s="464">
        <v>46120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</row>
    <row r="51" spans="2:10">
      <c r="B51" s="464">
        <v>46121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</row>
    <row r="52" spans="2:10">
      <c r="B52" s="464">
        <v>46122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</row>
    <row r="53" spans="2:10">
      <c r="B53" s="464">
        <v>46125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</row>
    <row r="54" spans="2:10">
      <c r="B54" s="464">
        <v>46126</v>
      </c>
      <c r="C54">
        <v>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</row>
    <row r="55" spans="2:10">
      <c r="B55" s="464">
        <v>46127</v>
      </c>
      <c r="C55">
        <v>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</row>
    <row r="56" spans="2:10">
      <c r="B56" s="464">
        <v>46128</v>
      </c>
      <c r="C56">
        <v>4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</row>
    <row r="57" spans="2:10">
      <c r="B57" s="464">
        <v>46129</v>
      </c>
      <c r="C57">
        <v>4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</row>
    <row r="58" spans="2:10">
      <c r="B58" s="464">
        <v>46132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</row>
    <row r="59" spans="2:10">
      <c r="B59" s="464">
        <v>46133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</row>
    <row r="60" spans="2:10">
      <c r="B60" s="464" t="s">
        <v>823</v>
      </c>
      <c r="C60">
        <v>125</v>
      </c>
      <c r="D60">
        <v>130</v>
      </c>
      <c r="E60">
        <v>125</v>
      </c>
      <c r="F60">
        <v>125</v>
      </c>
      <c r="G60">
        <v>125</v>
      </c>
      <c r="H60">
        <v>134</v>
      </c>
      <c r="I60">
        <v>133</v>
      </c>
      <c r="J60">
        <v>130</v>
      </c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3"/>
  <sheetViews>
    <sheetView zoomScale="80" zoomScaleNormal="80" workbookViewId="0">
      <selection activeCell="L1" sqref="L1:V153"/>
    </sheetView>
  </sheetViews>
  <sheetFormatPr defaultRowHeight="13.5"/>
  <sheetData>
    <row r="1" spans="1:36" s="488" customFormat="1" ht="56.25">
      <c r="A1" s="468" t="s">
        <v>1267</v>
      </c>
      <c r="B1" s="468" t="s">
        <v>1268</v>
      </c>
      <c r="C1" s="468" t="s">
        <v>1269</v>
      </c>
      <c r="D1" s="468" t="s">
        <v>1270</v>
      </c>
      <c r="E1" s="468" t="s">
        <v>1271</v>
      </c>
      <c r="F1" s="469" t="s">
        <v>1026</v>
      </c>
      <c r="G1" s="470" t="s">
        <v>1027</v>
      </c>
      <c r="H1" s="471" t="s">
        <v>1028</v>
      </c>
      <c r="I1" s="472" t="s">
        <v>52</v>
      </c>
      <c r="J1" s="473" t="s">
        <v>53</v>
      </c>
      <c r="K1" s="470" t="s">
        <v>1029</v>
      </c>
      <c r="L1" s="474" t="s">
        <v>1030</v>
      </c>
      <c r="M1" s="475" t="s">
        <v>1272</v>
      </c>
      <c r="N1" s="476" t="s">
        <v>1032</v>
      </c>
      <c r="O1" s="477" t="s">
        <v>1273</v>
      </c>
      <c r="P1" s="477" t="s">
        <v>772</v>
      </c>
      <c r="Q1" s="477" t="s">
        <v>1274</v>
      </c>
      <c r="R1" s="477" t="s">
        <v>1275</v>
      </c>
      <c r="S1" s="477" t="s">
        <v>1276</v>
      </c>
      <c r="T1" s="477" t="s">
        <v>756</v>
      </c>
      <c r="U1" s="477" t="s">
        <v>765</v>
      </c>
      <c r="V1" s="477" t="s">
        <v>769</v>
      </c>
      <c r="W1" s="478" t="s">
        <v>1277</v>
      </c>
      <c r="X1" s="479" t="s">
        <v>1278</v>
      </c>
      <c r="Y1" s="480" t="s">
        <v>1279</v>
      </c>
      <c r="Z1" s="481" t="s">
        <v>1280</v>
      </c>
      <c r="AA1" s="482" t="s">
        <v>1281</v>
      </c>
      <c r="AB1" s="483" t="s">
        <v>38</v>
      </c>
      <c r="AC1" s="482" t="s">
        <v>1047</v>
      </c>
      <c r="AD1" s="484" t="s">
        <v>1048</v>
      </c>
      <c r="AE1" s="485" t="s">
        <v>1049</v>
      </c>
      <c r="AF1" s="470" t="s">
        <v>1050</v>
      </c>
      <c r="AG1" s="486" t="s">
        <v>1282</v>
      </c>
      <c r="AH1" s="487" t="s">
        <v>1054</v>
      </c>
      <c r="AJ1" s="489"/>
    </row>
    <row r="2" spans="1:36" s="488" customFormat="1">
      <c r="A2" s="490"/>
      <c r="B2" s="490"/>
      <c r="C2" s="490"/>
      <c r="D2" s="490"/>
      <c r="E2" s="490"/>
      <c r="F2" s="491"/>
      <c r="G2" s="492">
        <v>46010</v>
      </c>
      <c r="H2" s="492">
        <v>46044</v>
      </c>
      <c r="I2" s="492"/>
      <c r="J2" s="493" t="s">
        <v>1288</v>
      </c>
      <c r="K2" s="494"/>
      <c r="L2" s="495">
        <v>46038</v>
      </c>
      <c r="M2" s="496">
        <v>46044</v>
      </c>
      <c r="N2" s="497" t="s">
        <v>1289</v>
      </c>
      <c r="O2" s="498"/>
      <c r="P2" s="498"/>
      <c r="Q2" s="498"/>
      <c r="R2" s="498"/>
      <c r="S2" s="498"/>
      <c r="T2" s="499" t="s">
        <v>1058</v>
      </c>
      <c r="U2" s="498"/>
      <c r="V2" s="498"/>
      <c r="W2" s="500"/>
      <c r="X2" s="501"/>
      <c r="Y2" s="498"/>
      <c r="Z2" s="498"/>
      <c r="AA2" s="502" t="s">
        <v>754</v>
      </c>
      <c r="AB2" s="502" t="s">
        <v>635</v>
      </c>
      <c r="AC2" s="502" t="s">
        <v>1284</v>
      </c>
      <c r="AD2" s="502" t="s">
        <v>1285</v>
      </c>
      <c r="AE2" s="503">
        <f>F2</f>
        <v>0</v>
      </c>
      <c r="AF2" s="504">
        <f t="shared" ref="AF2:AF33" si="0">H2</f>
        <v>46044</v>
      </c>
      <c r="AG2" s="503">
        <f t="shared" ref="AG2:AG33" si="1">A2</f>
        <v>0</v>
      </c>
      <c r="AH2" s="502" t="s">
        <v>1290</v>
      </c>
      <c r="AJ2" s="489"/>
    </row>
    <row r="3" spans="1:36" s="488" customFormat="1">
      <c r="A3" s="490"/>
      <c r="B3" s="490"/>
      <c r="C3" s="490"/>
      <c r="D3" s="490"/>
      <c r="E3" s="490"/>
      <c r="F3" s="491"/>
      <c r="G3" s="492">
        <v>46010</v>
      </c>
      <c r="H3" s="492">
        <v>46044</v>
      </c>
      <c r="I3" s="492"/>
      <c r="J3" s="493" t="s">
        <v>1288</v>
      </c>
      <c r="K3" s="494"/>
      <c r="L3" s="495">
        <v>46038</v>
      </c>
      <c r="M3" s="496">
        <v>46044</v>
      </c>
      <c r="N3" s="497" t="s">
        <v>1289</v>
      </c>
      <c r="O3" s="498"/>
      <c r="P3" s="498"/>
      <c r="Q3" s="498"/>
      <c r="R3" s="498"/>
      <c r="S3" s="498"/>
      <c r="T3" s="499" t="s">
        <v>1058</v>
      </c>
      <c r="U3" s="498"/>
      <c r="V3" s="498"/>
      <c r="W3" s="500"/>
      <c r="X3" s="501"/>
      <c r="Y3" s="498"/>
      <c r="Z3" s="498"/>
      <c r="AA3" s="502" t="s">
        <v>754</v>
      </c>
      <c r="AB3" s="502" t="s">
        <v>635</v>
      </c>
      <c r="AC3" s="502" t="s">
        <v>1291</v>
      </c>
      <c r="AD3" s="502" t="s">
        <v>1285</v>
      </c>
      <c r="AE3" s="503">
        <f>F3</f>
        <v>0</v>
      </c>
      <c r="AF3" s="504">
        <f t="shared" si="0"/>
        <v>46044</v>
      </c>
      <c r="AG3" s="503">
        <f t="shared" si="1"/>
        <v>0</v>
      </c>
      <c r="AH3" s="502" t="s">
        <v>1290</v>
      </c>
      <c r="AJ3" s="489"/>
    </row>
    <row r="4" spans="1:36" s="488" customFormat="1">
      <c r="A4" s="490"/>
      <c r="B4" s="490"/>
      <c r="C4" s="490"/>
      <c r="D4" s="490"/>
      <c r="E4" s="490"/>
      <c r="F4" s="491"/>
      <c r="G4" s="492">
        <v>46010</v>
      </c>
      <c r="H4" s="492">
        <v>46044</v>
      </c>
      <c r="I4" s="492"/>
      <c r="J4" s="493" t="s">
        <v>1283</v>
      </c>
      <c r="K4" s="494"/>
      <c r="L4" s="495">
        <v>46038</v>
      </c>
      <c r="M4" s="496">
        <v>46044</v>
      </c>
      <c r="N4" s="497" t="s">
        <v>1292</v>
      </c>
      <c r="O4" s="498"/>
      <c r="P4" s="498"/>
      <c r="Q4" s="498"/>
      <c r="R4" s="498"/>
      <c r="S4" s="498"/>
      <c r="T4" s="499" t="s">
        <v>1058</v>
      </c>
      <c r="U4" s="498"/>
      <c r="V4" s="498"/>
      <c r="W4" s="500"/>
      <c r="X4" s="501"/>
      <c r="Y4" s="498"/>
      <c r="Z4" s="498"/>
      <c r="AA4" s="502" t="s">
        <v>754</v>
      </c>
      <c r="AB4" s="502" t="s">
        <v>635</v>
      </c>
      <c r="AC4" s="502" t="s">
        <v>1293</v>
      </c>
      <c r="AD4" s="502" t="s">
        <v>1285</v>
      </c>
      <c r="AE4" s="503">
        <f>F4</f>
        <v>0</v>
      </c>
      <c r="AF4" s="504">
        <f t="shared" si="0"/>
        <v>46044</v>
      </c>
      <c r="AG4" s="503">
        <f t="shared" si="1"/>
        <v>0</v>
      </c>
      <c r="AH4" s="502" t="s">
        <v>1294</v>
      </c>
      <c r="AJ4" s="489"/>
    </row>
    <row r="5" spans="1:36" s="488" customFormat="1">
      <c r="A5" s="505">
        <v>1485</v>
      </c>
      <c r="B5" s="490"/>
      <c r="C5" s="505">
        <v>619</v>
      </c>
      <c r="D5" s="490"/>
      <c r="E5" s="505">
        <v>566</v>
      </c>
      <c r="F5" s="506" t="s">
        <v>182</v>
      </c>
      <c r="G5" s="492">
        <v>46036</v>
      </c>
      <c r="H5" s="492">
        <v>46048</v>
      </c>
      <c r="I5" s="492"/>
      <c r="J5" s="493" t="s">
        <v>1058</v>
      </c>
      <c r="K5" s="507">
        <v>46043</v>
      </c>
      <c r="L5" s="495">
        <v>46038</v>
      </c>
      <c r="M5" s="496">
        <v>46048</v>
      </c>
      <c r="N5" s="508"/>
      <c r="O5" s="499" t="s">
        <v>1058</v>
      </c>
      <c r="P5" s="499" t="s">
        <v>1058</v>
      </c>
      <c r="Q5" s="499" t="s">
        <v>1058</v>
      </c>
      <c r="R5" s="499" t="s">
        <v>1058</v>
      </c>
      <c r="S5" s="499" t="s">
        <v>1058</v>
      </c>
      <c r="T5" s="499" t="s">
        <v>1058</v>
      </c>
      <c r="U5" s="499" t="s">
        <v>1058</v>
      </c>
      <c r="V5" s="499" t="s">
        <v>1058</v>
      </c>
      <c r="W5" s="500"/>
      <c r="X5" s="501"/>
      <c r="Y5" s="509" t="s">
        <v>1058</v>
      </c>
      <c r="Z5" s="509" t="s">
        <v>1058</v>
      </c>
      <c r="AA5" s="503" t="s">
        <v>573</v>
      </c>
      <c r="AB5" s="503" t="s">
        <v>180</v>
      </c>
      <c r="AC5" s="503"/>
      <c r="AD5" s="503" t="s">
        <v>182</v>
      </c>
      <c r="AE5" s="503">
        <v>10</v>
      </c>
      <c r="AF5" s="504">
        <f t="shared" si="0"/>
        <v>46048</v>
      </c>
      <c r="AG5" s="503">
        <f t="shared" si="1"/>
        <v>1485</v>
      </c>
      <c r="AH5" s="503"/>
      <c r="AJ5" s="489"/>
    </row>
    <row r="6" spans="1:36" s="488" customFormat="1">
      <c r="A6" s="505">
        <v>1486</v>
      </c>
      <c r="B6" s="490"/>
      <c r="C6" s="505">
        <v>620</v>
      </c>
      <c r="D6" s="490"/>
      <c r="E6" s="505">
        <v>567</v>
      </c>
      <c r="F6" s="506" t="s">
        <v>182</v>
      </c>
      <c r="G6" s="492">
        <v>46036</v>
      </c>
      <c r="H6" s="492">
        <v>46048</v>
      </c>
      <c r="I6" s="492"/>
      <c r="J6" s="493" t="s">
        <v>1058</v>
      </c>
      <c r="K6" s="507">
        <v>46043</v>
      </c>
      <c r="L6" s="495">
        <v>46038</v>
      </c>
      <c r="M6" s="496">
        <v>46048</v>
      </c>
      <c r="N6" s="508"/>
      <c r="O6" s="499" t="s">
        <v>1058</v>
      </c>
      <c r="P6" s="499" t="s">
        <v>1058</v>
      </c>
      <c r="Q6" s="499" t="s">
        <v>1058</v>
      </c>
      <c r="R6" s="499" t="s">
        <v>1058</v>
      </c>
      <c r="S6" s="499" t="s">
        <v>1058</v>
      </c>
      <c r="T6" s="499" t="s">
        <v>1058</v>
      </c>
      <c r="U6" s="499" t="s">
        <v>1058</v>
      </c>
      <c r="V6" s="499" t="s">
        <v>1058</v>
      </c>
      <c r="W6" s="500"/>
      <c r="X6" s="501"/>
      <c r="Y6" s="509" t="s">
        <v>1058</v>
      </c>
      <c r="Z6" s="509" t="s">
        <v>1058</v>
      </c>
      <c r="AA6" s="503" t="s">
        <v>571</v>
      </c>
      <c r="AB6" s="503" t="s">
        <v>180</v>
      </c>
      <c r="AC6" s="503"/>
      <c r="AD6" s="503" t="s">
        <v>182</v>
      </c>
      <c r="AE6" s="503">
        <v>10</v>
      </c>
      <c r="AF6" s="504">
        <f t="shared" si="0"/>
        <v>46048</v>
      </c>
      <c r="AG6" s="503">
        <f t="shared" si="1"/>
        <v>1486</v>
      </c>
      <c r="AH6" s="503"/>
      <c r="AJ6" s="489"/>
    </row>
    <row r="7" spans="1:36" s="488" customFormat="1">
      <c r="A7" s="505">
        <v>1487</v>
      </c>
      <c r="B7" s="490"/>
      <c r="C7" s="505">
        <v>621</v>
      </c>
      <c r="D7" s="490"/>
      <c r="E7" s="505">
        <v>568</v>
      </c>
      <c r="F7" s="506" t="s">
        <v>182</v>
      </c>
      <c r="G7" s="492">
        <v>46037</v>
      </c>
      <c r="H7" s="492">
        <v>46049</v>
      </c>
      <c r="I7" s="492"/>
      <c r="J7" s="510" t="s">
        <v>1058</v>
      </c>
      <c r="K7" s="507">
        <v>46044</v>
      </c>
      <c r="L7" s="495">
        <v>46039</v>
      </c>
      <c r="M7" s="496">
        <v>46049</v>
      </c>
      <c r="N7" s="508"/>
      <c r="O7" s="499" t="s">
        <v>1058</v>
      </c>
      <c r="P7" s="499" t="s">
        <v>1058</v>
      </c>
      <c r="Q7" s="499" t="s">
        <v>1058</v>
      </c>
      <c r="R7" s="499" t="s">
        <v>1058</v>
      </c>
      <c r="S7" s="499" t="s">
        <v>1058</v>
      </c>
      <c r="T7" s="499" t="s">
        <v>1058</v>
      </c>
      <c r="U7" s="499" t="s">
        <v>1058</v>
      </c>
      <c r="V7" s="499" t="s">
        <v>1058</v>
      </c>
      <c r="W7" s="500"/>
      <c r="X7" s="501"/>
      <c r="Y7" s="509" t="s">
        <v>1058</v>
      </c>
      <c r="Z7" s="509" t="s">
        <v>1058</v>
      </c>
      <c r="AA7" s="503" t="s">
        <v>574</v>
      </c>
      <c r="AB7" s="503" t="s">
        <v>180</v>
      </c>
      <c r="AC7" s="503"/>
      <c r="AD7" s="503" t="s">
        <v>182</v>
      </c>
      <c r="AE7" s="503">
        <v>10</v>
      </c>
      <c r="AF7" s="504">
        <f t="shared" si="0"/>
        <v>46049</v>
      </c>
      <c r="AG7" s="503">
        <f t="shared" si="1"/>
        <v>1487</v>
      </c>
      <c r="AH7" s="503"/>
      <c r="AJ7" s="489"/>
    </row>
    <row r="8" spans="1:36" s="488" customFormat="1">
      <c r="A8" s="505">
        <v>1488</v>
      </c>
      <c r="B8" s="490"/>
      <c r="C8" s="505">
        <v>622</v>
      </c>
      <c r="D8" s="490"/>
      <c r="E8" s="505">
        <v>569</v>
      </c>
      <c r="F8" s="506" t="s">
        <v>182</v>
      </c>
      <c r="G8" s="492">
        <v>46037</v>
      </c>
      <c r="H8" s="492">
        <v>46049</v>
      </c>
      <c r="I8" s="492"/>
      <c r="J8" s="493" t="s">
        <v>1058</v>
      </c>
      <c r="K8" s="507">
        <v>46044</v>
      </c>
      <c r="L8" s="495">
        <v>46039</v>
      </c>
      <c r="M8" s="496">
        <v>46049</v>
      </c>
      <c r="N8" s="508"/>
      <c r="O8" s="499" t="s">
        <v>1058</v>
      </c>
      <c r="P8" s="499" t="s">
        <v>1058</v>
      </c>
      <c r="Q8" s="499" t="s">
        <v>1058</v>
      </c>
      <c r="R8" s="499" t="s">
        <v>1058</v>
      </c>
      <c r="S8" s="499" t="s">
        <v>1058</v>
      </c>
      <c r="T8" s="499" t="s">
        <v>1058</v>
      </c>
      <c r="U8" s="499" t="s">
        <v>1058</v>
      </c>
      <c r="V8" s="499" t="s">
        <v>1058</v>
      </c>
      <c r="W8" s="500"/>
      <c r="X8" s="501"/>
      <c r="Y8" s="509" t="s">
        <v>1058</v>
      </c>
      <c r="Z8" s="509" t="s">
        <v>1058</v>
      </c>
      <c r="AA8" s="503" t="s">
        <v>575</v>
      </c>
      <c r="AB8" s="503" t="s">
        <v>180</v>
      </c>
      <c r="AC8" s="503"/>
      <c r="AD8" s="503" t="s">
        <v>182</v>
      </c>
      <c r="AE8" s="503">
        <v>10</v>
      </c>
      <c r="AF8" s="504">
        <f t="shared" si="0"/>
        <v>46049</v>
      </c>
      <c r="AG8" s="503">
        <f t="shared" si="1"/>
        <v>1488</v>
      </c>
      <c r="AH8" s="503"/>
      <c r="AJ8" s="489"/>
    </row>
    <row r="9" spans="1:36" s="488" customFormat="1">
      <c r="A9" s="505">
        <v>1489</v>
      </c>
      <c r="B9" s="490"/>
      <c r="C9" s="505">
        <v>623</v>
      </c>
      <c r="D9" s="490"/>
      <c r="E9" s="505">
        <v>570</v>
      </c>
      <c r="F9" s="506" t="s">
        <v>182</v>
      </c>
      <c r="G9" s="492">
        <v>46037</v>
      </c>
      <c r="H9" s="492">
        <v>46049</v>
      </c>
      <c r="I9" s="492"/>
      <c r="J9" s="493" t="s">
        <v>1058</v>
      </c>
      <c r="K9" s="507">
        <v>46045</v>
      </c>
      <c r="L9" s="495">
        <v>46041</v>
      </c>
      <c r="M9" s="496">
        <v>46049</v>
      </c>
      <c r="N9" s="508"/>
      <c r="O9" s="499" t="s">
        <v>1058</v>
      </c>
      <c r="P9" s="499" t="s">
        <v>1058</v>
      </c>
      <c r="Q9" s="499" t="s">
        <v>1058</v>
      </c>
      <c r="R9" s="499" t="s">
        <v>1058</v>
      </c>
      <c r="S9" s="499" t="s">
        <v>1058</v>
      </c>
      <c r="T9" s="499" t="s">
        <v>1058</v>
      </c>
      <c r="U9" s="499" t="s">
        <v>1058</v>
      </c>
      <c r="V9" s="499" t="s">
        <v>1058</v>
      </c>
      <c r="W9" s="500"/>
      <c r="X9" s="501"/>
      <c r="Y9" s="509" t="s">
        <v>1058</v>
      </c>
      <c r="Z9" s="509" t="s">
        <v>1058</v>
      </c>
      <c r="AA9" s="503" t="s">
        <v>576</v>
      </c>
      <c r="AB9" s="503" t="s">
        <v>180</v>
      </c>
      <c r="AC9" s="503"/>
      <c r="AD9" s="503" t="s">
        <v>182</v>
      </c>
      <c r="AE9" s="503">
        <v>10</v>
      </c>
      <c r="AF9" s="504">
        <f t="shared" si="0"/>
        <v>46049</v>
      </c>
      <c r="AG9" s="503">
        <f t="shared" si="1"/>
        <v>1489</v>
      </c>
      <c r="AH9" s="503"/>
      <c r="AJ9" s="489"/>
    </row>
    <row r="10" spans="1:36" s="488" customFormat="1">
      <c r="A10" s="505">
        <v>1490</v>
      </c>
      <c r="B10" s="490"/>
      <c r="C10" s="505">
        <v>624</v>
      </c>
      <c r="D10" s="490"/>
      <c r="E10" s="505">
        <v>571</v>
      </c>
      <c r="F10" s="506" t="s">
        <v>182</v>
      </c>
      <c r="G10" s="492">
        <v>46038</v>
      </c>
      <c r="H10" s="492">
        <v>46050</v>
      </c>
      <c r="I10" s="492"/>
      <c r="J10" s="493" t="s">
        <v>1058</v>
      </c>
      <c r="K10" s="507">
        <v>46045</v>
      </c>
      <c r="L10" s="495">
        <v>46041</v>
      </c>
      <c r="M10" s="496">
        <v>46050</v>
      </c>
      <c r="N10" s="508"/>
      <c r="O10" s="499" t="s">
        <v>1058</v>
      </c>
      <c r="P10" s="499" t="s">
        <v>1058</v>
      </c>
      <c r="Q10" s="499" t="s">
        <v>1058</v>
      </c>
      <c r="R10" s="499" t="s">
        <v>1058</v>
      </c>
      <c r="S10" s="499" t="s">
        <v>1058</v>
      </c>
      <c r="T10" s="499" t="s">
        <v>1058</v>
      </c>
      <c r="U10" s="499" t="s">
        <v>1058</v>
      </c>
      <c r="V10" s="499" t="s">
        <v>1058</v>
      </c>
      <c r="W10" s="500"/>
      <c r="X10" s="501"/>
      <c r="Y10" s="509" t="s">
        <v>1058</v>
      </c>
      <c r="Z10" s="509" t="s">
        <v>1058</v>
      </c>
      <c r="AA10" s="503" t="s">
        <v>577</v>
      </c>
      <c r="AB10" s="503" t="s">
        <v>180</v>
      </c>
      <c r="AC10" s="503"/>
      <c r="AD10" s="503" t="s">
        <v>182</v>
      </c>
      <c r="AE10" s="503">
        <v>10</v>
      </c>
      <c r="AF10" s="504">
        <f t="shared" si="0"/>
        <v>46050</v>
      </c>
      <c r="AG10" s="503">
        <f t="shared" si="1"/>
        <v>1490</v>
      </c>
      <c r="AH10" s="503"/>
      <c r="AJ10" s="489"/>
    </row>
    <row r="11" spans="1:36" s="488" customFormat="1">
      <c r="A11" s="505">
        <v>1491</v>
      </c>
      <c r="B11" s="490"/>
      <c r="C11" s="505">
        <v>625</v>
      </c>
      <c r="D11" s="490"/>
      <c r="E11" s="505">
        <v>572</v>
      </c>
      <c r="F11" s="506" t="s">
        <v>182</v>
      </c>
      <c r="G11" s="492">
        <v>46038</v>
      </c>
      <c r="H11" s="492">
        <v>46050</v>
      </c>
      <c r="I11" s="492"/>
      <c r="J11" s="493" t="s">
        <v>1058</v>
      </c>
      <c r="K11" s="507">
        <v>46048</v>
      </c>
      <c r="L11" s="495">
        <v>46042</v>
      </c>
      <c r="M11" s="496">
        <v>46050</v>
      </c>
      <c r="N11" s="508"/>
      <c r="O11" s="499" t="s">
        <v>1058</v>
      </c>
      <c r="P11" s="499" t="s">
        <v>1058</v>
      </c>
      <c r="Q11" s="499" t="s">
        <v>1058</v>
      </c>
      <c r="R11" s="499" t="s">
        <v>1058</v>
      </c>
      <c r="S11" s="499" t="s">
        <v>1058</v>
      </c>
      <c r="T11" s="499" t="s">
        <v>1058</v>
      </c>
      <c r="U11" s="499" t="s">
        <v>1058</v>
      </c>
      <c r="V11" s="499" t="s">
        <v>1058</v>
      </c>
      <c r="W11" s="500"/>
      <c r="X11" s="501"/>
      <c r="Y11" s="509" t="s">
        <v>1058</v>
      </c>
      <c r="Z11" s="509" t="s">
        <v>1058</v>
      </c>
      <c r="AA11" s="503" t="s">
        <v>578</v>
      </c>
      <c r="AB11" s="503" t="s">
        <v>180</v>
      </c>
      <c r="AC11" s="503"/>
      <c r="AD11" s="503" t="s">
        <v>182</v>
      </c>
      <c r="AE11" s="503">
        <v>10</v>
      </c>
      <c r="AF11" s="504">
        <f t="shared" si="0"/>
        <v>46050</v>
      </c>
      <c r="AG11" s="503">
        <f t="shared" si="1"/>
        <v>1491</v>
      </c>
      <c r="AH11" s="503"/>
      <c r="AJ11" s="489"/>
    </row>
    <row r="12" spans="1:36" s="488" customFormat="1">
      <c r="A12" s="505">
        <v>1492</v>
      </c>
      <c r="B12" s="490"/>
      <c r="C12" s="505">
        <v>626</v>
      </c>
      <c r="D12" s="490"/>
      <c r="E12" s="505">
        <v>573</v>
      </c>
      <c r="F12" s="506" t="s">
        <v>182</v>
      </c>
      <c r="G12" s="492">
        <v>46038</v>
      </c>
      <c r="H12" s="492">
        <v>46050</v>
      </c>
      <c r="I12" s="492"/>
      <c r="J12" s="510" t="s">
        <v>1058</v>
      </c>
      <c r="K12" s="507">
        <v>46048</v>
      </c>
      <c r="L12" s="495">
        <v>46042</v>
      </c>
      <c r="M12" s="496">
        <v>46050</v>
      </c>
      <c r="N12" s="508"/>
      <c r="O12" s="499" t="s">
        <v>1058</v>
      </c>
      <c r="P12" s="499" t="s">
        <v>1058</v>
      </c>
      <c r="Q12" s="499" t="s">
        <v>1058</v>
      </c>
      <c r="R12" s="499" t="s">
        <v>1058</v>
      </c>
      <c r="S12" s="499" t="s">
        <v>1058</v>
      </c>
      <c r="T12" s="499" t="s">
        <v>1058</v>
      </c>
      <c r="U12" s="499" t="s">
        <v>1058</v>
      </c>
      <c r="V12" s="499" t="s">
        <v>1058</v>
      </c>
      <c r="W12" s="500"/>
      <c r="X12" s="501"/>
      <c r="Y12" s="509" t="s">
        <v>1058</v>
      </c>
      <c r="Z12" s="509" t="s">
        <v>1058</v>
      </c>
      <c r="AA12" s="503" t="s">
        <v>579</v>
      </c>
      <c r="AB12" s="503" t="s">
        <v>180</v>
      </c>
      <c r="AC12" s="503"/>
      <c r="AD12" s="503" t="s">
        <v>182</v>
      </c>
      <c r="AE12" s="503">
        <v>10</v>
      </c>
      <c r="AF12" s="504">
        <f t="shared" si="0"/>
        <v>46050</v>
      </c>
      <c r="AG12" s="503">
        <f t="shared" si="1"/>
        <v>1492</v>
      </c>
      <c r="AH12" s="503"/>
      <c r="AJ12" s="489"/>
    </row>
    <row r="13" spans="1:36" s="513" customFormat="1">
      <c r="A13" s="505">
        <v>1493</v>
      </c>
      <c r="B13" s="505">
        <v>870</v>
      </c>
      <c r="C13" s="490"/>
      <c r="D13" s="505">
        <v>923</v>
      </c>
      <c r="E13" s="490"/>
      <c r="F13" s="506" t="s">
        <v>465</v>
      </c>
      <c r="G13" s="492">
        <v>46042</v>
      </c>
      <c r="H13" s="492">
        <v>46050</v>
      </c>
      <c r="I13" s="492"/>
      <c r="J13" s="508"/>
      <c r="K13" s="507">
        <v>46048</v>
      </c>
      <c r="L13" s="495">
        <v>46042</v>
      </c>
      <c r="M13" s="496">
        <v>46050</v>
      </c>
      <c r="N13" s="508"/>
      <c r="O13" s="499" t="s">
        <v>1058</v>
      </c>
      <c r="P13" s="499" t="s">
        <v>1058</v>
      </c>
      <c r="Q13" s="499" t="s">
        <v>1058</v>
      </c>
      <c r="R13" s="499" t="s">
        <v>1058</v>
      </c>
      <c r="S13" s="499" t="s">
        <v>1058</v>
      </c>
      <c r="T13" s="499" t="s">
        <v>1058</v>
      </c>
      <c r="U13" s="499" t="s">
        <v>1058</v>
      </c>
      <c r="V13" s="499" t="s">
        <v>1058</v>
      </c>
      <c r="W13" s="511" t="s">
        <v>1058</v>
      </c>
      <c r="X13" s="512" t="s">
        <v>1058</v>
      </c>
      <c r="Y13" s="498"/>
      <c r="Z13" s="509" t="s">
        <v>1058</v>
      </c>
      <c r="AA13" s="503" t="s">
        <v>960</v>
      </c>
      <c r="AB13" s="503" t="s">
        <v>580</v>
      </c>
      <c r="AC13" s="503"/>
      <c r="AD13" s="503" t="s">
        <v>465</v>
      </c>
      <c r="AE13" s="503">
        <v>11</v>
      </c>
      <c r="AF13" s="504">
        <f t="shared" si="0"/>
        <v>46050</v>
      </c>
      <c r="AG13" s="503">
        <f t="shared" si="1"/>
        <v>1493</v>
      </c>
      <c r="AH13" s="503"/>
      <c r="AJ13" s="514"/>
    </row>
    <row r="14" spans="1:36" s="513" customFormat="1">
      <c r="A14" s="505">
        <v>1494</v>
      </c>
      <c r="B14" s="490"/>
      <c r="C14" s="505">
        <v>627</v>
      </c>
      <c r="D14" s="490"/>
      <c r="E14" s="505">
        <v>574</v>
      </c>
      <c r="F14" s="506" t="s">
        <v>182</v>
      </c>
      <c r="G14" s="492">
        <v>46041</v>
      </c>
      <c r="H14" s="492">
        <v>46051</v>
      </c>
      <c r="I14" s="492"/>
      <c r="J14" s="493" t="s">
        <v>1058</v>
      </c>
      <c r="K14" s="507">
        <v>46049</v>
      </c>
      <c r="L14" s="495">
        <v>46043</v>
      </c>
      <c r="M14" s="496">
        <v>46051</v>
      </c>
      <c r="N14" s="508"/>
      <c r="O14" s="499" t="s">
        <v>1058</v>
      </c>
      <c r="P14" s="499" t="s">
        <v>1058</v>
      </c>
      <c r="Q14" s="499" t="s">
        <v>1058</v>
      </c>
      <c r="R14" s="499" t="s">
        <v>1058</v>
      </c>
      <c r="S14" s="499" t="s">
        <v>1058</v>
      </c>
      <c r="T14" s="499" t="s">
        <v>1058</v>
      </c>
      <c r="U14" s="499" t="s">
        <v>1058</v>
      </c>
      <c r="V14" s="499" t="s">
        <v>1058</v>
      </c>
      <c r="W14" s="500"/>
      <c r="X14" s="501"/>
      <c r="Y14" s="509" t="s">
        <v>1058</v>
      </c>
      <c r="Z14" s="509" t="s">
        <v>1058</v>
      </c>
      <c r="AA14" s="503" t="s">
        <v>588</v>
      </c>
      <c r="AB14" s="503" t="s">
        <v>180</v>
      </c>
      <c r="AC14" s="503"/>
      <c r="AD14" s="503" t="s">
        <v>182</v>
      </c>
      <c r="AE14" s="503">
        <v>10</v>
      </c>
      <c r="AF14" s="504">
        <f t="shared" si="0"/>
        <v>46051</v>
      </c>
      <c r="AG14" s="503">
        <f t="shared" si="1"/>
        <v>1494</v>
      </c>
      <c r="AH14" s="503"/>
      <c r="AJ14" s="514"/>
    </row>
    <row r="15" spans="1:36" s="513" customFormat="1">
      <c r="A15" s="505">
        <v>1495</v>
      </c>
      <c r="B15" s="490"/>
      <c r="C15" s="505">
        <v>628</v>
      </c>
      <c r="D15" s="490"/>
      <c r="E15" s="505">
        <v>575</v>
      </c>
      <c r="F15" s="506" t="s">
        <v>182</v>
      </c>
      <c r="G15" s="492">
        <v>46041</v>
      </c>
      <c r="H15" s="492">
        <v>46051</v>
      </c>
      <c r="I15" s="492"/>
      <c r="J15" s="493" t="s">
        <v>1058</v>
      </c>
      <c r="K15" s="507">
        <v>46049</v>
      </c>
      <c r="L15" s="495">
        <v>46043</v>
      </c>
      <c r="M15" s="496">
        <v>46051</v>
      </c>
      <c r="N15" s="508"/>
      <c r="O15" s="499" t="s">
        <v>1058</v>
      </c>
      <c r="P15" s="499" t="s">
        <v>1058</v>
      </c>
      <c r="Q15" s="499" t="s">
        <v>1058</v>
      </c>
      <c r="R15" s="499" t="s">
        <v>1058</v>
      </c>
      <c r="S15" s="499" t="s">
        <v>1058</v>
      </c>
      <c r="T15" s="499" t="s">
        <v>1058</v>
      </c>
      <c r="U15" s="499" t="s">
        <v>1058</v>
      </c>
      <c r="V15" s="499" t="s">
        <v>1058</v>
      </c>
      <c r="W15" s="500"/>
      <c r="X15" s="501"/>
      <c r="Y15" s="509" t="s">
        <v>1058</v>
      </c>
      <c r="Z15" s="509" t="s">
        <v>1058</v>
      </c>
      <c r="AA15" s="503" t="s">
        <v>589</v>
      </c>
      <c r="AB15" s="503" t="s">
        <v>180</v>
      </c>
      <c r="AC15" s="503"/>
      <c r="AD15" s="503" t="s">
        <v>182</v>
      </c>
      <c r="AE15" s="503">
        <v>10</v>
      </c>
      <c r="AF15" s="504">
        <f t="shared" si="0"/>
        <v>46051</v>
      </c>
      <c r="AG15" s="503">
        <f t="shared" si="1"/>
        <v>1495</v>
      </c>
      <c r="AH15" s="503"/>
      <c r="AJ15" s="514"/>
    </row>
    <row r="16" spans="1:36" s="513" customFormat="1">
      <c r="A16" s="505">
        <v>1496</v>
      </c>
      <c r="B16" s="490"/>
      <c r="C16" s="505">
        <v>629</v>
      </c>
      <c r="D16" s="490"/>
      <c r="E16" s="505">
        <v>576</v>
      </c>
      <c r="F16" s="506" t="s">
        <v>182</v>
      </c>
      <c r="G16" s="492">
        <v>46041</v>
      </c>
      <c r="H16" s="492">
        <v>46051</v>
      </c>
      <c r="I16" s="492"/>
      <c r="J16" s="493" t="s">
        <v>1058</v>
      </c>
      <c r="K16" s="507">
        <v>46049</v>
      </c>
      <c r="L16" s="495">
        <v>46043</v>
      </c>
      <c r="M16" s="496">
        <v>46051</v>
      </c>
      <c r="N16" s="508"/>
      <c r="O16" s="499" t="s">
        <v>1058</v>
      </c>
      <c r="P16" s="499" t="s">
        <v>1058</v>
      </c>
      <c r="Q16" s="499" t="s">
        <v>1058</v>
      </c>
      <c r="R16" s="499" t="s">
        <v>1058</v>
      </c>
      <c r="S16" s="499" t="s">
        <v>1058</v>
      </c>
      <c r="T16" s="499" t="s">
        <v>1058</v>
      </c>
      <c r="U16" s="499" t="s">
        <v>1058</v>
      </c>
      <c r="V16" s="499" t="s">
        <v>1058</v>
      </c>
      <c r="W16" s="500"/>
      <c r="X16" s="501"/>
      <c r="Y16" s="509" t="s">
        <v>1058</v>
      </c>
      <c r="Z16" s="509" t="s">
        <v>1058</v>
      </c>
      <c r="AA16" s="503" t="s">
        <v>587</v>
      </c>
      <c r="AB16" s="503" t="s">
        <v>180</v>
      </c>
      <c r="AC16" s="503"/>
      <c r="AD16" s="503" t="s">
        <v>182</v>
      </c>
      <c r="AE16" s="503">
        <v>10</v>
      </c>
      <c r="AF16" s="504">
        <f t="shared" si="0"/>
        <v>46051</v>
      </c>
      <c r="AG16" s="503">
        <f t="shared" si="1"/>
        <v>1496</v>
      </c>
      <c r="AH16" s="503"/>
      <c r="AJ16" s="514"/>
    </row>
    <row r="17" spans="1:36" s="513" customFormat="1">
      <c r="A17" s="505">
        <v>1497</v>
      </c>
      <c r="B17" s="505">
        <v>871</v>
      </c>
      <c r="C17" s="490"/>
      <c r="D17" s="505">
        <v>924</v>
      </c>
      <c r="E17" s="490"/>
      <c r="F17" s="506" t="s">
        <v>465</v>
      </c>
      <c r="G17" s="492">
        <v>46041</v>
      </c>
      <c r="H17" s="492">
        <v>46051</v>
      </c>
      <c r="I17" s="492"/>
      <c r="J17" s="510" t="s">
        <v>1058</v>
      </c>
      <c r="K17" s="507">
        <v>46050</v>
      </c>
      <c r="L17" s="495">
        <v>46044</v>
      </c>
      <c r="M17" s="496">
        <v>46051</v>
      </c>
      <c r="N17" s="508"/>
      <c r="O17" s="499" t="s">
        <v>1058</v>
      </c>
      <c r="P17" s="499" t="s">
        <v>1058</v>
      </c>
      <c r="Q17" s="499" t="s">
        <v>1058</v>
      </c>
      <c r="R17" s="499" t="s">
        <v>1058</v>
      </c>
      <c r="S17" s="499" t="s">
        <v>1058</v>
      </c>
      <c r="T17" s="499" t="s">
        <v>1058</v>
      </c>
      <c r="U17" s="499" t="s">
        <v>1058</v>
      </c>
      <c r="V17" s="499" t="s">
        <v>1058</v>
      </c>
      <c r="W17" s="511" t="s">
        <v>1058</v>
      </c>
      <c r="X17" s="512" t="s">
        <v>1058</v>
      </c>
      <c r="Y17" s="498"/>
      <c r="Z17" s="509" t="s">
        <v>1058</v>
      </c>
      <c r="AA17" s="503" t="s">
        <v>583</v>
      </c>
      <c r="AB17" s="503" t="s">
        <v>466</v>
      </c>
      <c r="AC17" s="503" t="s">
        <v>584</v>
      </c>
      <c r="AD17" s="503"/>
      <c r="AE17" s="503">
        <v>11</v>
      </c>
      <c r="AF17" s="504">
        <f t="shared" si="0"/>
        <v>46051</v>
      </c>
      <c r="AG17" s="503">
        <f t="shared" si="1"/>
        <v>1497</v>
      </c>
      <c r="AH17" s="503"/>
      <c r="AJ17" s="514"/>
    </row>
    <row r="18" spans="1:36" s="513" customFormat="1">
      <c r="A18" s="505">
        <v>1498</v>
      </c>
      <c r="B18" s="505">
        <v>872</v>
      </c>
      <c r="C18" s="490"/>
      <c r="D18" s="505">
        <v>925</v>
      </c>
      <c r="E18" s="490"/>
      <c r="F18" s="506" t="s">
        <v>465</v>
      </c>
      <c r="G18" s="492">
        <v>46042</v>
      </c>
      <c r="H18" s="492">
        <v>46051</v>
      </c>
      <c r="I18" s="492"/>
      <c r="J18" s="508"/>
      <c r="K18" s="507">
        <v>46050</v>
      </c>
      <c r="L18" s="495">
        <v>46044</v>
      </c>
      <c r="M18" s="496">
        <v>46051</v>
      </c>
      <c r="N18" s="508"/>
      <c r="O18" s="499" t="s">
        <v>1058</v>
      </c>
      <c r="P18" s="499" t="s">
        <v>1058</v>
      </c>
      <c r="Q18" s="499" t="s">
        <v>1058</v>
      </c>
      <c r="R18" s="499" t="s">
        <v>1058</v>
      </c>
      <c r="S18" s="499" t="s">
        <v>1058</v>
      </c>
      <c r="T18" s="499" t="s">
        <v>1058</v>
      </c>
      <c r="U18" s="499" t="s">
        <v>1058</v>
      </c>
      <c r="V18" s="499" t="s">
        <v>1058</v>
      </c>
      <c r="W18" s="511" t="s">
        <v>1058</v>
      </c>
      <c r="X18" s="512" t="s">
        <v>1058</v>
      </c>
      <c r="Y18" s="498"/>
      <c r="Z18" s="509" t="s">
        <v>1058</v>
      </c>
      <c r="AA18" s="503" t="s">
        <v>962</v>
      </c>
      <c r="AB18" s="503" t="s">
        <v>580</v>
      </c>
      <c r="AC18" s="503"/>
      <c r="AD18" s="503" t="s">
        <v>465</v>
      </c>
      <c r="AE18" s="503">
        <v>11</v>
      </c>
      <c r="AF18" s="504">
        <f t="shared" si="0"/>
        <v>46051</v>
      </c>
      <c r="AG18" s="503">
        <f t="shared" si="1"/>
        <v>1498</v>
      </c>
      <c r="AH18" s="503"/>
      <c r="AJ18" s="514"/>
    </row>
    <row r="19" spans="1:36" s="513" customFormat="1">
      <c r="A19" s="505">
        <v>1499</v>
      </c>
      <c r="B19" s="490"/>
      <c r="C19" s="505">
        <v>630</v>
      </c>
      <c r="D19" s="490"/>
      <c r="E19" s="505">
        <v>577</v>
      </c>
      <c r="F19" s="506" t="s">
        <v>182</v>
      </c>
      <c r="G19" s="492">
        <v>46042</v>
      </c>
      <c r="H19" s="492">
        <v>46052</v>
      </c>
      <c r="I19" s="492"/>
      <c r="J19" s="493" t="s">
        <v>1058</v>
      </c>
      <c r="K19" s="507">
        <v>46050</v>
      </c>
      <c r="L19" s="495">
        <v>46044</v>
      </c>
      <c r="M19" s="496">
        <v>46052</v>
      </c>
      <c r="N19" s="508"/>
      <c r="O19" s="499" t="s">
        <v>1058</v>
      </c>
      <c r="P19" s="499" t="s">
        <v>1058</v>
      </c>
      <c r="Q19" s="499" t="s">
        <v>1058</v>
      </c>
      <c r="R19" s="499" t="s">
        <v>1058</v>
      </c>
      <c r="S19" s="499" t="s">
        <v>1058</v>
      </c>
      <c r="T19" s="499" t="s">
        <v>1058</v>
      </c>
      <c r="U19" s="499" t="s">
        <v>1058</v>
      </c>
      <c r="V19" s="499" t="s">
        <v>1058</v>
      </c>
      <c r="W19" s="500"/>
      <c r="X19" s="501"/>
      <c r="Y19" s="509" t="s">
        <v>1058</v>
      </c>
      <c r="Z19" s="509" t="s">
        <v>1058</v>
      </c>
      <c r="AA19" s="503" t="s">
        <v>591</v>
      </c>
      <c r="AB19" s="503" t="s">
        <v>180</v>
      </c>
      <c r="AC19" s="503"/>
      <c r="AD19" s="503" t="s">
        <v>182</v>
      </c>
      <c r="AE19" s="503">
        <v>10</v>
      </c>
      <c r="AF19" s="504">
        <f t="shared" si="0"/>
        <v>46052</v>
      </c>
      <c r="AG19" s="503">
        <f t="shared" si="1"/>
        <v>1499</v>
      </c>
      <c r="AH19" s="503"/>
      <c r="AJ19" s="514"/>
    </row>
    <row r="20" spans="1:36" s="513" customFormat="1">
      <c r="A20" s="505">
        <v>1500</v>
      </c>
      <c r="B20" s="490"/>
      <c r="C20" s="505">
        <v>631</v>
      </c>
      <c r="D20" s="490"/>
      <c r="E20" s="505">
        <v>578</v>
      </c>
      <c r="F20" s="506" t="s">
        <v>182</v>
      </c>
      <c r="G20" s="492">
        <v>46042</v>
      </c>
      <c r="H20" s="492">
        <v>46052</v>
      </c>
      <c r="I20" s="492"/>
      <c r="J20" s="493" t="s">
        <v>1058</v>
      </c>
      <c r="K20" s="507">
        <v>46051</v>
      </c>
      <c r="L20" s="495">
        <v>46045</v>
      </c>
      <c r="M20" s="496">
        <v>46052</v>
      </c>
      <c r="N20" s="508"/>
      <c r="O20" s="499" t="s">
        <v>1058</v>
      </c>
      <c r="P20" s="499" t="s">
        <v>1058</v>
      </c>
      <c r="Q20" s="499" t="s">
        <v>1058</v>
      </c>
      <c r="R20" s="499" t="s">
        <v>1058</v>
      </c>
      <c r="S20" s="499" t="s">
        <v>1058</v>
      </c>
      <c r="T20" s="499" t="s">
        <v>1058</v>
      </c>
      <c r="U20" s="499" t="s">
        <v>1058</v>
      </c>
      <c r="V20" s="499" t="s">
        <v>1058</v>
      </c>
      <c r="W20" s="500"/>
      <c r="X20" s="501"/>
      <c r="Y20" s="509" t="s">
        <v>1058</v>
      </c>
      <c r="Z20" s="509" t="s">
        <v>1058</v>
      </c>
      <c r="AA20" s="503" t="s">
        <v>592</v>
      </c>
      <c r="AB20" s="503" t="s">
        <v>180</v>
      </c>
      <c r="AC20" s="503"/>
      <c r="AD20" s="503" t="s">
        <v>182</v>
      </c>
      <c r="AE20" s="503">
        <v>10</v>
      </c>
      <c r="AF20" s="504">
        <f t="shared" si="0"/>
        <v>46052</v>
      </c>
      <c r="AG20" s="503">
        <f t="shared" si="1"/>
        <v>1500</v>
      </c>
      <c r="AH20" s="503"/>
      <c r="AJ20" s="514"/>
    </row>
    <row r="21" spans="1:36" s="513" customFormat="1">
      <c r="A21" s="505">
        <v>1501</v>
      </c>
      <c r="B21" s="490"/>
      <c r="C21" s="505">
        <v>632</v>
      </c>
      <c r="D21" s="490"/>
      <c r="E21" s="505">
        <v>579</v>
      </c>
      <c r="F21" s="506" t="s">
        <v>182</v>
      </c>
      <c r="G21" s="492">
        <v>46042</v>
      </c>
      <c r="H21" s="492">
        <v>46052</v>
      </c>
      <c r="I21" s="492"/>
      <c r="J21" s="493" t="s">
        <v>1058</v>
      </c>
      <c r="K21" s="507">
        <v>46051</v>
      </c>
      <c r="L21" s="495">
        <v>46045</v>
      </c>
      <c r="M21" s="496">
        <v>46052</v>
      </c>
      <c r="N21" s="508"/>
      <c r="O21" s="499" t="s">
        <v>1058</v>
      </c>
      <c r="P21" s="499" t="s">
        <v>1058</v>
      </c>
      <c r="Q21" s="499" t="s">
        <v>1058</v>
      </c>
      <c r="R21" s="499" t="s">
        <v>1058</v>
      </c>
      <c r="S21" s="499" t="s">
        <v>1058</v>
      </c>
      <c r="T21" s="499" t="s">
        <v>1058</v>
      </c>
      <c r="U21" s="499" t="s">
        <v>1058</v>
      </c>
      <c r="V21" s="499" t="s">
        <v>1058</v>
      </c>
      <c r="W21" s="500"/>
      <c r="X21" s="501"/>
      <c r="Y21" s="509" t="s">
        <v>1058</v>
      </c>
      <c r="Z21" s="509" t="s">
        <v>1058</v>
      </c>
      <c r="AA21" s="503" t="s">
        <v>590</v>
      </c>
      <c r="AB21" s="503" t="s">
        <v>180</v>
      </c>
      <c r="AC21" s="503"/>
      <c r="AD21" s="503" t="s">
        <v>182</v>
      </c>
      <c r="AE21" s="503">
        <v>10</v>
      </c>
      <c r="AF21" s="504">
        <f t="shared" si="0"/>
        <v>46052</v>
      </c>
      <c r="AG21" s="503">
        <f t="shared" si="1"/>
        <v>1501</v>
      </c>
      <c r="AH21" s="503"/>
      <c r="AJ21" s="514"/>
    </row>
    <row r="22" spans="1:36" s="513" customFormat="1">
      <c r="A22" s="505">
        <v>1502</v>
      </c>
      <c r="B22" s="505">
        <v>873</v>
      </c>
      <c r="C22" s="490"/>
      <c r="D22" s="505">
        <v>926</v>
      </c>
      <c r="E22" s="490"/>
      <c r="F22" s="506" t="s">
        <v>465</v>
      </c>
      <c r="G22" s="492">
        <v>46042</v>
      </c>
      <c r="H22" s="492">
        <v>46052</v>
      </c>
      <c r="I22" s="492"/>
      <c r="J22" s="508"/>
      <c r="K22" s="507">
        <v>46051</v>
      </c>
      <c r="L22" s="495">
        <v>46045</v>
      </c>
      <c r="M22" s="496">
        <v>46052</v>
      </c>
      <c r="N22" s="508"/>
      <c r="O22" s="499" t="s">
        <v>1058</v>
      </c>
      <c r="P22" s="499" t="s">
        <v>1058</v>
      </c>
      <c r="Q22" s="499" t="s">
        <v>1058</v>
      </c>
      <c r="R22" s="499" t="s">
        <v>1058</v>
      </c>
      <c r="S22" s="499" t="s">
        <v>1058</v>
      </c>
      <c r="T22" s="499" t="s">
        <v>1058</v>
      </c>
      <c r="U22" s="499" t="s">
        <v>1058</v>
      </c>
      <c r="V22" s="499" t="s">
        <v>1058</v>
      </c>
      <c r="W22" s="511" t="s">
        <v>1058</v>
      </c>
      <c r="X22" s="512" t="s">
        <v>1058</v>
      </c>
      <c r="Y22" s="498"/>
      <c r="Z22" s="509" t="s">
        <v>1058</v>
      </c>
      <c r="AA22" s="503" t="s">
        <v>964</v>
      </c>
      <c r="AB22" s="503" t="s">
        <v>580</v>
      </c>
      <c r="AC22" s="503"/>
      <c r="AD22" s="503" t="s">
        <v>465</v>
      </c>
      <c r="AE22" s="503">
        <v>11</v>
      </c>
      <c r="AF22" s="504">
        <f t="shared" si="0"/>
        <v>46052</v>
      </c>
      <c r="AG22" s="503">
        <f t="shared" si="1"/>
        <v>1502</v>
      </c>
      <c r="AH22" s="503"/>
      <c r="AJ22" s="514"/>
    </row>
    <row r="23" spans="1:36" s="513" customFormat="1">
      <c r="A23" s="505">
        <v>1503</v>
      </c>
      <c r="B23" s="490"/>
      <c r="C23" s="505">
        <v>633</v>
      </c>
      <c r="D23" s="490"/>
      <c r="E23" s="505">
        <v>580</v>
      </c>
      <c r="F23" s="506" t="s">
        <v>182</v>
      </c>
      <c r="G23" s="492">
        <v>46043</v>
      </c>
      <c r="H23" s="492">
        <v>46055</v>
      </c>
      <c r="I23" s="492"/>
      <c r="J23" s="493" t="s">
        <v>1058</v>
      </c>
      <c r="K23" s="507">
        <v>46052</v>
      </c>
      <c r="L23" s="495">
        <v>46048</v>
      </c>
      <c r="M23" s="496">
        <v>46055</v>
      </c>
      <c r="N23" s="508"/>
      <c r="O23" s="499" t="s">
        <v>1058</v>
      </c>
      <c r="P23" s="499" t="s">
        <v>1058</v>
      </c>
      <c r="Q23" s="499" t="s">
        <v>1058</v>
      </c>
      <c r="R23" s="499" t="s">
        <v>1058</v>
      </c>
      <c r="S23" s="499" t="s">
        <v>1058</v>
      </c>
      <c r="T23" s="499" t="s">
        <v>1058</v>
      </c>
      <c r="U23" s="499" t="s">
        <v>1058</v>
      </c>
      <c r="V23" s="499" t="s">
        <v>1058</v>
      </c>
      <c r="W23" s="500"/>
      <c r="X23" s="501"/>
      <c r="Y23" s="509" t="s">
        <v>1058</v>
      </c>
      <c r="Z23" s="509" t="s">
        <v>1058</v>
      </c>
      <c r="AA23" s="503" t="s">
        <v>593</v>
      </c>
      <c r="AB23" s="503" t="s">
        <v>180</v>
      </c>
      <c r="AC23" s="503"/>
      <c r="AD23" s="503" t="s">
        <v>182</v>
      </c>
      <c r="AE23" s="503">
        <v>10</v>
      </c>
      <c r="AF23" s="504">
        <f t="shared" si="0"/>
        <v>46055</v>
      </c>
      <c r="AG23" s="503">
        <f t="shared" si="1"/>
        <v>1503</v>
      </c>
      <c r="AH23" s="503"/>
      <c r="AJ23" s="514"/>
    </row>
    <row r="24" spans="1:36" s="513" customFormat="1">
      <c r="A24" s="505">
        <v>1504</v>
      </c>
      <c r="B24" s="505">
        <v>874</v>
      </c>
      <c r="C24" s="490"/>
      <c r="D24" s="505">
        <v>927</v>
      </c>
      <c r="E24" s="490"/>
      <c r="F24" s="506" t="s">
        <v>465</v>
      </c>
      <c r="G24" s="492">
        <v>46042</v>
      </c>
      <c r="H24" s="492">
        <v>46055</v>
      </c>
      <c r="I24" s="492"/>
      <c r="J24" s="508"/>
      <c r="K24" s="507">
        <v>46052</v>
      </c>
      <c r="L24" s="495">
        <v>46048</v>
      </c>
      <c r="M24" s="496">
        <v>46055</v>
      </c>
      <c r="N24" s="508"/>
      <c r="O24" s="499" t="s">
        <v>1058</v>
      </c>
      <c r="P24" s="499" t="s">
        <v>1058</v>
      </c>
      <c r="Q24" s="499" t="s">
        <v>1058</v>
      </c>
      <c r="R24" s="499" t="s">
        <v>1058</v>
      </c>
      <c r="S24" s="499" t="s">
        <v>1058</v>
      </c>
      <c r="T24" s="499" t="s">
        <v>1058</v>
      </c>
      <c r="U24" s="499" t="s">
        <v>1058</v>
      </c>
      <c r="V24" s="499" t="s">
        <v>1058</v>
      </c>
      <c r="W24" s="511" t="s">
        <v>1058</v>
      </c>
      <c r="X24" s="512" t="s">
        <v>1058</v>
      </c>
      <c r="Y24" s="498"/>
      <c r="Z24" s="509" t="s">
        <v>1058</v>
      </c>
      <c r="AA24" s="503" t="s">
        <v>965</v>
      </c>
      <c r="AB24" s="503" t="s">
        <v>580</v>
      </c>
      <c r="AC24" s="503"/>
      <c r="AD24" s="503" t="s">
        <v>465</v>
      </c>
      <c r="AE24" s="503">
        <v>11</v>
      </c>
      <c r="AF24" s="504">
        <f t="shared" si="0"/>
        <v>46055</v>
      </c>
      <c r="AG24" s="503">
        <f t="shared" si="1"/>
        <v>1504</v>
      </c>
      <c r="AH24" s="503"/>
      <c r="AJ24" s="514"/>
    </row>
    <row r="25" spans="1:36" s="513" customFormat="1">
      <c r="A25" s="505">
        <v>1505</v>
      </c>
      <c r="B25" s="505">
        <v>875</v>
      </c>
      <c r="C25" s="490"/>
      <c r="D25" s="505">
        <v>928</v>
      </c>
      <c r="E25" s="490"/>
      <c r="F25" s="506" t="s">
        <v>465</v>
      </c>
      <c r="G25" s="492">
        <v>46042</v>
      </c>
      <c r="H25" s="492">
        <v>46055</v>
      </c>
      <c r="I25" s="492"/>
      <c r="J25" s="515"/>
      <c r="K25" s="507">
        <v>46052</v>
      </c>
      <c r="L25" s="495">
        <v>46048</v>
      </c>
      <c r="M25" s="496">
        <v>46055</v>
      </c>
      <c r="N25" s="508"/>
      <c r="O25" s="499" t="s">
        <v>1058</v>
      </c>
      <c r="P25" s="499" t="s">
        <v>1058</v>
      </c>
      <c r="Q25" s="499" t="s">
        <v>1058</v>
      </c>
      <c r="R25" s="499" t="s">
        <v>1058</v>
      </c>
      <c r="S25" s="499" t="s">
        <v>1058</v>
      </c>
      <c r="T25" s="499" t="s">
        <v>1058</v>
      </c>
      <c r="U25" s="499" t="s">
        <v>1058</v>
      </c>
      <c r="V25" s="499" t="s">
        <v>1058</v>
      </c>
      <c r="W25" s="511" t="s">
        <v>1058</v>
      </c>
      <c r="X25" s="512" t="s">
        <v>1058</v>
      </c>
      <c r="Y25" s="498"/>
      <c r="Z25" s="509" t="s">
        <v>1058</v>
      </c>
      <c r="AA25" s="503" t="s">
        <v>966</v>
      </c>
      <c r="AB25" s="503" t="s">
        <v>580</v>
      </c>
      <c r="AC25" s="503"/>
      <c r="AD25" s="503" t="s">
        <v>465</v>
      </c>
      <c r="AE25" s="503">
        <v>11</v>
      </c>
      <c r="AF25" s="504">
        <f t="shared" si="0"/>
        <v>46055</v>
      </c>
      <c r="AG25" s="503">
        <f t="shared" si="1"/>
        <v>1505</v>
      </c>
      <c r="AH25" s="503"/>
      <c r="AJ25" s="514"/>
    </row>
    <row r="26" spans="1:36" s="513" customFormat="1">
      <c r="A26" s="505">
        <v>1506</v>
      </c>
      <c r="B26" s="505">
        <v>876</v>
      </c>
      <c r="C26" s="490"/>
      <c r="D26" s="505">
        <v>929</v>
      </c>
      <c r="E26" s="490"/>
      <c r="F26" s="506" t="s">
        <v>465</v>
      </c>
      <c r="G26" s="492">
        <v>46044</v>
      </c>
      <c r="H26" s="492">
        <v>46056</v>
      </c>
      <c r="I26" s="492"/>
      <c r="J26" s="493" t="s">
        <v>1058</v>
      </c>
      <c r="K26" s="507">
        <v>46055</v>
      </c>
      <c r="L26" s="495">
        <v>46049</v>
      </c>
      <c r="M26" s="496">
        <v>46056</v>
      </c>
      <c r="N26" s="508"/>
      <c r="O26" s="499" t="s">
        <v>1058</v>
      </c>
      <c r="P26" s="499" t="s">
        <v>1058</v>
      </c>
      <c r="Q26" s="499" t="s">
        <v>1058</v>
      </c>
      <c r="R26" s="499" t="s">
        <v>1058</v>
      </c>
      <c r="S26" s="499" t="s">
        <v>1058</v>
      </c>
      <c r="T26" s="499" t="s">
        <v>1058</v>
      </c>
      <c r="U26" s="499" t="s">
        <v>1058</v>
      </c>
      <c r="V26" s="499" t="s">
        <v>1058</v>
      </c>
      <c r="W26" s="511" t="s">
        <v>1058</v>
      </c>
      <c r="X26" s="512" t="s">
        <v>1058</v>
      </c>
      <c r="Y26" s="498"/>
      <c r="Z26" s="509" t="s">
        <v>1058</v>
      </c>
      <c r="AA26" s="503" t="s">
        <v>594</v>
      </c>
      <c r="AB26" s="503" t="s">
        <v>595</v>
      </c>
      <c r="AC26" s="503"/>
      <c r="AD26" s="503" t="s">
        <v>596</v>
      </c>
      <c r="AE26" s="503">
        <v>11</v>
      </c>
      <c r="AF26" s="504">
        <f t="shared" si="0"/>
        <v>46056</v>
      </c>
      <c r="AG26" s="503">
        <f t="shared" si="1"/>
        <v>1506</v>
      </c>
      <c r="AH26" s="503"/>
      <c r="AJ26" s="514"/>
    </row>
    <row r="27" spans="1:36" s="513" customFormat="1">
      <c r="A27" s="505">
        <v>1507</v>
      </c>
      <c r="B27" s="490"/>
      <c r="C27" s="505">
        <v>634</v>
      </c>
      <c r="D27" s="490"/>
      <c r="E27" s="505">
        <v>581</v>
      </c>
      <c r="F27" s="506" t="s">
        <v>182</v>
      </c>
      <c r="G27" s="492">
        <v>46044</v>
      </c>
      <c r="H27" s="492">
        <v>46056</v>
      </c>
      <c r="I27" s="492"/>
      <c r="J27" s="493" t="s">
        <v>1058</v>
      </c>
      <c r="K27" s="507">
        <v>46055</v>
      </c>
      <c r="L27" s="495">
        <v>46049</v>
      </c>
      <c r="M27" s="496">
        <v>46056</v>
      </c>
      <c r="N27" s="508"/>
      <c r="O27" s="499" t="s">
        <v>1058</v>
      </c>
      <c r="P27" s="499" t="s">
        <v>1058</v>
      </c>
      <c r="Q27" s="499" t="s">
        <v>1058</v>
      </c>
      <c r="R27" s="499" t="s">
        <v>1058</v>
      </c>
      <c r="S27" s="499" t="s">
        <v>1058</v>
      </c>
      <c r="T27" s="499" t="s">
        <v>1058</v>
      </c>
      <c r="U27" s="499" t="s">
        <v>1058</v>
      </c>
      <c r="V27" s="499" t="s">
        <v>1058</v>
      </c>
      <c r="W27" s="500"/>
      <c r="X27" s="501"/>
      <c r="Y27" s="509" t="s">
        <v>1058</v>
      </c>
      <c r="Z27" s="509" t="s">
        <v>1058</v>
      </c>
      <c r="AA27" s="503" t="s">
        <v>598</v>
      </c>
      <c r="AB27" s="503" t="s">
        <v>180</v>
      </c>
      <c r="AC27" s="503"/>
      <c r="AD27" s="503" t="s">
        <v>182</v>
      </c>
      <c r="AE27" s="503">
        <v>10</v>
      </c>
      <c r="AF27" s="504">
        <f t="shared" si="0"/>
        <v>46056</v>
      </c>
      <c r="AG27" s="503">
        <f t="shared" si="1"/>
        <v>1507</v>
      </c>
      <c r="AH27" s="503"/>
      <c r="AJ27" s="514"/>
    </row>
    <row r="28" spans="1:36" s="513" customFormat="1">
      <c r="A28" s="505">
        <v>1508</v>
      </c>
      <c r="B28" s="505">
        <v>877</v>
      </c>
      <c r="C28" s="490"/>
      <c r="D28" s="505">
        <v>930</v>
      </c>
      <c r="E28" s="490"/>
      <c r="F28" s="506" t="s">
        <v>465</v>
      </c>
      <c r="G28" s="492">
        <v>46042</v>
      </c>
      <c r="H28" s="492">
        <v>46056</v>
      </c>
      <c r="I28" s="492"/>
      <c r="J28" s="508"/>
      <c r="K28" s="507">
        <v>46055</v>
      </c>
      <c r="L28" s="495">
        <v>46049</v>
      </c>
      <c r="M28" s="496">
        <v>46056</v>
      </c>
      <c r="N28" s="508"/>
      <c r="O28" s="499" t="s">
        <v>1058</v>
      </c>
      <c r="P28" s="499" t="s">
        <v>1058</v>
      </c>
      <c r="Q28" s="499" t="s">
        <v>1058</v>
      </c>
      <c r="R28" s="499" t="s">
        <v>1058</v>
      </c>
      <c r="S28" s="499" t="s">
        <v>1058</v>
      </c>
      <c r="T28" s="499" t="s">
        <v>1058</v>
      </c>
      <c r="U28" s="499" t="s">
        <v>1058</v>
      </c>
      <c r="V28" s="499" t="s">
        <v>1058</v>
      </c>
      <c r="W28" s="511" t="s">
        <v>1058</v>
      </c>
      <c r="X28" s="512" t="s">
        <v>1058</v>
      </c>
      <c r="Y28" s="498"/>
      <c r="Z28" s="509" t="s">
        <v>1058</v>
      </c>
      <c r="AA28" s="503" t="s">
        <v>967</v>
      </c>
      <c r="AB28" s="503" t="s">
        <v>580</v>
      </c>
      <c r="AC28" s="503"/>
      <c r="AD28" s="503" t="s">
        <v>465</v>
      </c>
      <c r="AE28" s="503">
        <v>11</v>
      </c>
      <c r="AF28" s="504">
        <f t="shared" si="0"/>
        <v>46056</v>
      </c>
      <c r="AG28" s="503">
        <f t="shared" si="1"/>
        <v>1508</v>
      </c>
      <c r="AH28" s="503"/>
      <c r="AJ28" s="514"/>
    </row>
    <row r="29" spans="1:36" s="513" customFormat="1">
      <c r="A29" s="505">
        <v>1509</v>
      </c>
      <c r="B29" s="490"/>
      <c r="C29" s="505">
        <v>635</v>
      </c>
      <c r="D29" s="490"/>
      <c r="E29" s="505">
        <v>582</v>
      </c>
      <c r="F29" s="506" t="s">
        <v>182</v>
      </c>
      <c r="G29" s="492">
        <v>46045</v>
      </c>
      <c r="H29" s="492">
        <v>46057</v>
      </c>
      <c r="I29" s="492"/>
      <c r="J29" s="493" t="s">
        <v>1058</v>
      </c>
      <c r="K29" s="507">
        <v>46056</v>
      </c>
      <c r="L29" s="495">
        <v>46050</v>
      </c>
      <c r="M29" s="496">
        <v>46057</v>
      </c>
      <c r="N29" s="508"/>
      <c r="O29" s="499" t="s">
        <v>1058</v>
      </c>
      <c r="P29" s="499" t="s">
        <v>1058</v>
      </c>
      <c r="Q29" s="499" t="s">
        <v>1058</v>
      </c>
      <c r="R29" s="499" t="s">
        <v>1058</v>
      </c>
      <c r="S29" s="499" t="s">
        <v>1058</v>
      </c>
      <c r="T29" s="499" t="s">
        <v>1058</v>
      </c>
      <c r="U29" s="499" t="s">
        <v>1058</v>
      </c>
      <c r="V29" s="499" t="s">
        <v>1058</v>
      </c>
      <c r="W29" s="500"/>
      <c r="X29" s="501"/>
      <c r="Y29" s="509" t="s">
        <v>1058</v>
      </c>
      <c r="Z29" s="509" t="s">
        <v>1058</v>
      </c>
      <c r="AA29" s="503" t="s">
        <v>599</v>
      </c>
      <c r="AB29" s="503" t="s">
        <v>180</v>
      </c>
      <c r="AC29" s="503"/>
      <c r="AD29" s="503" t="s">
        <v>182</v>
      </c>
      <c r="AE29" s="503">
        <v>10</v>
      </c>
      <c r="AF29" s="504">
        <f t="shared" si="0"/>
        <v>46057</v>
      </c>
      <c r="AG29" s="503">
        <f t="shared" si="1"/>
        <v>1509</v>
      </c>
      <c r="AH29" s="503"/>
      <c r="AJ29" s="514"/>
    </row>
    <row r="30" spans="1:36" s="513" customFormat="1">
      <c r="A30" s="505">
        <v>1510</v>
      </c>
      <c r="B30" s="490"/>
      <c r="C30" s="505">
        <v>636</v>
      </c>
      <c r="D30" s="490"/>
      <c r="E30" s="505">
        <v>583</v>
      </c>
      <c r="F30" s="506" t="s">
        <v>182</v>
      </c>
      <c r="G30" s="492">
        <v>46045</v>
      </c>
      <c r="H30" s="492">
        <v>46057</v>
      </c>
      <c r="I30" s="492"/>
      <c r="J30" s="493" t="s">
        <v>1058</v>
      </c>
      <c r="K30" s="507">
        <v>46056</v>
      </c>
      <c r="L30" s="495">
        <v>46050</v>
      </c>
      <c r="M30" s="496">
        <v>46057</v>
      </c>
      <c r="N30" s="508"/>
      <c r="O30" s="499" t="s">
        <v>1058</v>
      </c>
      <c r="P30" s="499" t="s">
        <v>1058</v>
      </c>
      <c r="Q30" s="499" t="s">
        <v>1058</v>
      </c>
      <c r="R30" s="499" t="s">
        <v>1058</v>
      </c>
      <c r="S30" s="499" t="s">
        <v>1058</v>
      </c>
      <c r="T30" s="499" t="s">
        <v>1058</v>
      </c>
      <c r="U30" s="499" t="s">
        <v>1058</v>
      </c>
      <c r="V30" s="499" t="s">
        <v>1058</v>
      </c>
      <c r="W30" s="500"/>
      <c r="X30" s="501"/>
      <c r="Y30" s="509" t="s">
        <v>1058</v>
      </c>
      <c r="Z30" s="509" t="s">
        <v>1058</v>
      </c>
      <c r="AA30" s="503" t="s">
        <v>600</v>
      </c>
      <c r="AB30" s="503" t="s">
        <v>180</v>
      </c>
      <c r="AC30" s="503"/>
      <c r="AD30" s="503" t="s">
        <v>182</v>
      </c>
      <c r="AE30" s="503">
        <v>10</v>
      </c>
      <c r="AF30" s="504">
        <f t="shared" si="0"/>
        <v>46057</v>
      </c>
      <c r="AG30" s="503">
        <f t="shared" si="1"/>
        <v>1510</v>
      </c>
      <c r="AH30" s="503"/>
      <c r="AJ30" s="514"/>
    </row>
    <row r="31" spans="1:36" s="513" customFormat="1">
      <c r="A31" s="505">
        <v>1511</v>
      </c>
      <c r="B31" s="490"/>
      <c r="C31" s="505">
        <v>637</v>
      </c>
      <c r="D31" s="490"/>
      <c r="E31" s="505">
        <v>584</v>
      </c>
      <c r="F31" s="506" t="s">
        <v>182</v>
      </c>
      <c r="G31" s="492">
        <v>46048</v>
      </c>
      <c r="H31" s="492">
        <v>46058</v>
      </c>
      <c r="I31" s="492"/>
      <c r="J31" s="493" t="s">
        <v>1058</v>
      </c>
      <c r="K31" s="507">
        <v>46057</v>
      </c>
      <c r="L31" s="495">
        <v>46051</v>
      </c>
      <c r="M31" s="496">
        <v>46058</v>
      </c>
      <c r="N31" s="508"/>
      <c r="O31" s="499" t="s">
        <v>1058</v>
      </c>
      <c r="P31" s="499" t="s">
        <v>1058</v>
      </c>
      <c r="Q31" s="499" t="s">
        <v>1058</v>
      </c>
      <c r="R31" s="499" t="s">
        <v>1058</v>
      </c>
      <c r="S31" s="499" t="s">
        <v>1058</v>
      </c>
      <c r="T31" s="499" t="s">
        <v>1058</v>
      </c>
      <c r="U31" s="499" t="s">
        <v>1058</v>
      </c>
      <c r="V31" s="499" t="s">
        <v>1058</v>
      </c>
      <c r="W31" s="500"/>
      <c r="X31" s="501"/>
      <c r="Y31" s="509" t="s">
        <v>1058</v>
      </c>
      <c r="Z31" s="509" t="s">
        <v>1058</v>
      </c>
      <c r="AA31" s="503" t="s">
        <v>602</v>
      </c>
      <c r="AB31" s="503" t="s">
        <v>180</v>
      </c>
      <c r="AC31" s="503"/>
      <c r="AD31" s="503" t="s">
        <v>182</v>
      </c>
      <c r="AE31" s="503">
        <v>10</v>
      </c>
      <c r="AF31" s="504">
        <f t="shared" si="0"/>
        <v>46058</v>
      </c>
      <c r="AG31" s="503">
        <f t="shared" si="1"/>
        <v>1511</v>
      </c>
      <c r="AH31" s="503"/>
      <c r="AJ31" s="514"/>
    </row>
    <row r="32" spans="1:36" s="513" customFormat="1">
      <c r="A32" s="505">
        <v>1512</v>
      </c>
      <c r="B32" s="490"/>
      <c r="C32" s="505">
        <v>638</v>
      </c>
      <c r="D32" s="490"/>
      <c r="E32" s="505">
        <v>585</v>
      </c>
      <c r="F32" s="506" t="s">
        <v>182</v>
      </c>
      <c r="G32" s="492">
        <v>46048</v>
      </c>
      <c r="H32" s="492">
        <v>46058</v>
      </c>
      <c r="I32" s="492"/>
      <c r="J32" s="493" t="s">
        <v>1058</v>
      </c>
      <c r="K32" s="507">
        <v>46057</v>
      </c>
      <c r="L32" s="495">
        <v>46051</v>
      </c>
      <c r="M32" s="496">
        <v>46058</v>
      </c>
      <c r="N32" s="508"/>
      <c r="O32" s="499" t="s">
        <v>1058</v>
      </c>
      <c r="P32" s="499" t="s">
        <v>1058</v>
      </c>
      <c r="Q32" s="499" t="s">
        <v>1058</v>
      </c>
      <c r="R32" s="499" t="s">
        <v>1058</v>
      </c>
      <c r="S32" s="499" t="s">
        <v>1058</v>
      </c>
      <c r="T32" s="499" t="s">
        <v>1058</v>
      </c>
      <c r="U32" s="499" t="s">
        <v>1058</v>
      </c>
      <c r="V32" s="499" t="s">
        <v>1058</v>
      </c>
      <c r="W32" s="500"/>
      <c r="X32" s="501"/>
      <c r="Y32" s="509" t="s">
        <v>1058</v>
      </c>
      <c r="Z32" s="509" t="s">
        <v>1058</v>
      </c>
      <c r="AA32" s="503" t="s">
        <v>601</v>
      </c>
      <c r="AB32" s="503" t="s">
        <v>180</v>
      </c>
      <c r="AC32" s="503"/>
      <c r="AD32" s="503" t="s">
        <v>182</v>
      </c>
      <c r="AE32" s="503">
        <v>10</v>
      </c>
      <c r="AF32" s="504">
        <f t="shared" si="0"/>
        <v>46058</v>
      </c>
      <c r="AG32" s="503">
        <f t="shared" si="1"/>
        <v>1512</v>
      </c>
      <c r="AH32" s="503"/>
      <c r="AJ32" s="514"/>
    </row>
    <row r="33" spans="1:36" s="513" customFormat="1">
      <c r="A33" s="505">
        <v>1513</v>
      </c>
      <c r="B33" s="490"/>
      <c r="C33" s="505">
        <v>639</v>
      </c>
      <c r="D33" s="490"/>
      <c r="E33" s="505">
        <v>586</v>
      </c>
      <c r="F33" s="506" t="s">
        <v>182</v>
      </c>
      <c r="G33" s="492">
        <v>46049</v>
      </c>
      <c r="H33" s="492">
        <v>46059</v>
      </c>
      <c r="I33" s="492"/>
      <c r="J33" s="493" t="s">
        <v>1058</v>
      </c>
      <c r="K33" s="507">
        <v>46058</v>
      </c>
      <c r="L33" s="495">
        <v>46052</v>
      </c>
      <c r="M33" s="496">
        <v>46059</v>
      </c>
      <c r="N33" s="508"/>
      <c r="O33" s="499" t="s">
        <v>1058</v>
      </c>
      <c r="P33" s="499" t="s">
        <v>1058</v>
      </c>
      <c r="Q33" s="499" t="s">
        <v>1058</v>
      </c>
      <c r="R33" s="499" t="s">
        <v>1058</v>
      </c>
      <c r="S33" s="499" t="s">
        <v>1058</v>
      </c>
      <c r="T33" s="499" t="s">
        <v>1058</v>
      </c>
      <c r="U33" s="499" t="s">
        <v>1058</v>
      </c>
      <c r="V33" s="499" t="s">
        <v>1058</v>
      </c>
      <c r="W33" s="500"/>
      <c r="X33" s="501"/>
      <c r="Y33" s="509" t="s">
        <v>1058</v>
      </c>
      <c r="Z33" s="509" t="s">
        <v>1058</v>
      </c>
      <c r="AA33" s="503" t="s">
        <v>604</v>
      </c>
      <c r="AB33" s="503" t="s">
        <v>180</v>
      </c>
      <c r="AC33" s="503"/>
      <c r="AD33" s="503" t="s">
        <v>182</v>
      </c>
      <c r="AE33" s="503">
        <v>10</v>
      </c>
      <c r="AF33" s="504">
        <f t="shared" si="0"/>
        <v>46059</v>
      </c>
      <c r="AG33" s="503">
        <f t="shared" si="1"/>
        <v>1513</v>
      </c>
      <c r="AH33" s="503"/>
      <c r="AJ33" s="514"/>
    </row>
    <row r="34" spans="1:36" s="513" customFormat="1">
      <c r="A34" s="505">
        <v>1514</v>
      </c>
      <c r="B34" s="490"/>
      <c r="C34" s="505">
        <v>640</v>
      </c>
      <c r="D34" s="490"/>
      <c r="E34" s="505">
        <v>587</v>
      </c>
      <c r="F34" s="506" t="s">
        <v>182</v>
      </c>
      <c r="G34" s="492">
        <v>46049</v>
      </c>
      <c r="H34" s="492">
        <v>46059</v>
      </c>
      <c r="I34" s="492"/>
      <c r="J34" s="493" t="s">
        <v>1058</v>
      </c>
      <c r="K34" s="507">
        <v>46058</v>
      </c>
      <c r="L34" s="495">
        <v>46052</v>
      </c>
      <c r="M34" s="496">
        <v>46059</v>
      </c>
      <c r="N34" s="508"/>
      <c r="O34" s="499" t="s">
        <v>1058</v>
      </c>
      <c r="P34" s="499" t="s">
        <v>1058</v>
      </c>
      <c r="Q34" s="499" t="s">
        <v>1058</v>
      </c>
      <c r="R34" s="499" t="s">
        <v>1058</v>
      </c>
      <c r="S34" s="499" t="s">
        <v>1058</v>
      </c>
      <c r="T34" s="499" t="s">
        <v>1058</v>
      </c>
      <c r="U34" s="499" t="s">
        <v>1058</v>
      </c>
      <c r="V34" s="499" t="s">
        <v>1058</v>
      </c>
      <c r="W34" s="500"/>
      <c r="X34" s="501"/>
      <c r="Y34" s="509" t="s">
        <v>1058</v>
      </c>
      <c r="Z34" s="509" t="s">
        <v>1058</v>
      </c>
      <c r="AA34" s="503" t="s">
        <v>603</v>
      </c>
      <c r="AB34" s="503" t="s">
        <v>180</v>
      </c>
      <c r="AC34" s="503"/>
      <c r="AD34" s="503" t="s">
        <v>182</v>
      </c>
      <c r="AE34" s="503">
        <v>10</v>
      </c>
      <c r="AF34" s="504">
        <f t="shared" ref="AF34:AF65" si="2">H34</f>
        <v>46059</v>
      </c>
      <c r="AG34" s="503">
        <f t="shared" ref="AG34:AG65" si="3">A34</f>
        <v>1514</v>
      </c>
      <c r="AH34" s="503"/>
      <c r="AJ34" s="514"/>
    </row>
    <row r="35" spans="1:36" s="513" customFormat="1">
      <c r="A35" s="505">
        <v>1515</v>
      </c>
      <c r="B35" s="490"/>
      <c r="C35" s="505">
        <v>641</v>
      </c>
      <c r="D35" s="490"/>
      <c r="E35" s="505">
        <v>588</v>
      </c>
      <c r="F35" s="506" t="s">
        <v>182</v>
      </c>
      <c r="G35" s="492">
        <v>46050</v>
      </c>
      <c r="H35" s="492">
        <v>46062</v>
      </c>
      <c r="I35" s="492"/>
      <c r="J35" s="493" t="s">
        <v>1058</v>
      </c>
      <c r="K35" s="507">
        <v>46059</v>
      </c>
      <c r="L35" s="495">
        <v>46055</v>
      </c>
      <c r="M35" s="496">
        <v>46062</v>
      </c>
      <c r="N35" s="508"/>
      <c r="O35" s="499" t="s">
        <v>1058</v>
      </c>
      <c r="P35" s="499" t="s">
        <v>1058</v>
      </c>
      <c r="Q35" s="499" t="s">
        <v>1058</v>
      </c>
      <c r="R35" s="499" t="s">
        <v>1058</v>
      </c>
      <c r="S35" s="499" t="s">
        <v>1058</v>
      </c>
      <c r="T35" s="499" t="s">
        <v>1058</v>
      </c>
      <c r="U35" s="499" t="s">
        <v>1058</v>
      </c>
      <c r="V35" s="499" t="s">
        <v>1058</v>
      </c>
      <c r="W35" s="500"/>
      <c r="X35" s="501"/>
      <c r="Y35" s="509" t="s">
        <v>1058</v>
      </c>
      <c r="Z35" s="509" t="s">
        <v>1058</v>
      </c>
      <c r="AA35" s="503" t="s">
        <v>606</v>
      </c>
      <c r="AB35" s="503" t="s">
        <v>180</v>
      </c>
      <c r="AC35" s="503"/>
      <c r="AD35" s="503" t="s">
        <v>182</v>
      </c>
      <c r="AE35" s="503">
        <v>10</v>
      </c>
      <c r="AF35" s="504">
        <f t="shared" si="2"/>
        <v>46062</v>
      </c>
      <c r="AG35" s="503">
        <f t="shared" si="3"/>
        <v>1515</v>
      </c>
      <c r="AH35" s="503"/>
      <c r="AJ35" s="514"/>
    </row>
    <row r="36" spans="1:36" s="513" customFormat="1">
      <c r="A36" s="505">
        <v>1516</v>
      </c>
      <c r="B36" s="490"/>
      <c r="C36" s="505">
        <v>642</v>
      </c>
      <c r="D36" s="490"/>
      <c r="E36" s="505">
        <v>589</v>
      </c>
      <c r="F36" s="506" t="s">
        <v>182</v>
      </c>
      <c r="G36" s="492">
        <v>46050</v>
      </c>
      <c r="H36" s="492">
        <v>46062</v>
      </c>
      <c r="I36" s="492"/>
      <c r="J36" s="493" t="s">
        <v>1058</v>
      </c>
      <c r="K36" s="507">
        <v>46059</v>
      </c>
      <c r="L36" s="495">
        <v>46055</v>
      </c>
      <c r="M36" s="496">
        <v>46062</v>
      </c>
      <c r="N36" s="508"/>
      <c r="O36" s="499" t="s">
        <v>1058</v>
      </c>
      <c r="P36" s="499" t="s">
        <v>1058</v>
      </c>
      <c r="Q36" s="499" t="s">
        <v>1058</v>
      </c>
      <c r="R36" s="499" t="s">
        <v>1058</v>
      </c>
      <c r="S36" s="499" t="s">
        <v>1058</v>
      </c>
      <c r="T36" s="499" t="s">
        <v>1058</v>
      </c>
      <c r="U36" s="499" t="s">
        <v>1058</v>
      </c>
      <c r="V36" s="499" t="s">
        <v>1058</v>
      </c>
      <c r="W36" s="500"/>
      <c r="X36" s="501"/>
      <c r="Y36" s="509" t="s">
        <v>1058</v>
      </c>
      <c r="Z36" s="509" t="s">
        <v>1058</v>
      </c>
      <c r="AA36" s="503" t="s">
        <v>605</v>
      </c>
      <c r="AB36" s="503" t="s">
        <v>180</v>
      </c>
      <c r="AC36" s="503"/>
      <c r="AD36" s="503" t="s">
        <v>182</v>
      </c>
      <c r="AE36" s="503">
        <v>10</v>
      </c>
      <c r="AF36" s="504">
        <f t="shared" si="2"/>
        <v>46062</v>
      </c>
      <c r="AG36" s="503">
        <f t="shared" si="3"/>
        <v>1516</v>
      </c>
      <c r="AH36" s="503"/>
      <c r="AJ36" s="514"/>
    </row>
    <row r="37" spans="1:36" s="513" customFormat="1">
      <c r="A37" s="505">
        <v>1517</v>
      </c>
      <c r="B37" s="490"/>
      <c r="C37" s="505">
        <v>643</v>
      </c>
      <c r="D37" s="490"/>
      <c r="E37" s="505">
        <v>590</v>
      </c>
      <c r="F37" s="506" t="s">
        <v>182</v>
      </c>
      <c r="G37" s="492">
        <v>46051</v>
      </c>
      <c r="H37" s="492">
        <v>46063</v>
      </c>
      <c r="I37" s="492"/>
      <c r="J37" s="493" t="s">
        <v>1058</v>
      </c>
      <c r="K37" s="507">
        <v>46062</v>
      </c>
      <c r="L37" s="495">
        <v>46056</v>
      </c>
      <c r="M37" s="496">
        <v>46063</v>
      </c>
      <c r="N37" s="508"/>
      <c r="O37" s="499" t="s">
        <v>1058</v>
      </c>
      <c r="P37" s="499" t="s">
        <v>1058</v>
      </c>
      <c r="Q37" s="499" t="s">
        <v>1058</v>
      </c>
      <c r="R37" s="499" t="s">
        <v>1058</v>
      </c>
      <c r="S37" s="499" t="s">
        <v>1058</v>
      </c>
      <c r="T37" s="499" t="s">
        <v>1058</v>
      </c>
      <c r="U37" s="499" t="s">
        <v>1058</v>
      </c>
      <c r="V37" s="499" t="s">
        <v>1058</v>
      </c>
      <c r="W37" s="500"/>
      <c r="X37" s="501"/>
      <c r="Y37" s="509" t="s">
        <v>1058</v>
      </c>
      <c r="Z37" s="509" t="s">
        <v>1058</v>
      </c>
      <c r="AA37" s="503" t="s">
        <v>607</v>
      </c>
      <c r="AB37" s="503" t="s">
        <v>180</v>
      </c>
      <c r="AC37" s="503"/>
      <c r="AD37" s="503" t="s">
        <v>182</v>
      </c>
      <c r="AE37" s="503">
        <v>10</v>
      </c>
      <c r="AF37" s="504">
        <f t="shared" si="2"/>
        <v>46063</v>
      </c>
      <c r="AG37" s="503">
        <f t="shared" si="3"/>
        <v>1517</v>
      </c>
      <c r="AH37" s="503"/>
      <c r="AJ37" s="514"/>
    </row>
    <row r="38" spans="1:36" s="513" customFormat="1">
      <c r="A38" s="505">
        <v>1518</v>
      </c>
      <c r="B38" s="490"/>
      <c r="C38" s="505">
        <v>644</v>
      </c>
      <c r="D38" s="490"/>
      <c r="E38" s="505">
        <v>591</v>
      </c>
      <c r="F38" s="506" t="s">
        <v>182</v>
      </c>
      <c r="G38" s="492">
        <v>46051</v>
      </c>
      <c r="H38" s="492">
        <v>46063</v>
      </c>
      <c r="I38" s="492"/>
      <c r="J38" s="493" t="s">
        <v>1058</v>
      </c>
      <c r="K38" s="507">
        <v>46062</v>
      </c>
      <c r="L38" s="495">
        <v>46056</v>
      </c>
      <c r="M38" s="496">
        <v>46063</v>
      </c>
      <c r="N38" s="508"/>
      <c r="O38" s="499" t="s">
        <v>1058</v>
      </c>
      <c r="P38" s="499" t="s">
        <v>1058</v>
      </c>
      <c r="Q38" s="499" t="s">
        <v>1058</v>
      </c>
      <c r="R38" s="499" t="s">
        <v>1058</v>
      </c>
      <c r="S38" s="499" t="s">
        <v>1058</v>
      </c>
      <c r="T38" s="499" t="s">
        <v>1058</v>
      </c>
      <c r="U38" s="499" t="s">
        <v>1058</v>
      </c>
      <c r="V38" s="499" t="s">
        <v>1058</v>
      </c>
      <c r="W38" s="500"/>
      <c r="X38" s="501"/>
      <c r="Y38" s="509" t="s">
        <v>1058</v>
      </c>
      <c r="Z38" s="509" t="s">
        <v>1058</v>
      </c>
      <c r="AA38" s="503" t="s">
        <v>608</v>
      </c>
      <c r="AB38" s="503" t="s">
        <v>180</v>
      </c>
      <c r="AC38" s="503"/>
      <c r="AD38" s="503" t="s">
        <v>182</v>
      </c>
      <c r="AE38" s="503">
        <v>10</v>
      </c>
      <c r="AF38" s="504">
        <f t="shared" si="2"/>
        <v>46063</v>
      </c>
      <c r="AG38" s="503">
        <f t="shared" si="3"/>
        <v>1518</v>
      </c>
      <c r="AH38" s="503"/>
      <c r="AJ38" s="514"/>
    </row>
    <row r="39" spans="1:36" s="513" customFormat="1">
      <c r="A39" s="505">
        <v>1519</v>
      </c>
      <c r="B39" s="490"/>
      <c r="C39" s="505">
        <v>645</v>
      </c>
      <c r="D39" s="490"/>
      <c r="E39" s="505">
        <v>592</v>
      </c>
      <c r="F39" s="506" t="s">
        <v>182</v>
      </c>
      <c r="G39" s="492">
        <v>46052</v>
      </c>
      <c r="H39" s="492">
        <v>46065</v>
      </c>
      <c r="I39" s="492"/>
      <c r="J39" s="493" t="s">
        <v>1058</v>
      </c>
      <c r="K39" s="507">
        <v>46063</v>
      </c>
      <c r="L39" s="495">
        <v>46057</v>
      </c>
      <c r="M39" s="496">
        <v>46065</v>
      </c>
      <c r="N39" s="508"/>
      <c r="O39" s="499" t="s">
        <v>1058</v>
      </c>
      <c r="P39" s="499" t="s">
        <v>1058</v>
      </c>
      <c r="Q39" s="499" t="s">
        <v>1058</v>
      </c>
      <c r="R39" s="499" t="s">
        <v>1058</v>
      </c>
      <c r="S39" s="499" t="s">
        <v>1058</v>
      </c>
      <c r="T39" s="499" t="s">
        <v>1058</v>
      </c>
      <c r="U39" s="499" t="s">
        <v>1058</v>
      </c>
      <c r="V39" s="499" t="s">
        <v>1058</v>
      </c>
      <c r="W39" s="500"/>
      <c r="X39" s="501"/>
      <c r="Y39" s="509" t="s">
        <v>1058</v>
      </c>
      <c r="Z39" s="509" t="s">
        <v>1058</v>
      </c>
      <c r="AA39" s="503" t="s">
        <v>610</v>
      </c>
      <c r="AB39" s="503" t="s">
        <v>180</v>
      </c>
      <c r="AC39" s="503"/>
      <c r="AD39" s="503" t="s">
        <v>182</v>
      </c>
      <c r="AE39" s="503">
        <v>10</v>
      </c>
      <c r="AF39" s="504">
        <f t="shared" si="2"/>
        <v>46065</v>
      </c>
      <c r="AG39" s="503">
        <f t="shared" si="3"/>
        <v>1519</v>
      </c>
      <c r="AH39" s="503"/>
      <c r="AJ39" s="514"/>
    </row>
    <row r="40" spans="1:36" s="513" customFormat="1">
      <c r="A40" s="505">
        <v>1520</v>
      </c>
      <c r="B40" s="490"/>
      <c r="C40" s="505">
        <v>646</v>
      </c>
      <c r="D40" s="490"/>
      <c r="E40" s="505">
        <v>593</v>
      </c>
      <c r="F40" s="506" t="s">
        <v>182</v>
      </c>
      <c r="G40" s="492">
        <v>46052</v>
      </c>
      <c r="H40" s="492">
        <v>46065</v>
      </c>
      <c r="I40" s="492"/>
      <c r="J40" s="493" t="s">
        <v>1058</v>
      </c>
      <c r="K40" s="507">
        <v>46063</v>
      </c>
      <c r="L40" s="495">
        <v>46057</v>
      </c>
      <c r="M40" s="496">
        <v>46065</v>
      </c>
      <c r="N40" s="508"/>
      <c r="O40" s="499" t="s">
        <v>1058</v>
      </c>
      <c r="P40" s="499" t="s">
        <v>1058</v>
      </c>
      <c r="Q40" s="499" t="s">
        <v>1058</v>
      </c>
      <c r="R40" s="499" t="s">
        <v>1058</v>
      </c>
      <c r="S40" s="499" t="s">
        <v>1058</v>
      </c>
      <c r="T40" s="499" t="s">
        <v>1058</v>
      </c>
      <c r="U40" s="499" t="s">
        <v>1058</v>
      </c>
      <c r="V40" s="499" t="s">
        <v>1058</v>
      </c>
      <c r="W40" s="500"/>
      <c r="X40" s="501"/>
      <c r="Y40" s="509" t="s">
        <v>1058</v>
      </c>
      <c r="Z40" s="509" t="s">
        <v>1058</v>
      </c>
      <c r="AA40" s="503" t="s">
        <v>609</v>
      </c>
      <c r="AB40" s="503" t="s">
        <v>180</v>
      </c>
      <c r="AC40" s="503"/>
      <c r="AD40" s="503" t="s">
        <v>182</v>
      </c>
      <c r="AE40" s="503">
        <v>10</v>
      </c>
      <c r="AF40" s="504">
        <f t="shared" si="2"/>
        <v>46065</v>
      </c>
      <c r="AG40" s="503">
        <f t="shared" si="3"/>
        <v>1520</v>
      </c>
      <c r="AH40" s="503"/>
      <c r="AJ40" s="514"/>
    </row>
    <row r="41" spans="1:36" s="513" customFormat="1">
      <c r="A41" s="505">
        <v>1521</v>
      </c>
      <c r="B41" s="490"/>
      <c r="C41" s="505">
        <v>647</v>
      </c>
      <c r="D41" s="490"/>
      <c r="E41" s="505">
        <v>594</v>
      </c>
      <c r="F41" s="506" t="s">
        <v>182</v>
      </c>
      <c r="G41" s="492">
        <v>46055</v>
      </c>
      <c r="H41" s="492">
        <v>46066</v>
      </c>
      <c r="I41" s="492"/>
      <c r="J41" s="493" t="s">
        <v>1058</v>
      </c>
      <c r="K41" s="507">
        <v>46065</v>
      </c>
      <c r="L41" s="495">
        <v>46058</v>
      </c>
      <c r="M41" s="496">
        <v>46066</v>
      </c>
      <c r="N41" s="508"/>
      <c r="O41" s="499" t="s">
        <v>1058</v>
      </c>
      <c r="P41" s="499" t="s">
        <v>1058</v>
      </c>
      <c r="Q41" s="499" t="s">
        <v>1058</v>
      </c>
      <c r="R41" s="499" t="s">
        <v>1058</v>
      </c>
      <c r="S41" s="499" t="s">
        <v>1058</v>
      </c>
      <c r="T41" s="499" t="s">
        <v>1058</v>
      </c>
      <c r="U41" s="499" t="s">
        <v>1058</v>
      </c>
      <c r="V41" s="499" t="s">
        <v>1058</v>
      </c>
      <c r="W41" s="500"/>
      <c r="X41" s="501"/>
      <c r="Y41" s="509" t="s">
        <v>1058</v>
      </c>
      <c r="Z41" s="509" t="s">
        <v>1058</v>
      </c>
      <c r="AA41" s="503" t="s">
        <v>611</v>
      </c>
      <c r="AB41" s="503" t="s">
        <v>180</v>
      </c>
      <c r="AC41" s="503"/>
      <c r="AD41" s="503" t="s">
        <v>182</v>
      </c>
      <c r="AE41" s="503">
        <v>10</v>
      </c>
      <c r="AF41" s="504">
        <f t="shared" si="2"/>
        <v>46066</v>
      </c>
      <c r="AG41" s="503">
        <f t="shared" si="3"/>
        <v>1521</v>
      </c>
      <c r="AH41" s="503"/>
      <c r="AJ41" s="514"/>
    </row>
    <row r="42" spans="1:36" s="513" customFormat="1">
      <c r="A42" s="505">
        <v>1522</v>
      </c>
      <c r="B42" s="490"/>
      <c r="C42" s="505">
        <v>648</v>
      </c>
      <c r="D42" s="490"/>
      <c r="E42" s="505">
        <v>595</v>
      </c>
      <c r="F42" s="506" t="s">
        <v>182</v>
      </c>
      <c r="G42" s="492">
        <v>46056</v>
      </c>
      <c r="H42" s="492">
        <v>46069</v>
      </c>
      <c r="I42" s="492"/>
      <c r="J42" s="493" t="s">
        <v>1058</v>
      </c>
      <c r="K42" s="507">
        <v>46066</v>
      </c>
      <c r="L42" s="495">
        <v>46059</v>
      </c>
      <c r="M42" s="496">
        <v>46069</v>
      </c>
      <c r="N42" s="508"/>
      <c r="O42" s="499" t="s">
        <v>1058</v>
      </c>
      <c r="P42" s="499" t="s">
        <v>1058</v>
      </c>
      <c r="Q42" s="499" t="s">
        <v>1058</v>
      </c>
      <c r="R42" s="499" t="s">
        <v>1058</v>
      </c>
      <c r="S42" s="499" t="s">
        <v>1058</v>
      </c>
      <c r="T42" s="499" t="s">
        <v>1058</v>
      </c>
      <c r="U42" s="499" t="s">
        <v>1058</v>
      </c>
      <c r="V42" s="499" t="s">
        <v>1058</v>
      </c>
      <c r="W42" s="500"/>
      <c r="X42" s="501"/>
      <c r="Y42" s="509" t="s">
        <v>1058</v>
      </c>
      <c r="Z42" s="509" t="s">
        <v>1058</v>
      </c>
      <c r="AA42" s="503" t="s">
        <v>612</v>
      </c>
      <c r="AB42" s="503" t="s">
        <v>180</v>
      </c>
      <c r="AC42" s="503"/>
      <c r="AD42" s="503" t="s">
        <v>182</v>
      </c>
      <c r="AE42" s="503">
        <v>10</v>
      </c>
      <c r="AF42" s="504">
        <f t="shared" si="2"/>
        <v>46069</v>
      </c>
      <c r="AG42" s="503">
        <f t="shared" si="3"/>
        <v>1522</v>
      </c>
      <c r="AH42" s="503"/>
      <c r="AJ42" s="514"/>
    </row>
    <row r="43" spans="1:36" s="513" customFormat="1">
      <c r="A43" s="505">
        <v>1523</v>
      </c>
      <c r="B43" s="490"/>
      <c r="C43" s="505">
        <v>649</v>
      </c>
      <c r="D43" s="490"/>
      <c r="E43" s="505">
        <v>596</v>
      </c>
      <c r="F43" s="506" t="s">
        <v>182</v>
      </c>
      <c r="G43" s="492">
        <v>46057</v>
      </c>
      <c r="H43" s="492">
        <v>46070</v>
      </c>
      <c r="I43" s="492"/>
      <c r="J43" s="493" t="s">
        <v>1058</v>
      </c>
      <c r="K43" s="507">
        <v>46069</v>
      </c>
      <c r="L43" s="495">
        <v>46062</v>
      </c>
      <c r="M43" s="496">
        <v>46070</v>
      </c>
      <c r="N43" s="508"/>
      <c r="O43" s="499" t="s">
        <v>1058</v>
      </c>
      <c r="P43" s="499" t="s">
        <v>1058</v>
      </c>
      <c r="Q43" s="499" t="s">
        <v>1058</v>
      </c>
      <c r="R43" s="499" t="s">
        <v>1058</v>
      </c>
      <c r="S43" s="499" t="s">
        <v>1058</v>
      </c>
      <c r="T43" s="499" t="s">
        <v>1058</v>
      </c>
      <c r="U43" s="499" t="s">
        <v>1058</v>
      </c>
      <c r="V43" s="499" t="s">
        <v>1058</v>
      </c>
      <c r="W43" s="500"/>
      <c r="X43" s="501"/>
      <c r="Y43" s="509" t="s">
        <v>1058</v>
      </c>
      <c r="Z43" s="509" t="s">
        <v>1058</v>
      </c>
      <c r="AA43" s="503" t="s">
        <v>613</v>
      </c>
      <c r="AB43" s="503" t="s">
        <v>180</v>
      </c>
      <c r="AC43" s="503"/>
      <c r="AD43" s="503" t="s">
        <v>182</v>
      </c>
      <c r="AE43" s="503">
        <v>10</v>
      </c>
      <c r="AF43" s="504">
        <f t="shared" si="2"/>
        <v>46070</v>
      </c>
      <c r="AG43" s="503">
        <f t="shared" si="3"/>
        <v>1523</v>
      </c>
      <c r="AH43" s="503"/>
      <c r="AJ43" s="514"/>
    </row>
    <row r="44" spans="1:36" s="513" customFormat="1">
      <c r="A44" s="490"/>
      <c r="B44" s="490"/>
      <c r="C44" s="490"/>
      <c r="D44" s="490"/>
      <c r="E44" s="490"/>
      <c r="F44" s="491"/>
      <c r="G44" s="492">
        <v>46045</v>
      </c>
      <c r="H44" s="492">
        <v>46072</v>
      </c>
      <c r="I44" s="492"/>
      <c r="J44" s="493" t="s">
        <v>1058</v>
      </c>
      <c r="K44" s="507"/>
      <c r="L44" s="495">
        <v>46066</v>
      </c>
      <c r="M44" s="496">
        <v>46072</v>
      </c>
      <c r="N44" s="497" t="s">
        <v>1287</v>
      </c>
      <c r="O44" s="498"/>
      <c r="P44" s="498"/>
      <c r="Q44" s="498"/>
      <c r="R44" s="498"/>
      <c r="S44" s="498"/>
      <c r="T44" s="498"/>
      <c r="U44" s="499" t="s">
        <v>1295</v>
      </c>
      <c r="V44" s="498"/>
      <c r="W44" s="500"/>
      <c r="X44" s="501"/>
      <c r="Y44" s="498"/>
      <c r="Z44" s="498"/>
      <c r="AA44" s="502" t="s">
        <v>764</v>
      </c>
      <c r="AB44" s="502" t="s">
        <v>761</v>
      </c>
      <c r="AC44" s="502" t="s">
        <v>1296</v>
      </c>
      <c r="AD44" s="502" t="s">
        <v>1297</v>
      </c>
      <c r="AE44" s="503">
        <f t="shared" ref="AE44:AE66" si="4">F44</f>
        <v>0</v>
      </c>
      <c r="AF44" s="504">
        <f t="shared" si="2"/>
        <v>46072</v>
      </c>
      <c r="AG44" s="503">
        <f t="shared" si="3"/>
        <v>0</v>
      </c>
      <c r="AH44" s="502" t="s">
        <v>1298</v>
      </c>
      <c r="AJ44" s="514"/>
    </row>
    <row r="45" spans="1:36" s="513" customFormat="1">
      <c r="A45" s="490"/>
      <c r="B45" s="490"/>
      <c r="C45" s="490"/>
      <c r="D45" s="490"/>
      <c r="E45" s="490"/>
      <c r="F45" s="491"/>
      <c r="G45" s="492">
        <v>46045</v>
      </c>
      <c r="H45" s="492">
        <v>46072</v>
      </c>
      <c r="I45" s="492"/>
      <c r="J45" s="493" t="s">
        <v>1058</v>
      </c>
      <c r="K45" s="507"/>
      <c r="L45" s="495">
        <v>46066</v>
      </c>
      <c r="M45" s="496">
        <v>46072</v>
      </c>
      <c r="N45" s="497" t="s">
        <v>1287</v>
      </c>
      <c r="O45" s="498"/>
      <c r="P45" s="498"/>
      <c r="Q45" s="498"/>
      <c r="R45" s="498"/>
      <c r="S45" s="498"/>
      <c r="T45" s="498"/>
      <c r="U45" s="499" t="s">
        <v>1295</v>
      </c>
      <c r="V45" s="498"/>
      <c r="W45" s="500"/>
      <c r="X45" s="501"/>
      <c r="Y45" s="498"/>
      <c r="Z45" s="498"/>
      <c r="AA45" s="502" t="s">
        <v>764</v>
      </c>
      <c r="AB45" s="502" t="s">
        <v>761</v>
      </c>
      <c r="AC45" s="502" t="s">
        <v>1299</v>
      </c>
      <c r="AD45" s="502" t="s">
        <v>1297</v>
      </c>
      <c r="AE45" s="503">
        <f t="shared" si="4"/>
        <v>0</v>
      </c>
      <c r="AF45" s="504">
        <f t="shared" si="2"/>
        <v>46072</v>
      </c>
      <c r="AG45" s="503">
        <f t="shared" si="3"/>
        <v>0</v>
      </c>
      <c r="AH45" s="502" t="s">
        <v>1298</v>
      </c>
      <c r="AJ45" s="514"/>
    </row>
    <row r="46" spans="1:36" s="513" customFormat="1">
      <c r="A46" s="490"/>
      <c r="B46" s="490"/>
      <c r="C46" s="490"/>
      <c r="D46" s="490"/>
      <c r="E46" s="490"/>
      <c r="F46" s="491"/>
      <c r="G46" s="492">
        <v>46045</v>
      </c>
      <c r="H46" s="492">
        <v>46072</v>
      </c>
      <c r="I46" s="492"/>
      <c r="J46" s="493" t="s">
        <v>1058</v>
      </c>
      <c r="K46" s="507"/>
      <c r="L46" s="495">
        <v>46066</v>
      </c>
      <c r="M46" s="496">
        <v>46072</v>
      </c>
      <c r="N46" s="497" t="s">
        <v>1287</v>
      </c>
      <c r="O46" s="498"/>
      <c r="P46" s="498"/>
      <c r="Q46" s="498"/>
      <c r="R46" s="498"/>
      <c r="S46" s="498"/>
      <c r="T46" s="498"/>
      <c r="U46" s="499" t="s">
        <v>1300</v>
      </c>
      <c r="V46" s="498"/>
      <c r="W46" s="500"/>
      <c r="X46" s="501"/>
      <c r="Y46" s="498"/>
      <c r="Z46" s="498"/>
      <c r="AA46" s="502" t="s">
        <v>764</v>
      </c>
      <c r="AB46" s="502" t="s">
        <v>761</v>
      </c>
      <c r="AC46" s="502" t="s">
        <v>1301</v>
      </c>
      <c r="AD46" s="502" t="s">
        <v>1297</v>
      </c>
      <c r="AE46" s="503">
        <f t="shared" si="4"/>
        <v>0</v>
      </c>
      <c r="AF46" s="504">
        <f t="shared" si="2"/>
        <v>46072</v>
      </c>
      <c r="AG46" s="503">
        <f t="shared" si="3"/>
        <v>0</v>
      </c>
      <c r="AH46" s="502" t="s">
        <v>1298</v>
      </c>
      <c r="AJ46" s="514"/>
    </row>
    <row r="47" spans="1:36" s="513" customFormat="1">
      <c r="A47" s="490"/>
      <c r="B47" s="490"/>
      <c r="C47" s="490"/>
      <c r="D47" s="490"/>
      <c r="E47" s="490"/>
      <c r="F47" s="491"/>
      <c r="G47" s="492">
        <v>46045</v>
      </c>
      <c r="H47" s="492">
        <v>46072</v>
      </c>
      <c r="I47" s="492"/>
      <c r="J47" s="493" t="s">
        <v>1058</v>
      </c>
      <c r="K47" s="507"/>
      <c r="L47" s="495">
        <v>46066</v>
      </c>
      <c r="M47" s="496">
        <v>46072</v>
      </c>
      <c r="N47" s="497" t="s">
        <v>1287</v>
      </c>
      <c r="O47" s="498"/>
      <c r="P47" s="498"/>
      <c r="Q47" s="498"/>
      <c r="R47" s="498"/>
      <c r="S47" s="498"/>
      <c r="T47" s="498"/>
      <c r="U47" s="499" t="s">
        <v>1300</v>
      </c>
      <c r="V47" s="498"/>
      <c r="W47" s="500"/>
      <c r="X47" s="501"/>
      <c r="Y47" s="498"/>
      <c r="Z47" s="498"/>
      <c r="AA47" s="502" t="s">
        <v>764</v>
      </c>
      <c r="AB47" s="502" t="s">
        <v>761</v>
      </c>
      <c r="AC47" s="502" t="s">
        <v>1302</v>
      </c>
      <c r="AD47" s="502" t="s">
        <v>1297</v>
      </c>
      <c r="AE47" s="503">
        <f t="shared" si="4"/>
        <v>0</v>
      </c>
      <c r="AF47" s="504">
        <f t="shared" si="2"/>
        <v>46072</v>
      </c>
      <c r="AG47" s="503">
        <f t="shared" si="3"/>
        <v>0</v>
      </c>
      <c r="AH47" s="502" t="s">
        <v>1298</v>
      </c>
      <c r="AJ47" s="514"/>
    </row>
    <row r="48" spans="1:36" s="513" customFormat="1">
      <c r="A48" s="490"/>
      <c r="B48" s="490"/>
      <c r="C48" s="490"/>
      <c r="D48" s="490"/>
      <c r="E48" s="490"/>
      <c r="F48" s="491"/>
      <c r="G48" s="492">
        <v>46048</v>
      </c>
      <c r="H48" s="492">
        <v>46073</v>
      </c>
      <c r="I48" s="492"/>
      <c r="J48" s="493" t="s">
        <v>1058</v>
      </c>
      <c r="K48" s="507"/>
      <c r="L48" s="495">
        <v>46069</v>
      </c>
      <c r="M48" s="496">
        <v>46073</v>
      </c>
      <c r="N48" s="497" t="s">
        <v>1287</v>
      </c>
      <c r="O48" s="498"/>
      <c r="P48" s="499" t="s">
        <v>1295</v>
      </c>
      <c r="Q48" s="498"/>
      <c r="R48" s="498"/>
      <c r="S48" s="498"/>
      <c r="T48" s="498"/>
      <c r="U48" s="498"/>
      <c r="V48" s="498"/>
      <c r="W48" s="500"/>
      <c r="X48" s="501"/>
      <c r="Y48" s="498"/>
      <c r="Z48" s="498"/>
      <c r="AA48" s="502" t="s">
        <v>771</v>
      </c>
      <c r="AB48" s="502" t="s">
        <v>761</v>
      </c>
      <c r="AC48" s="502" t="s">
        <v>1303</v>
      </c>
      <c r="AD48" s="502" t="s">
        <v>1297</v>
      </c>
      <c r="AE48" s="503">
        <f t="shared" si="4"/>
        <v>0</v>
      </c>
      <c r="AF48" s="504">
        <f t="shared" si="2"/>
        <v>46073</v>
      </c>
      <c r="AG48" s="503">
        <f t="shared" si="3"/>
        <v>0</v>
      </c>
      <c r="AH48" s="502" t="s">
        <v>1304</v>
      </c>
      <c r="AJ48" s="514"/>
    </row>
    <row r="49" spans="1:36" s="513" customFormat="1">
      <c r="A49" s="490"/>
      <c r="B49" s="490"/>
      <c r="C49" s="490"/>
      <c r="D49" s="490"/>
      <c r="E49" s="490"/>
      <c r="F49" s="491"/>
      <c r="G49" s="492">
        <v>46048</v>
      </c>
      <c r="H49" s="492">
        <v>46073</v>
      </c>
      <c r="I49" s="492"/>
      <c r="J49" s="493" t="s">
        <v>1058</v>
      </c>
      <c r="K49" s="507"/>
      <c r="L49" s="495">
        <v>46069</v>
      </c>
      <c r="M49" s="496">
        <v>46073</v>
      </c>
      <c r="N49" s="497" t="s">
        <v>1292</v>
      </c>
      <c r="O49" s="498"/>
      <c r="P49" s="499" t="s">
        <v>1300</v>
      </c>
      <c r="Q49" s="498"/>
      <c r="R49" s="498"/>
      <c r="S49" s="498"/>
      <c r="T49" s="498"/>
      <c r="U49" s="498"/>
      <c r="V49" s="498"/>
      <c r="W49" s="500"/>
      <c r="X49" s="501"/>
      <c r="Y49" s="498"/>
      <c r="Z49" s="498"/>
      <c r="AA49" s="502" t="s">
        <v>771</v>
      </c>
      <c r="AB49" s="502" t="s">
        <v>761</v>
      </c>
      <c r="AC49" s="502" t="s">
        <v>1305</v>
      </c>
      <c r="AD49" s="502" t="s">
        <v>1297</v>
      </c>
      <c r="AE49" s="503">
        <f t="shared" si="4"/>
        <v>0</v>
      </c>
      <c r="AF49" s="504">
        <f t="shared" si="2"/>
        <v>46073</v>
      </c>
      <c r="AG49" s="503">
        <f t="shared" si="3"/>
        <v>0</v>
      </c>
      <c r="AH49" s="502" t="s">
        <v>1304</v>
      </c>
      <c r="AJ49" s="514"/>
    </row>
    <row r="50" spans="1:36" s="513" customFormat="1">
      <c r="A50" s="490"/>
      <c r="B50" s="490"/>
      <c r="C50" s="490"/>
      <c r="D50" s="490"/>
      <c r="E50" s="490"/>
      <c r="F50" s="491"/>
      <c r="G50" s="492">
        <v>46048</v>
      </c>
      <c r="H50" s="492">
        <v>46073</v>
      </c>
      <c r="I50" s="492"/>
      <c r="J50" s="493" t="s">
        <v>1058</v>
      </c>
      <c r="K50" s="507"/>
      <c r="L50" s="495">
        <v>46069</v>
      </c>
      <c r="M50" s="496">
        <v>46073</v>
      </c>
      <c r="N50" s="497" t="s">
        <v>1287</v>
      </c>
      <c r="O50" s="498"/>
      <c r="P50" s="499" t="s">
        <v>1295</v>
      </c>
      <c r="Q50" s="498"/>
      <c r="R50" s="498"/>
      <c r="S50" s="498"/>
      <c r="T50" s="498"/>
      <c r="U50" s="498"/>
      <c r="V50" s="498"/>
      <c r="W50" s="500"/>
      <c r="X50" s="501"/>
      <c r="Y50" s="498"/>
      <c r="Z50" s="498"/>
      <c r="AA50" s="502" t="s">
        <v>771</v>
      </c>
      <c r="AB50" s="502" t="s">
        <v>761</v>
      </c>
      <c r="AC50" s="502" t="s">
        <v>1306</v>
      </c>
      <c r="AD50" s="502" t="s">
        <v>1297</v>
      </c>
      <c r="AE50" s="503">
        <f t="shared" si="4"/>
        <v>0</v>
      </c>
      <c r="AF50" s="504">
        <f t="shared" si="2"/>
        <v>46073</v>
      </c>
      <c r="AG50" s="503">
        <f t="shared" si="3"/>
        <v>0</v>
      </c>
      <c r="AH50" s="502" t="s">
        <v>1307</v>
      </c>
      <c r="AJ50" s="514"/>
    </row>
    <row r="51" spans="1:36" s="513" customFormat="1">
      <c r="A51" s="490"/>
      <c r="B51" s="490"/>
      <c r="C51" s="490"/>
      <c r="D51" s="490"/>
      <c r="E51" s="490"/>
      <c r="F51" s="491"/>
      <c r="G51" s="492">
        <v>46048</v>
      </c>
      <c r="H51" s="492">
        <v>46073</v>
      </c>
      <c r="I51" s="492"/>
      <c r="J51" s="493" t="s">
        <v>1058</v>
      </c>
      <c r="K51" s="507"/>
      <c r="L51" s="495">
        <v>46069</v>
      </c>
      <c r="M51" s="496">
        <v>46073</v>
      </c>
      <c r="N51" s="497" t="s">
        <v>1287</v>
      </c>
      <c r="O51" s="498"/>
      <c r="P51" s="499" t="s">
        <v>1295</v>
      </c>
      <c r="Q51" s="498"/>
      <c r="R51" s="498"/>
      <c r="S51" s="498"/>
      <c r="T51" s="498"/>
      <c r="U51" s="498"/>
      <c r="V51" s="498"/>
      <c r="W51" s="500"/>
      <c r="X51" s="501"/>
      <c r="Y51" s="498"/>
      <c r="Z51" s="498"/>
      <c r="AA51" s="502" t="s">
        <v>771</v>
      </c>
      <c r="AB51" s="502" t="s">
        <v>761</v>
      </c>
      <c r="AC51" s="502" t="s">
        <v>1308</v>
      </c>
      <c r="AD51" s="502" t="s">
        <v>1297</v>
      </c>
      <c r="AE51" s="503">
        <f t="shared" si="4"/>
        <v>0</v>
      </c>
      <c r="AF51" s="504">
        <f t="shared" si="2"/>
        <v>46073</v>
      </c>
      <c r="AG51" s="503">
        <f t="shared" si="3"/>
        <v>0</v>
      </c>
      <c r="AH51" s="502" t="s">
        <v>1304</v>
      </c>
      <c r="AJ51" s="514"/>
    </row>
    <row r="52" spans="1:36" s="513" customFormat="1">
      <c r="A52" s="490"/>
      <c r="B52" s="490"/>
      <c r="C52" s="490"/>
      <c r="D52" s="490"/>
      <c r="E52" s="490"/>
      <c r="F52" s="491"/>
      <c r="G52" s="492">
        <v>46048</v>
      </c>
      <c r="H52" s="492">
        <v>46073</v>
      </c>
      <c r="I52" s="492"/>
      <c r="J52" s="493" t="s">
        <v>1058</v>
      </c>
      <c r="K52" s="507"/>
      <c r="L52" s="495">
        <v>46069</v>
      </c>
      <c r="M52" s="496">
        <v>46073</v>
      </c>
      <c r="N52" s="497" t="s">
        <v>1287</v>
      </c>
      <c r="O52" s="498"/>
      <c r="P52" s="499" t="s">
        <v>1295</v>
      </c>
      <c r="Q52" s="498"/>
      <c r="R52" s="498"/>
      <c r="S52" s="498"/>
      <c r="T52" s="498"/>
      <c r="U52" s="498"/>
      <c r="V52" s="498"/>
      <c r="W52" s="500"/>
      <c r="X52" s="501"/>
      <c r="Y52" s="498"/>
      <c r="Z52" s="498"/>
      <c r="AA52" s="502" t="s">
        <v>771</v>
      </c>
      <c r="AB52" s="502" t="s">
        <v>761</v>
      </c>
      <c r="AC52" s="502" t="s">
        <v>1309</v>
      </c>
      <c r="AD52" s="502" t="s">
        <v>1297</v>
      </c>
      <c r="AE52" s="503">
        <f t="shared" si="4"/>
        <v>0</v>
      </c>
      <c r="AF52" s="504">
        <f t="shared" si="2"/>
        <v>46073</v>
      </c>
      <c r="AG52" s="503">
        <f t="shared" si="3"/>
        <v>0</v>
      </c>
      <c r="AH52" s="502" t="s">
        <v>1304</v>
      </c>
      <c r="AJ52" s="514"/>
    </row>
    <row r="53" spans="1:36" s="513" customFormat="1">
      <c r="A53" s="490"/>
      <c r="B53" s="490"/>
      <c r="C53" s="490"/>
      <c r="D53" s="490"/>
      <c r="E53" s="490"/>
      <c r="F53" s="491"/>
      <c r="G53" s="492">
        <v>46048</v>
      </c>
      <c r="H53" s="492">
        <v>46073</v>
      </c>
      <c r="I53" s="492"/>
      <c r="J53" s="493" t="s">
        <v>1058</v>
      </c>
      <c r="K53" s="507"/>
      <c r="L53" s="495">
        <v>46069</v>
      </c>
      <c r="M53" s="496">
        <v>46073</v>
      </c>
      <c r="N53" s="497" t="s">
        <v>1287</v>
      </c>
      <c r="O53" s="498"/>
      <c r="P53" s="498"/>
      <c r="Q53" s="498"/>
      <c r="R53" s="498"/>
      <c r="S53" s="498"/>
      <c r="T53" s="499" t="s">
        <v>1295</v>
      </c>
      <c r="U53" s="498"/>
      <c r="V53" s="498"/>
      <c r="W53" s="500"/>
      <c r="X53" s="501"/>
      <c r="Y53" s="498"/>
      <c r="Z53" s="498"/>
      <c r="AA53" s="502" t="s">
        <v>760</v>
      </c>
      <c r="AB53" s="502" t="s">
        <v>761</v>
      </c>
      <c r="AC53" s="502" t="s">
        <v>1310</v>
      </c>
      <c r="AD53" s="502" t="s">
        <v>1297</v>
      </c>
      <c r="AE53" s="503">
        <f t="shared" si="4"/>
        <v>0</v>
      </c>
      <c r="AF53" s="504">
        <f t="shared" si="2"/>
        <v>46073</v>
      </c>
      <c r="AG53" s="503">
        <f t="shared" si="3"/>
        <v>0</v>
      </c>
      <c r="AH53" s="502" t="s">
        <v>1294</v>
      </c>
      <c r="AJ53" s="514"/>
    </row>
    <row r="54" spans="1:36" s="513" customFormat="1">
      <c r="A54" s="490"/>
      <c r="B54" s="490"/>
      <c r="C54" s="490"/>
      <c r="D54" s="490"/>
      <c r="E54" s="490"/>
      <c r="F54" s="491"/>
      <c r="G54" s="492">
        <v>46048</v>
      </c>
      <c r="H54" s="492">
        <v>46073</v>
      </c>
      <c r="I54" s="492"/>
      <c r="J54" s="493" t="s">
        <v>1058</v>
      </c>
      <c r="K54" s="507"/>
      <c r="L54" s="495">
        <v>46069</v>
      </c>
      <c r="M54" s="496">
        <v>46073</v>
      </c>
      <c r="N54" s="497" t="s">
        <v>1292</v>
      </c>
      <c r="O54" s="498"/>
      <c r="P54" s="498"/>
      <c r="Q54" s="498"/>
      <c r="R54" s="498"/>
      <c r="S54" s="498"/>
      <c r="T54" s="499" t="s">
        <v>1295</v>
      </c>
      <c r="U54" s="498"/>
      <c r="V54" s="498"/>
      <c r="W54" s="500"/>
      <c r="X54" s="501"/>
      <c r="Y54" s="498"/>
      <c r="Z54" s="498"/>
      <c r="AA54" s="502" t="s">
        <v>760</v>
      </c>
      <c r="AB54" s="502" t="s">
        <v>761</v>
      </c>
      <c r="AC54" s="502" t="s">
        <v>1311</v>
      </c>
      <c r="AD54" s="502" t="s">
        <v>1297</v>
      </c>
      <c r="AE54" s="503">
        <f t="shared" si="4"/>
        <v>0</v>
      </c>
      <c r="AF54" s="504">
        <f t="shared" si="2"/>
        <v>46073</v>
      </c>
      <c r="AG54" s="503">
        <f t="shared" si="3"/>
        <v>0</v>
      </c>
      <c r="AH54" s="502" t="s">
        <v>1286</v>
      </c>
      <c r="AJ54" s="514"/>
    </row>
    <row r="55" spans="1:36" s="513" customFormat="1">
      <c r="A55" s="490"/>
      <c r="B55" s="490"/>
      <c r="C55" s="490"/>
      <c r="D55" s="490"/>
      <c r="E55" s="490"/>
      <c r="F55" s="491"/>
      <c r="G55" s="492">
        <v>46048</v>
      </c>
      <c r="H55" s="492">
        <v>46073</v>
      </c>
      <c r="I55" s="492"/>
      <c r="J55" s="493" t="s">
        <v>1058</v>
      </c>
      <c r="K55" s="507"/>
      <c r="L55" s="495">
        <v>46069</v>
      </c>
      <c r="M55" s="496">
        <v>46073</v>
      </c>
      <c r="N55" s="497" t="s">
        <v>1287</v>
      </c>
      <c r="O55" s="498"/>
      <c r="P55" s="498"/>
      <c r="Q55" s="498"/>
      <c r="R55" s="498"/>
      <c r="S55" s="498"/>
      <c r="T55" s="499" t="s">
        <v>1295</v>
      </c>
      <c r="U55" s="498"/>
      <c r="V55" s="498"/>
      <c r="W55" s="500"/>
      <c r="X55" s="501"/>
      <c r="Y55" s="498"/>
      <c r="Z55" s="498"/>
      <c r="AA55" s="502" t="s">
        <v>760</v>
      </c>
      <c r="AB55" s="502" t="s">
        <v>761</v>
      </c>
      <c r="AC55" s="502" t="s">
        <v>1312</v>
      </c>
      <c r="AD55" s="502" t="s">
        <v>1297</v>
      </c>
      <c r="AE55" s="503">
        <f t="shared" si="4"/>
        <v>0</v>
      </c>
      <c r="AF55" s="504">
        <f t="shared" si="2"/>
        <v>46073</v>
      </c>
      <c r="AG55" s="503">
        <f t="shared" si="3"/>
        <v>0</v>
      </c>
      <c r="AH55" s="502" t="s">
        <v>1286</v>
      </c>
      <c r="AJ55" s="514"/>
    </row>
    <row r="56" spans="1:36" s="513" customFormat="1">
      <c r="A56" s="490"/>
      <c r="B56" s="490"/>
      <c r="C56" s="490"/>
      <c r="D56" s="490"/>
      <c r="E56" s="490"/>
      <c r="F56" s="491"/>
      <c r="G56" s="492">
        <v>46048</v>
      </c>
      <c r="H56" s="492">
        <v>46073</v>
      </c>
      <c r="I56" s="492"/>
      <c r="J56" s="493" t="s">
        <v>1058</v>
      </c>
      <c r="K56" s="507"/>
      <c r="L56" s="495">
        <v>46069</v>
      </c>
      <c r="M56" s="496">
        <v>46073</v>
      </c>
      <c r="N56" s="497" t="s">
        <v>1287</v>
      </c>
      <c r="O56" s="498"/>
      <c r="P56" s="498"/>
      <c r="Q56" s="498"/>
      <c r="R56" s="498"/>
      <c r="S56" s="498"/>
      <c r="T56" s="499" t="s">
        <v>1295</v>
      </c>
      <c r="U56" s="498"/>
      <c r="V56" s="498"/>
      <c r="W56" s="500"/>
      <c r="X56" s="501"/>
      <c r="Y56" s="498"/>
      <c r="Z56" s="498"/>
      <c r="AA56" s="502" t="s">
        <v>760</v>
      </c>
      <c r="AB56" s="502" t="s">
        <v>761</v>
      </c>
      <c r="AC56" s="502" t="s">
        <v>1313</v>
      </c>
      <c r="AD56" s="502" t="s">
        <v>1297</v>
      </c>
      <c r="AE56" s="503">
        <f t="shared" si="4"/>
        <v>0</v>
      </c>
      <c r="AF56" s="504">
        <f t="shared" si="2"/>
        <v>46073</v>
      </c>
      <c r="AG56" s="503">
        <f t="shared" si="3"/>
        <v>0</v>
      </c>
      <c r="AH56" s="502" t="s">
        <v>1286</v>
      </c>
      <c r="AJ56" s="514"/>
    </row>
    <row r="57" spans="1:36" s="513" customFormat="1">
      <c r="A57" s="490"/>
      <c r="B57" s="490"/>
      <c r="C57" s="490"/>
      <c r="D57" s="490"/>
      <c r="E57" s="490"/>
      <c r="F57" s="491"/>
      <c r="G57" s="492">
        <v>46048</v>
      </c>
      <c r="H57" s="492">
        <v>46073</v>
      </c>
      <c r="I57" s="492"/>
      <c r="J57" s="493" t="s">
        <v>1058</v>
      </c>
      <c r="K57" s="507"/>
      <c r="L57" s="495">
        <v>46069</v>
      </c>
      <c r="M57" s="496">
        <v>46073</v>
      </c>
      <c r="N57" s="497" t="s">
        <v>1292</v>
      </c>
      <c r="O57" s="498"/>
      <c r="P57" s="498"/>
      <c r="Q57" s="498"/>
      <c r="R57" s="498"/>
      <c r="S57" s="498"/>
      <c r="T57" s="499" t="s">
        <v>1295</v>
      </c>
      <c r="U57" s="498"/>
      <c r="V57" s="498"/>
      <c r="W57" s="500"/>
      <c r="X57" s="501"/>
      <c r="Y57" s="498"/>
      <c r="Z57" s="498"/>
      <c r="AA57" s="502" t="s">
        <v>760</v>
      </c>
      <c r="AB57" s="502" t="s">
        <v>761</v>
      </c>
      <c r="AC57" s="502" t="s">
        <v>1314</v>
      </c>
      <c r="AD57" s="502" t="s">
        <v>1297</v>
      </c>
      <c r="AE57" s="503">
        <f t="shared" si="4"/>
        <v>0</v>
      </c>
      <c r="AF57" s="504">
        <f t="shared" si="2"/>
        <v>46073</v>
      </c>
      <c r="AG57" s="503">
        <f t="shared" si="3"/>
        <v>0</v>
      </c>
      <c r="AH57" s="502" t="s">
        <v>1286</v>
      </c>
      <c r="AJ57" s="514"/>
    </row>
    <row r="58" spans="1:36" s="513" customFormat="1">
      <c r="A58" s="490"/>
      <c r="B58" s="490"/>
      <c r="C58" s="490"/>
      <c r="D58" s="490"/>
      <c r="E58" s="490"/>
      <c r="F58" s="491"/>
      <c r="G58" s="492">
        <v>46048</v>
      </c>
      <c r="H58" s="492">
        <v>46073</v>
      </c>
      <c r="I58" s="492"/>
      <c r="J58" s="493" t="s">
        <v>1058</v>
      </c>
      <c r="K58" s="507"/>
      <c r="L58" s="495">
        <v>46069</v>
      </c>
      <c r="M58" s="496">
        <v>46073</v>
      </c>
      <c r="N58" s="497" t="s">
        <v>1287</v>
      </c>
      <c r="O58" s="498"/>
      <c r="P58" s="498"/>
      <c r="Q58" s="498"/>
      <c r="R58" s="498"/>
      <c r="S58" s="498"/>
      <c r="T58" s="498"/>
      <c r="U58" s="499" t="s">
        <v>1295</v>
      </c>
      <c r="V58" s="498"/>
      <c r="W58" s="500"/>
      <c r="X58" s="501"/>
      <c r="Y58" s="498"/>
      <c r="Z58" s="498"/>
      <c r="AA58" s="502" t="s">
        <v>767</v>
      </c>
      <c r="AB58" s="502" t="s">
        <v>761</v>
      </c>
      <c r="AC58" s="502" t="s">
        <v>1315</v>
      </c>
      <c r="AD58" s="502" t="s">
        <v>1297</v>
      </c>
      <c r="AE58" s="503">
        <f t="shared" si="4"/>
        <v>0</v>
      </c>
      <c r="AF58" s="504">
        <f t="shared" si="2"/>
        <v>46073</v>
      </c>
      <c r="AG58" s="503">
        <f t="shared" si="3"/>
        <v>0</v>
      </c>
      <c r="AH58" s="502" t="s">
        <v>1298</v>
      </c>
      <c r="AJ58" s="514"/>
    </row>
    <row r="59" spans="1:36" s="513" customFormat="1">
      <c r="A59" s="490"/>
      <c r="B59" s="490"/>
      <c r="C59" s="490"/>
      <c r="D59" s="490"/>
      <c r="E59" s="490"/>
      <c r="F59" s="491"/>
      <c r="G59" s="492">
        <v>46048</v>
      </c>
      <c r="H59" s="492">
        <v>46073</v>
      </c>
      <c r="I59" s="492"/>
      <c r="J59" s="493" t="s">
        <v>1058</v>
      </c>
      <c r="K59" s="507"/>
      <c r="L59" s="495">
        <v>46069</v>
      </c>
      <c r="M59" s="496">
        <v>46073</v>
      </c>
      <c r="N59" s="497" t="s">
        <v>1287</v>
      </c>
      <c r="O59" s="498"/>
      <c r="P59" s="498"/>
      <c r="Q59" s="498"/>
      <c r="R59" s="498"/>
      <c r="S59" s="498"/>
      <c r="T59" s="498"/>
      <c r="U59" s="499" t="s">
        <v>1295</v>
      </c>
      <c r="V59" s="498"/>
      <c r="W59" s="500"/>
      <c r="X59" s="501"/>
      <c r="Y59" s="498"/>
      <c r="Z59" s="498"/>
      <c r="AA59" s="502" t="s">
        <v>767</v>
      </c>
      <c r="AB59" s="502" t="s">
        <v>761</v>
      </c>
      <c r="AC59" s="502" t="s">
        <v>1316</v>
      </c>
      <c r="AD59" s="502" t="s">
        <v>1297</v>
      </c>
      <c r="AE59" s="503">
        <f t="shared" si="4"/>
        <v>0</v>
      </c>
      <c r="AF59" s="504">
        <f t="shared" si="2"/>
        <v>46073</v>
      </c>
      <c r="AG59" s="503">
        <f t="shared" si="3"/>
        <v>0</v>
      </c>
      <c r="AH59" s="502" t="s">
        <v>1298</v>
      </c>
      <c r="AJ59" s="514"/>
    </row>
    <row r="60" spans="1:36" s="513" customFormat="1">
      <c r="A60" s="490"/>
      <c r="B60" s="490"/>
      <c r="C60" s="490"/>
      <c r="D60" s="490"/>
      <c r="E60" s="490"/>
      <c r="F60" s="491"/>
      <c r="G60" s="492">
        <v>46048</v>
      </c>
      <c r="H60" s="492">
        <v>46073</v>
      </c>
      <c r="I60" s="492"/>
      <c r="J60" s="493" t="s">
        <v>1058</v>
      </c>
      <c r="K60" s="507"/>
      <c r="L60" s="495">
        <v>46069</v>
      </c>
      <c r="M60" s="496">
        <v>46073</v>
      </c>
      <c r="N60" s="497" t="s">
        <v>1287</v>
      </c>
      <c r="O60" s="498"/>
      <c r="P60" s="498"/>
      <c r="Q60" s="498"/>
      <c r="R60" s="498"/>
      <c r="S60" s="498"/>
      <c r="T60" s="498"/>
      <c r="U60" s="499" t="s">
        <v>1295</v>
      </c>
      <c r="V60" s="498"/>
      <c r="W60" s="500"/>
      <c r="X60" s="501"/>
      <c r="Y60" s="498"/>
      <c r="Z60" s="498"/>
      <c r="AA60" s="502" t="s">
        <v>767</v>
      </c>
      <c r="AB60" s="502" t="s">
        <v>761</v>
      </c>
      <c r="AC60" s="502" t="s">
        <v>1317</v>
      </c>
      <c r="AD60" s="502" t="s">
        <v>1297</v>
      </c>
      <c r="AE60" s="503">
        <f t="shared" si="4"/>
        <v>0</v>
      </c>
      <c r="AF60" s="504">
        <f t="shared" si="2"/>
        <v>46073</v>
      </c>
      <c r="AG60" s="503">
        <f t="shared" si="3"/>
        <v>0</v>
      </c>
      <c r="AH60" s="502" t="s">
        <v>1298</v>
      </c>
      <c r="AJ60" s="514"/>
    </row>
    <row r="61" spans="1:36" s="513" customFormat="1">
      <c r="A61" s="490"/>
      <c r="B61" s="490"/>
      <c r="C61" s="490"/>
      <c r="D61" s="490"/>
      <c r="E61" s="490"/>
      <c r="F61" s="491"/>
      <c r="G61" s="492">
        <v>46048</v>
      </c>
      <c r="H61" s="492">
        <v>46073</v>
      </c>
      <c r="I61" s="492"/>
      <c r="J61" s="493" t="s">
        <v>1058</v>
      </c>
      <c r="K61" s="507"/>
      <c r="L61" s="495">
        <v>46069</v>
      </c>
      <c r="M61" s="496">
        <v>46073</v>
      </c>
      <c r="N61" s="497" t="s">
        <v>1292</v>
      </c>
      <c r="O61" s="498"/>
      <c r="P61" s="498"/>
      <c r="Q61" s="498"/>
      <c r="R61" s="498"/>
      <c r="S61" s="498"/>
      <c r="T61" s="498"/>
      <c r="U61" s="499" t="s">
        <v>1295</v>
      </c>
      <c r="V61" s="498"/>
      <c r="W61" s="500"/>
      <c r="X61" s="501"/>
      <c r="Y61" s="498"/>
      <c r="Z61" s="498"/>
      <c r="AA61" s="502" t="s">
        <v>767</v>
      </c>
      <c r="AB61" s="502" t="s">
        <v>761</v>
      </c>
      <c r="AC61" s="502" t="s">
        <v>1318</v>
      </c>
      <c r="AD61" s="502" t="s">
        <v>1297</v>
      </c>
      <c r="AE61" s="503">
        <f t="shared" si="4"/>
        <v>0</v>
      </c>
      <c r="AF61" s="504">
        <f t="shared" si="2"/>
        <v>46073</v>
      </c>
      <c r="AG61" s="503">
        <f t="shared" si="3"/>
        <v>0</v>
      </c>
      <c r="AH61" s="502" t="s">
        <v>1319</v>
      </c>
      <c r="AJ61" s="514"/>
    </row>
    <row r="62" spans="1:36" s="513" customFormat="1">
      <c r="A62" s="490"/>
      <c r="B62" s="490"/>
      <c r="C62" s="490"/>
      <c r="D62" s="490"/>
      <c r="E62" s="490"/>
      <c r="F62" s="491"/>
      <c r="G62" s="492">
        <v>46048</v>
      </c>
      <c r="H62" s="492">
        <v>46073</v>
      </c>
      <c r="I62" s="492"/>
      <c r="J62" s="493" t="s">
        <v>1058</v>
      </c>
      <c r="K62" s="507"/>
      <c r="L62" s="495">
        <v>46069</v>
      </c>
      <c r="M62" s="496">
        <v>46073</v>
      </c>
      <c r="N62" s="497" t="s">
        <v>1287</v>
      </c>
      <c r="O62" s="498"/>
      <c r="P62" s="498"/>
      <c r="Q62" s="498"/>
      <c r="R62" s="498"/>
      <c r="S62" s="498"/>
      <c r="T62" s="498"/>
      <c r="U62" s="498"/>
      <c r="V62" s="499" t="s">
        <v>1295</v>
      </c>
      <c r="W62" s="500"/>
      <c r="X62" s="501"/>
      <c r="Y62" s="498"/>
      <c r="Z62" s="498"/>
      <c r="AA62" s="502" t="s">
        <v>768</v>
      </c>
      <c r="AB62" s="502" t="s">
        <v>761</v>
      </c>
      <c r="AC62" s="502" t="s">
        <v>1320</v>
      </c>
      <c r="AD62" s="502" t="s">
        <v>1297</v>
      </c>
      <c r="AE62" s="503">
        <f t="shared" si="4"/>
        <v>0</v>
      </c>
      <c r="AF62" s="504">
        <f t="shared" si="2"/>
        <v>46073</v>
      </c>
      <c r="AG62" s="503">
        <f t="shared" si="3"/>
        <v>0</v>
      </c>
      <c r="AH62" s="502" t="s">
        <v>1321</v>
      </c>
      <c r="AJ62" s="514"/>
    </row>
    <row r="63" spans="1:36" s="513" customFormat="1">
      <c r="A63" s="490"/>
      <c r="B63" s="490"/>
      <c r="C63" s="490"/>
      <c r="D63" s="490"/>
      <c r="E63" s="490"/>
      <c r="F63" s="491"/>
      <c r="G63" s="492">
        <v>46048</v>
      </c>
      <c r="H63" s="492">
        <v>46073</v>
      </c>
      <c r="I63" s="492"/>
      <c r="J63" s="493" t="s">
        <v>1058</v>
      </c>
      <c r="K63" s="507"/>
      <c r="L63" s="495">
        <v>46069</v>
      </c>
      <c r="M63" s="496">
        <v>46073</v>
      </c>
      <c r="N63" s="497" t="s">
        <v>1287</v>
      </c>
      <c r="O63" s="498"/>
      <c r="P63" s="498"/>
      <c r="Q63" s="498"/>
      <c r="R63" s="498"/>
      <c r="S63" s="498"/>
      <c r="T63" s="498"/>
      <c r="U63" s="498"/>
      <c r="V63" s="499" t="s">
        <v>1300</v>
      </c>
      <c r="W63" s="500"/>
      <c r="X63" s="501"/>
      <c r="Y63" s="498"/>
      <c r="Z63" s="498"/>
      <c r="AA63" s="502" t="s">
        <v>768</v>
      </c>
      <c r="AB63" s="502" t="s">
        <v>761</v>
      </c>
      <c r="AC63" s="502" t="s">
        <v>1322</v>
      </c>
      <c r="AD63" s="502" t="s">
        <v>1297</v>
      </c>
      <c r="AE63" s="503">
        <f t="shared" si="4"/>
        <v>0</v>
      </c>
      <c r="AF63" s="504">
        <f t="shared" si="2"/>
        <v>46073</v>
      </c>
      <c r="AG63" s="503">
        <f t="shared" si="3"/>
        <v>0</v>
      </c>
      <c r="AH63" s="502" t="s">
        <v>1321</v>
      </c>
      <c r="AJ63" s="514"/>
    </row>
    <row r="64" spans="1:36" s="513" customFormat="1">
      <c r="A64" s="490"/>
      <c r="B64" s="490"/>
      <c r="C64" s="490"/>
      <c r="D64" s="490"/>
      <c r="E64" s="490"/>
      <c r="F64" s="491"/>
      <c r="G64" s="492">
        <v>46048</v>
      </c>
      <c r="H64" s="492">
        <v>46073</v>
      </c>
      <c r="I64" s="492"/>
      <c r="J64" s="493" t="s">
        <v>1058</v>
      </c>
      <c r="K64" s="507"/>
      <c r="L64" s="495">
        <v>46069</v>
      </c>
      <c r="M64" s="496">
        <v>46073</v>
      </c>
      <c r="N64" s="497" t="s">
        <v>1287</v>
      </c>
      <c r="O64" s="498"/>
      <c r="P64" s="498"/>
      <c r="Q64" s="498"/>
      <c r="R64" s="498"/>
      <c r="S64" s="498"/>
      <c r="T64" s="498"/>
      <c r="U64" s="498"/>
      <c r="V64" s="499" t="s">
        <v>1300</v>
      </c>
      <c r="W64" s="500"/>
      <c r="X64" s="501"/>
      <c r="Y64" s="498"/>
      <c r="Z64" s="498"/>
      <c r="AA64" s="502" t="s">
        <v>768</v>
      </c>
      <c r="AB64" s="502" t="s">
        <v>761</v>
      </c>
      <c r="AC64" s="502" t="s">
        <v>1323</v>
      </c>
      <c r="AD64" s="502" t="s">
        <v>1297</v>
      </c>
      <c r="AE64" s="503">
        <f t="shared" si="4"/>
        <v>0</v>
      </c>
      <c r="AF64" s="504">
        <f t="shared" si="2"/>
        <v>46073</v>
      </c>
      <c r="AG64" s="503">
        <f t="shared" si="3"/>
        <v>0</v>
      </c>
      <c r="AH64" s="502" t="s">
        <v>1321</v>
      </c>
      <c r="AJ64" s="514"/>
    </row>
    <row r="65" spans="1:36" s="513" customFormat="1">
      <c r="A65" s="490"/>
      <c r="B65" s="490"/>
      <c r="C65" s="490"/>
      <c r="D65" s="490"/>
      <c r="E65" s="490"/>
      <c r="F65" s="491"/>
      <c r="G65" s="492">
        <v>46048</v>
      </c>
      <c r="H65" s="492">
        <v>46073</v>
      </c>
      <c r="I65" s="492"/>
      <c r="J65" s="493" t="s">
        <v>1058</v>
      </c>
      <c r="K65" s="507"/>
      <c r="L65" s="495">
        <v>46069</v>
      </c>
      <c r="M65" s="496">
        <v>46073</v>
      </c>
      <c r="N65" s="497" t="s">
        <v>1287</v>
      </c>
      <c r="O65" s="498"/>
      <c r="P65" s="498"/>
      <c r="Q65" s="498"/>
      <c r="R65" s="498"/>
      <c r="S65" s="498"/>
      <c r="T65" s="498"/>
      <c r="U65" s="498"/>
      <c r="V65" s="499" t="s">
        <v>1295</v>
      </c>
      <c r="W65" s="500"/>
      <c r="X65" s="501"/>
      <c r="Y65" s="498"/>
      <c r="Z65" s="498"/>
      <c r="AA65" s="502" t="s">
        <v>768</v>
      </c>
      <c r="AB65" s="502" t="s">
        <v>761</v>
      </c>
      <c r="AC65" s="502" t="s">
        <v>1324</v>
      </c>
      <c r="AD65" s="502" t="s">
        <v>1297</v>
      </c>
      <c r="AE65" s="503">
        <f t="shared" si="4"/>
        <v>0</v>
      </c>
      <c r="AF65" s="504">
        <f t="shared" si="2"/>
        <v>46073</v>
      </c>
      <c r="AG65" s="503">
        <f t="shared" si="3"/>
        <v>0</v>
      </c>
      <c r="AH65" s="502" t="s">
        <v>1325</v>
      </c>
      <c r="AJ65" s="514"/>
    </row>
    <row r="66" spans="1:36" s="513" customFormat="1">
      <c r="A66" s="490"/>
      <c r="B66" s="490"/>
      <c r="C66" s="490"/>
      <c r="D66" s="490"/>
      <c r="E66" s="490"/>
      <c r="F66" s="491"/>
      <c r="G66" s="492">
        <v>46048</v>
      </c>
      <c r="H66" s="492">
        <v>46073</v>
      </c>
      <c r="I66" s="492"/>
      <c r="J66" s="493" t="s">
        <v>1058</v>
      </c>
      <c r="K66" s="507"/>
      <c r="L66" s="495">
        <v>46069</v>
      </c>
      <c r="M66" s="496">
        <v>46073</v>
      </c>
      <c r="N66" s="497" t="s">
        <v>1292</v>
      </c>
      <c r="O66" s="498"/>
      <c r="P66" s="498"/>
      <c r="Q66" s="498"/>
      <c r="R66" s="498"/>
      <c r="S66" s="498"/>
      <c r="T66" s="498"/>
      <c r="U66" s="498"/>
      <c r="V66" s="499" t="s">
        <v>1295</v>
      </c>
      <c r="W66" s="500"/>
      <c r="X66" s="501"/>
      <c r="Y66" s="498"/>
      <c r="Z66" s="498"/>
      <c r="AA66" s="502" t="s">
        <v>768</v>
      </c>
      <c r="AB66" s="502" t="s">
        <v>761</v>
      </c>
      <c r="AC66" s="502" t="s">
        <v>1326</v>
      </c>
      <c r="AD66" s="502" t="s">
        <v>1297</v>
      </c>
      <c r="AE66" s="503">
        <f t="shared" si="4"/>
        <v>0</v>
      </c>
      <c r="AF66" s="504">
        <f t="shared" ref="AF66:AF97" si="5">H66</f>
        <v>46073</v>
      </c>
      <c r="AG66" s="503">
        <f t="shared" ref="AG66:AG97" si="6">A66</f>
        <v>0</v>
      </c>
      <c r="AH66" s="502" t="s">
        <v>1321</v>
      </c>
      <c r="AJ66" s="514"/>
    </row>
    <row r="67" spans="1:36" s="513" customFormat="1">
      <c r="A67" s="505">
        <v>1524</v>
      </c>
      <c r="B67" s="505">
        <v>878</v>
      </c>
      <c r="C67" s="490"/>
      <c r="D67" s="505">
        <v>931</v>
      </c>
      <c r="E67" s="490"/>
      <c r="F67" s="506" t="s">
        <v>465</v>
      </c>
      <c r="G67" s="516"/>
      <c r="H67" s="492">
        <v>46078</v>
      </c>
      <c r="I67" s="492"/>
      <c r="J67" s="508"/>
      <c r="K67" s="507">
        <v>46073</v>
      </c>
      <c r="L67" s="495">
        <v>46069</v>
      </c>
      <c r="M67" s="496">
        <v>46078</v>
      </c>
      <c r="N67" s="508"/>
      <c r="O67" s="499" t="s">
        <v>1058</v>
      </c>
      <c r="P67" s="499" t="s">
        <v>1058</v>
      </c>
      <c r="Q67" s="499" t="s">
        <v>1058</v>
      </c>
      <c r="R67" s="499" t="s">
        <v>1058</v>
      </c>
      <c r="S67" s="499" t="s">
        <v>1058</v>
      </c>
      <c r="T67" s="499" t="s">
        <v>1058</v>
      </c>
      <c r="U67" s="499" t="s">
        <v>1058</v>
      </c>
      <c r="V67" s="499" t="s">
        <v>1058</v>
      </c>
      <c r="W67" s="511" t="s">
        <v>1058</v>
      </c>
      <c r="X67" s="512" t="s">
        <v>1058</v>
      </c>
      <c r="Y67" s="498"/>
      <c r="Z67" s="509" t="s">
        <v>1058</v>
      </c>
      <c r="AA67" s="503" t="s">
        <v>968</v>
      </c>
      <c r="AB67" s="503" t="s">
        <v>580</v>
      </c>
      <c r="AC67" s="503"/>
      <c r="AD67" s="503" t="s">
        <v>465</v>
      </c>
      <c r="AE67" s="503">
        <v>11</v>
      </c>
      <c r="AF67" s="504">
        <f t="shared" si="5"/>
        <v>46078</v>
      </c>
      <c r="AG67" s="503">
        <f t="shared" si="6"/>
        <v>1524</v>
      </c>
      <c r="AH67" s="503"/>
      <c r="AJ67" s="514"/>
    </row>
    <row r="68" spans="1:36" s="513" customFormat="1">
      <c r="A68" s="505">
        <v>1525</v>
      </c>
      <c r="B68" s="505">
        <v>879</v>
      </c>
      <c r="C68" s="490"/>
      <c r="D68" s="505">
        <v>932</v>
      </c>
      <c r="E68" s="490"/>
      <c r="F68" s="506" t="s">
        <v>465</v>
      </c>
      <c r="G68" s="517"/>
      <c r="H68" s="492">
        <v>46078</v>
      </c>
      <c r="I68" s="492"/>
      <c r="J68" s="515"/>
      <c r="K68" s="507">
        <v>46077</v>
      </c>
      <c r="L68" s="495">
        <v>46070</v>
      </c>
      <c r="M68" s="496">
        <v>46078</v>
      </c>
      <c r="N68" s="508"/>
      <c r="O68" s="499" t="s">
        <v>1058</v>
      </c>
      <c r="P68" s="499" t="s">
        <v>1058</v>
      </c>
      <c r="Q68" s="499" t="s">
        <v>1058</v>
      </c>
      <c r="R68" s="499" t="s">
        <v>1058</v>
      </c>
      <c r="S68" s="499" t="s">
        <v>1058</v>
      </c>
      <c r="T68" s="499" t="s">
        <v>1058</v>
      </c>
      <c r="U68" s="499" t="s">
        <v>1058</v>
      </c>
      <c r="V68" s="499" t="s">
        <v>1058</v>
      </c>
      <c r="W68" s="511" t="s">
        <v>1058</v>
      </c>
      <c r="X68" s="512" t="s">
        <v>1058</v>
      </c>
      <c r="Y68" s="498"/>
      <c r="Z68" s="509" t="s">
        <v>1058</v>
      </c>
      <c r="AA68" s="503" t="s">
        <v>969</v>
      </c>
      <c r="AB68" s="503" t="s">
        <v>580</v>
      </c>
      <c r="AC68" s="503"/>
      <c r="AD68" s="503" t="s">
        <v>465</v>
      </c>
      <c r="AE68" s="503">
        <v>11</v>
      </c>
      <c r="AF68" s="504">
        <f t="shared" si="5"/>
        <v>46078</v>
      </c>
      <c r="AG68" s="503">
        <f t="shared" si="6"/>
        <v>1525</v>
      </c>
      <c r="AH68" s="503"/>
      <c r="AJ68" s="514"/>
    </row>
    <row r="69" spans="1:36" s="513" customFormat="1">
      <c r="A69" s="490"/>
      <c r="B69" s="490"/>
      <c r="C69" s="490"/>
      <c r="D69" s="490"/>
      <c r="E69" s="490"/>
      <c r="F69" s="491"/>
      <c r="G69" s="492">
        <v>46050</v>
      </c>
      <c r="H69" s="492">
        <v>46078</v>
      </c>
      <c r="I69" s="492"/>
      <c r="J69" s="493" t="s">
        <v>1058</v>
      </c>
      <c r="K69" s="507"/>
      <c r="L69" s="495">
        <v>46071</v>
      </c>
      <c r="M69" s="496">
        <v>46078</v>
      </c>
      <c r="N69" s="497" t="s">
        <v>1287</v>
      </c>
      <c r="O69" s="498"/>
      <c r="P69" s="498"/>
      <c r="Q69" s="498"/>
      <c r="R69" s="498"/>
      <c r="S69" s="498"/>
      <c r="T69" s="499" t="s">
        <v>1295</v>
      </c>
      <c r="U69" s="498"/>
      <c r="V69" s="498"/>
      <c r="W69" s="500"/>
      <c r="X69" s="501"/>
      <c r="Y69" s="498"/>
      <c r="Z69" s="498"/>
      <c r="AA69" s="502" t="s">
        <v>763</v>
      </c>
      <c r="AB69" s="502" t="s">
        <v>635</v>
      </c>
      <c r="AC69" s="502" t="s">
        <v>1327</v>
      </c>
      <c r="AD69" s="502" t="s">
        <v>1328</v>
      </c>
      <c r="AE69" s="503">
        <f>F69</f>
        <v>0</v>
      </c>
      <c r="AF69" s="504">
        <f t="shared" si="5"/>
        <v>46078</v>
      </c>
      <c r="AG69" s="503">
        <f t="shared" si="6"/>
        <v>0</v>
      </c>
      <c r="AH69" s="502" t="s">
        <v>1294</v>
      </c>
      <c r="AJ69" s="514"/>
    </row>
    <row r="70" spans="1:36" s="513" customFormat="1">
      <c r="A70" s="505">
        <v>1526</v>
      </c>
      <c r="B70" s="505">
        <v>880</v>
      </c>
      <c r="C70" s="490"/>
      <c r="D70" s="505">
        <v>933</v>
      </c>
      <c r="E70" s="490"/>
      <c r="F70" s="506" t="s">
        <v>465</v>
      </c>
      <c r="G70" s="516"/>
      <c r="H70" s="492">
        <v>46079</v>
      </c>
      <c r="I70" s="492"/>
      <c r="J70" s="508"/>
      <c r="K70" s="507">
        <v>46078</v>
      </c>
      <c r="L70" s="495">
        <v>46071</v>
      </c>
      <c r="M70" s="496">
        <v>46079</v>
      </c>
      <c r="N70" s="508"/>
      <c r="O70" s="499" t="s">
        <v>1058</v>
      </c>
      <c r="P70" s="499" t="s">
        <v>1058</v>
      </c>
      <c r="Q70" s="499" t="s">
        <v>1058</v>
      </c>
      <c r="R70" s="499" t="s">
        <v>1058</v>
      </c>
      <c r="S70" s="499" t="s">
        <v>1058</v>
      </c>
      <c r="T70" s="499" t="s">
        <v>1058</v>
      </c>
      <c r="U70" s="499" t="s">
        <v>1058</v>
      </c>
      <c r="V70" s="499" t="s">
        <v>1058</v>
      </c>
      <c r="W70" s="511" t="s">
        <v>1058</v>
      </c>
      <c r="X70" s="512" t="s">
        <v>1058</v>
      </c>
      <c r="Y70" s="498"/>
      <c r="Z70" s="509" t="s">
        <v>1058</v>
      </c>
      <c r="AA70" s="503" t="s">
        <v>970</v>
      </c>
      <c r="AB70" s="503" t="s">
        <v>580</v>
      </c>
      <c r="AC70" s="503"/>
      <c r="AD70" s="503" t="s">
        <v>465</v>
      </c>
      <c r="AE70" s="503">
        <v>11</v>
      </c>
      <c r="AF70" s="504">
        <f t="shared" si="5"/>
        <v>46079</v>
      </c>
      <c r="AG70" s="503">
        <f t="shared" si="6"/>
        <v>1526</v>
      </c>
      <c r="AH70" s="503"/>
      <c r="AJ70" s="514"/>
    </row>
    <row r="71" spans="1:36" s="513" customFormat="1">
      <c r="A71" s="505">
        <v>1527</v>
      </c>
      <c r="B71" s="505">
        <v>881</v>
      </c>
      <c r="C71" s="490"/>
      <c r="D71" s="505">
        <v>934</v>
      </c>
      <c r="E71" s="490"/>
      <c r="F71" s="506" t="s">
        <v>465</v>
      </c>
      <c r="G71" s="517"/>
      <c r="H71" s="492">
        <v>46080</v>
      </c>
      <c r="I71" s="492"/>
      <c r="J71" s="515"/>
      <c r="K71" s="507">
        <v>46079</v>
      </c>
      <c r="L71" s="495">
        <v>46072</v>
      </c>
      <c r="M71" s="496">
        <v>46080</v>
      </c>
      <c r="N71" s="508"/>
      <c r="O71" s="499" t="s">
        <v>1058</v>
      </c>
      <c r="P71" s="499" t="s">
        <v>1058</v>
      </c>
      <c r="Q71" s="499" t="s">
        <v>1058</v>
      </c>
      <c r="R71" s="499" t="s">
        <v>1058</v>
      </c>
      <c r="S71" s="499" t="s">
        <v>1058</v>
      </c>
      <c r="T71" s="499" t="s">
        <v>1058</v>
      </c>
      <c r="U71" s="499" t="s">
        <v>1058</v>
      </c>
      <c r="V71" s="499" t="s">
        <v>1058</v>
      </c>
      <c r="W71" s="511" t="s">
        <v>1058</v>
      </c>
      <c r="X71" s="512" t="s">
        <v>1058</v>
      </c>
      <c r="Y71" s="498"/>
      <c r="Z71" s="509" t="s">
        <v>1058</v>
      </c>
      <c r="AA71" s="503" t="s">
        <v>971</v>
      </c>
      <c r="AB71" s="503" t="s">
        <v>580</v>
      </c>
      <c r="AC71" s="503"/>
      <c r="AD71" s="503" t="s">
        <v>465</v>
      </c>
      <c r="AE71" s="503">
        <v>11</v>
      </c>
      <c r="AF71" s="504">
        <f t="shared" si="5"/>
        <v>46080</v>
      </c>
      <c r="AG71" s="503">
        <f t="shared" si="6"/>
        <v>1527</v>
      </c>
      <c r="AH71" s="503"/>
      <c r="AJ71" s="514"/>
    </row>
    <row r="72" spans="1:36" s="513" customFormat="1">
      <c r="A72" s="505">
        <v>1528</v>
      </c>
      <c r="B72" s="505">
        <v>882</v>
      </c>
      <c r="C72" s="490"/>
      <c r="D72" s="505">
        <v>935</v>
      </c>
      <c r="E72" s="490"/>
      <c r="F72" s="506" t="s">
        <v>465</v>
      </c>
      <c r="G72" s="517"/>
      <c r="H72" s="492">
        <v>46083</v>
      </c>
      <c r="I72" s="492"/>
      <c r="J72" s="515"/>
      <c r="K72" s="507">
        <v>46080</v>
      </c>
      <c r="L72" s="495">
        <v>46073</v>
      </c>
      <c r="M72" s="496">
        <v>46083</v>
      </c>
      <c r="N72" s="508"/>
      <c r="O72" s="499" t="s">
        <v>1058</v>
      </c>
      <c r="P72" s="499" t="s">
        <v>1058</v>
      </c>
      <c r="Q72" s="499" t="s">
        <v>1058</v>
      </c>
      <c r="R72" s="499" t="s">
        <v>1058</v>
      </c>
      <c r="S72" s="499" t="s">
        <v>1058</v>
      </c>
      <c r="T72" s="499" t="s">
        <v>1058</v>
      </c>
      <c r="U72" s="499" t="s">
        <v>1058</v>
      </c>
      <c r="V72" s="499" t="s">
        <v>1058</v>
      </c>
      <c r="W72" s="511" t="s">
        <v>1058</v>
      </c>
      <c r="X72" s="512" t="s">
        <v>1058</v>
      </c>
      <c r="Y72" s="498"/>
      <c r="Z72" s="509" t="s">
        <v>1058</v>
      </c>
      <c r="AA72" s="503" t="s">
        <v>972</v>
      </c>
      <c r="AB72" s="503" t="s">
        <v>580</v>
      </c>
      <c r="AC72" s="503"/>
      <c r="AD72" s="503" t="s">
        <v>465</v>
      </c>
      <c r="AE72" s="503">
        <v>11</v>
      </c>
      <c r="AF72" s="504">
        <f t="shared" si="5"/>
        <v>46083</v>
      </c>
      <c r="AG72" s="503">
        <f t="shared" si="6"/>
        <v>1528</v>
      </c>
      <c r="AH72" s="503"/>
      <c r="AJ72" s="514"/>
    </row>
    <row r="73" spans="1:36" s="513" customFormat="1">
      <c r="A73" s="505">
        <v>1529</v>
      </c>
      <c r="B73" s="505">
        <v>883</v>
      </c>
      <c r="C73" s="490"/>
      <c r="D73" s="505">
        <v>936</v>
      </c>
      <c r="E73" s="490"/>
      <c r="F73" s="506" t="s">
        <v>465</v>
      </c>
      <c r="G73" s="517"/>
      <c r="H73" s="492">
        <v>46084</v>
      </c>
      <c r="I73" s="492"/>
      <c r="J73" s="515"/>
      <c r="K73" s="507">
        <v>46083</v>
      </c>
      <c r="L73" s="495">
        <v>46077</v>
      </c>
      <c r="M73" s="496">
        <v>46084</v>
      </c>
      <c r="N73" s="508"/>
      <c r="O73" s="499" t="s">
        <v>1058</v>
      </c>
      <c r="P73" s="499" t="s">
        <v>1058</v>
      </c>
      <c r="Q73" s="499" t="s">
        <v>1058</v>
      </c>
      <c r="R73" s="499" t="s">
        <v>1058</v>
      </c>
      <c r="S73" s="499" t="s">
        <v>1058</v>
      </c>
      <c r="T73" s="499" t="s">
        <v>1058</v>
      </c>
      <c r="U73" s="499" t="s">
        <v>1058</v>
      </c>
      <c r="V73" s="499" t="s">
        <v>1058</v>
      </c>
      <c r="W73" s="511" t="s">
        <v>1058</v>
      </c>
      <c r="X73" s="512" t="s">
        <v>1058</v>
      </c>
      <c r="Y73" s="498"/>
      <c r="Z73" s="509" t="s">
        <v>1058</v>
      </c>
      <c r="AA73" s="503" t="s">
        <v>973</v>
      </c>
      <c r="AB73" s="503" t="s">
        <v>580</v>
      </c>
      <c r="AC73" s="503"/>
      <c r="AD73" s="503" t="s">
        <v>465</v>
      </c>
      <c r="AE73" s="503">
        <v>11</v>
      </c>
      <c r="AF73" s="504">
        <f t="shared" si="5"/>
        <v>46084</v>
      </c>
      <c r="AG73" s="503">
        <f t="shared" si="6"/>
        <v>1529</v>
      </c>
      <c r="AH73" s="503"/>
      <c r="AJ73" s="514"/>
    </row>
    <row r="74" spans="1:36" s="513" customFormat="1">
      <c r="A74" s="505">
        <v>1530</v>
      </c>
      <c r="B74" s="505">
        <v>884</v>
      </c>
      <c r="C74" s="490"/>
      <c r="D74" s="505">
        <v>937</v>
      </c>
      <c r="E74" s="490"/>
      <c r="F74" s="506" t="s">
        <v>465</v>
      </c>
      <c r="G74" s="517"/>
      <c r="H74" s="492">
        <v>46104</v>
      </c>
      <c r="I74" s="492"/>
      <c r="J74" s="515"/>
      <c r="K74" s="507">
        <v>46092</v>
      </c>
      <c r="L74" s="495">
        <v>46086</v>
      </c>
      <c r="M74" s="496">
        <v>46104</v>
      </c>
      <c r="N74" s="508"/>
      <c r="O74" s="499" t="s">
        <v>1058</v>
      </c>
      <c r="P74" s="499" t="s">
        <v>1058</v>
      </c>
      <c r="Q74" s="499" t="s">
        <v>1058</v>
      </c>
      <c r="R74" s="499" t="s">
        <v>1058</v>
      </c>
      <c r="S74" s="499" t="s">
        <v>1058</v>
      </c>
      <c r="T74" s="499" t="s">
        <v>1058</v>
      </c>
      <c r="U74" s="499" t="s">
        <v>1058</v>
      </c>
      <c r="V74" s="499" t="s">
        <v>1058</v>
      </c>
      <c r="W74" s="511" t="s">
        <v>1058</v>
      </c>
      <c r="X74" s="512" t="s">
        <v>1058</v>
      </c>
      <c r="Y74" s="498"/>
      <c r="Z74" s="509" t="s">
        <v>1058</v>
      </c>
      <c r="AA74" s="503" t="s">
        <v>974</v>
      </c>
      <c r="AB74" s="503" t="s">
        <v>580</v>
      </c>
      <c r="AC74" s="503"/>
      <c r="AD74" s="503" t="s">
        <v>465</v>
      </c>
      <c r="AE74" s="503">
        <v>11</v>
      </c>
      <c r="AF74" s="504">
        <f t="shared" si="5"/>
        <v>46104</v>
      </c>
      <c r="AG74" s="503">
        <f t="shared" si="6"/>
        <v>1530</v>
      </c>
      <c r="AH74" s="503"/>
      <c r="AJ74" s="514"/>
    </row>
    <row r="75" spans="1:36" s="513" customFormat="1">
      <c r="A75" s="505">
        <v>1531</v>
      </c>
      <c r="B75" s="505">
        <v>885</v>
      </c>
      <c r="C75" s="490"/>
      <c r="D75" s="505">
        <v>938</v>
      </c>
      <c r="E75" s="490"/>
      <c r="F75" s="506" t="s">
        <v>465</v>
      </c>
      <c r="G75" s="517"/>
      <c r="H75" s="492">
        <v>46104</v>
      </c>
      <c r="I75" s="492"/>
      <c r="J75" s="515"/>
      <c r="K75" s="507">
        <v>46093</v>
      </c>
      <c r="L75" s="495">
        <v>46087</v>
      </c>
      <c r="M75" s="496">
        <v>46104</v>
      </c>
      <c r="N75" s="508"/>
      <c r="O75" s="499" t="s">
        <v>1058</v>
      </c>
      <c r="P75" s="499" t="s">
        <v>1058</v>
      </c>
      <c r="Q75" s="499" t="s">
        <v>1058</v>
      </c>
      <c r="R75" s="499" t="s">
        <v>1058</v>
      </c>
      <c r="S75" s="499" t="s">
        <v>1058</v>
      </c>
      <c r="T75" s="499" t="s">
        <v>1058</v>
      </c>
      <c r="U75" s="499" t="s">
        <v>1058</v>
      </c>
      <c r="V75" s="499" t="s">
        <v>1058</v>
      </c>
      <c r="W75" s="511" t="s">
        <v>1058</v>
      </c>
      <c r="X75" s="512" t="s">
        <v>1058</v>
      </c>
      <c r="Y75" s="498"/>
      <c r="Z75" s="509" t="s">
        <v>1058</v>
      </c>
      <c r="AA75" s="503" t="s">
        <v>975</v>
      </c>
      <c r="AB75" s="503" t="s">
        <v>580</v>
      </c>
      <c r="AC75" s="503"/>
      <c r="AD75" s="503" t="s">
        <v>465</v>
      </c>
      <c r="AE75" s="503">
        <v>11</v>
      </c>
      <c r="AF75" s="504">
        <f t="shared" si="5"/>
        <v>46104</v>
      </c>
      <c r="AG75" s="503">
        <f t="shared" si="6"/>
        <v>1531</v>
      </c>
      <c r="AH75" s="503"/>
      <c r="AJ75" s="514"/>
    </row>
    <row r="76" spans="1:36" s="513" customFormat="1">
      <c r="A76" s="505">
        <v>1532</v>
      </c>
      <c r="B76" s="505">
        <v>886</v>
      </c>
      <c r="C76" s="490"/>
      <c r="D76" s="505">
        <v>939</v>
      </c>
      <c r="E76" s="490"/>
      <c r="F76" s="506" t="s">
        <v>465</v>
      </c>
      <c r="G76" s="517"/>
      <c r="H76" s="492">
        <v>46104</v>
      </c>
      <c r="I76" s="492"/>
      <c r="J76" s="515"/>
      <c r="K76" s="507">
        <v>46094</v>
      </c>
      <c r="L76" s="495">
        <v>46090</v>
      </c>
      <c r="M76" s="496">
        <v>46104</v>
      </c>
      <c r="N76" s="508"/>
      <c r="O76" s="499" t="s">
        <v>1058</v>
      </c>
      <c r="P76" s="499" t="s">
        <v>1058</v>
      </c>
      <c r="Q76" s="499" t="s">
        <v>1058</v>
      </c>
      <c r="R76" s="499" t="s">
        <v>1058</v>
      </c>
      <c r="S76" s="499" t="s">
        <v>1058</v>
      </c>
      <c r="T76" s="499" t="s">
        <v>1058</v>
      </c>
      <c r="U76" s="499" t="s">
        <v>1058</v>
      </c>
      <c r="V76" s="499" t="s">
        <v>1058</v>
      </c>
      <c r="W76" s="511" t="s">
        <v>1058</v>
      </c>
      <c r="X76" s="512" t="s">
        <v>1058</v>
      </c>
      <c r="Y76" s="498"/>
      <c r="Z76" s="509" t="s">
        <v>1058</v>
      </c>
      <c r="AA76" s="503" t="s">
        <v>976</v>
      </c>
      <c r="AB76" s="503" t="s">
        <v>580</v>
      </c>
      <c r="AC76" s="503"/>
      <c r="AD76" s="503" t="s">
        <v>465</v>
      </c>
      <c r="AE76" s="503">
        <v>11</v>
      </c>
      <c r="AF76" s="504">
        <f t="shared" si="5"/>
        <v>46104</v>
      </c>
      <c r="AG76" s="503">
        <f t="shared" si="6"/>
        <v>1532</v>
      </c>
      <c r="AH76" s="503"/>
      <c r="AJ76" s="514"/>
    </row>
    <row r="77" spans="1:36" s="513" customFormat="1">
      <c r="A77" s="505">
        <v>1533</v>
      </c>
      <c r="B77" s="505">
        <v>887</v>
      </c>
      <c r="C77" s="490"/>
      <c r="D77" s="505">
        <v>940</v>
      </c>
      <c r="E77" s="490"/>
      <c r="F77" s="506" t="s">
        <v>465</v>
      </c>
      <c r="G77" s="517"/>
      <c r="H77" s="492">
        <v>46105</v>
      </c>
      <c r="I77" s="492"/>
      <c r="J77" s="515"/>
      <c r="K77" s="507">
        <v>46097</v>
      </c>
      <c r="L77" s="495">
        <v>46091</v>
      </c>
      <c r="M77" s="496">
        <v>46105</v>
      </c>
      <c r="N77" s="508"/>
      <c r="O77" s="499" t="s">
        <v>1058</v>
      </c>
      <c r="P77" s="499" t="s">
        <v>1058</v>
      </c>
      <c r="Q77" s="499" t="s">
        <v>1058</v>
      </c>
      <c r="R77" s="499" t="s">
        <v>1058</v>
      </c>
      <c r="S77" s="499" t="s">
        <v>1058</v>
      </c>
      <c r="T77" s="499" t="s">
        <v>1058</v>
      </c>
      <c r="U77" s="499" t="s">
        <v>1058</v>
      </c>
      <c r="V77" s="499" t="s">
        <v>1058</v>
      </c>
      <c r="W77" s="511" t="s">
        <v>1058</v>
      </c>
      <c r="X77" s="512" t="s">
        <v>1058</v>
      </c>
      <c r="Y77" s="498"/>
      <c r="Z77" s="509" t="s">
        <v>1058</v>
      </c>
      <c r="AA77" s="503" t="s">
        <v>977</v>
      </c>
      <c r="AB77" s="503" t="s">
        <v>580</v>
      </c>
      <c r="AC77" s="503"/>
      <c r="AD77" s="503" t="s">
        <v>465</v>
      </c>
      <c r="AE77" s="503">
        <v>11</v>
      </c>
      <c r="AF77" s="504">
        <f t="shared" si="5"/>
        <v>46105</v>
      </c>
      <c r="AG77" s="503">
        <f t="shared" si="6"/>
        <v>1533</v>
      </c>
      <c r="AH77" s="503"/>
      <c r="AJ77" s="514"/>
    </row>
    <row r="78" spans="1:36" s="513" customFormat="1">
      <c r="A78" s="505">
        <v>1534</v>
      </c>
      <c r="B78" s="505">
        <v>888</v>
      </c>
      <c r="C78" s="490"/>
      <c r="D78" s="505">
        <v>941</v>
      </c>
      <c r="E78" s="490"/>
      <c r="F78" s="506" t="s">
        <v>465</v>
      </c>
      <c r="G78" s="517"/>
      <c r="H78" s="492">
        <v>46105</v>
      </c>
      <c r="I78" s="492"/>
      <c r="J78" s="515"/>
      <c r="K78" s="507">
        <v>46098</v>
      </c>
      <c r="L78" s="495">
        <v>46092</v>
      </c>
      <c r="M78" s="496">
        <v>46105</v>
      </c>
      <c r="N78" s="508"/>
      <c r="O78" s="499" t="s">
        <v>1058</v>
      </c>
      <c r="P78" s="499" t="s">
        <v>1058</v>
      </c>
      <c r="Q78" s="499" t="s">
        <v>1058</v>
      </c>
      <c r="R78" s="499" t="s">
        <v>1058</v>
      </c>
      <c r="S78" s="499" t="s">
        <v>1058</v>
      </c>
      <c r="T78" s="499" t="s">
        <v>1058</v>
      </c>
      <c r="U78" s="499" t="s">
        <v>1058</v>
      </c>
      <c r="V78" s="499" t="s">
        <v>1058</v>
      </c>
      <c r="W78" s="511" t="s">
        <v>1058</v>
      </c>
      <c r="X78" s="512" t="s">
        <v>1058</v>
      </c>
      <c r="Y78" s="498"/>
      <c r="Z78" s="509" t="s">
        <v>1058</v>
      </c>
      <c r="AA78" s="503" t="s">
        <v>978</v>
      </c>
      <c r="AB78" s="503" t="s">
        <v>580</v>
      </c>
      <c r="AC78" s="503"/>
      <c r="AD78" s="503" t="s">
        <v>465</v>
      </c>
      <c r="AE78" s="503">
        <v>11</v>
      </c>
      <c r="AF78" s="504">
        <f t="shared" si="5"/>
        <v>46105</v>
      </c>
      <c r="AG78" s="503">
        <f t="shared" si="6"/>
        <v>1534</v>
      </c>
      <c r="AH78" s="503"/>
      <c r="AJ78" s="514"/>
    </row>
    <row r="79" spans="1:36" s="513" customFormat="1">
      <c r="A79" s="505">
        <v>1535</v>
      </c>
      <c r="B79" s="505">
        <v>889</v>
      </c>
      <c r="C79" s="490"/>
      <c r="D79" s="505">
        <v>942</v>
      </c>
      <c r="E79" s="490"/>
      <c r="F79" s="506" t="s">
        <v>465</v>
      </c>
      <c r="G79" s="517"/>
      <c r="H79" s="492">
        <v>46105</v>
      </c>
      <c r="I79" s="492"/>
      <c r="J79" s="515"/>
      <c r="K79" s="507">
        <v>46099</v>
      </c>
      <c r="L79" s="495">
        <v>46093</v>
      </c>
      <c r="M79" s="496">
        <v>46105</v>
      </c>
      <c r="N79" s="508"/>
      <c r="O79" s="499" t="s">
        <v>1058</v>
      </c>
      <c r="P79" s="499" t="s">
        <v>1058</v>
      </c>
      <c r="Q79" s="499" t="s">
        <v>1058</v>
      </c>
      <c r="R79" s="499" t="s">
        <v>1058</v>
      </c>
      <c r="S79" s="499" t="s">
        <v>1058</v>
      </c>
      <c r="T79" s="499" t="s">
        <v>1058</v>
      </c>
      <c r="U79" s="499" t="s">
        <v>1058</v>
      </c>
      <c r="V79" s="499" t="s">
        <v>1058</v>
      </c>
      <c r="W79" s="511" t="s">
        <v>1058</v>
      </c>
      <c r="X79" s="512" t="s">
        <v>1058</v>
      </c>
      <c r="Y79" s="498"/>
      <c r="Z79" s="509" t="s">
        <v>1058</v>
      </c>
      <c r="AA79" s="503" t="s">
        <v>979</v>
      </c>
      <c r="AB79" s="503" t="s">
        <v>580</v>
      </c>
      <c r="AC79" s="503"/>
      <c r="AD79" s="503" t="s">
        <v>465</v>
      </c>
      <c r="AE79" s="503">
        <v>11</v>
      </c>
      <c r="AF79" s="504">
        <f t="shared" si="5"/>
        <v>46105</v>
      </c>
      <c r="AG79" s="503">
        <f t="shared" si="6"/>
        <v>1535</v>
      </c>
      <c r="AH79" s="503"/>
      <c r="AJ79" s="514"/>
    </row>
    <row r="80" spans="1:36" s="513" customFormat="1">
      <c r="A80" s="505">
        <v>1536</v>
      </c>
      <c r="B80" s="505">
        <v>890</v>
      </c>
      <c r="C80" s="490"/>
      <c r="D80" s="505">
        <v>943</v>
      </c>
      <c r="E80" s="490"/>
      <c r="F80" s="506" t="s">
        <v>465</v>
      </c>
      <c r="G80" s="517"/>
      <c r="H80" s="492">
        <v>46106</v>
      </c>
      <c r="I80" s="492"/>
      <c r="J80" s="515"/>
      <c r="K80" s="507">
        <v>46100</v>
      </c>
      <c r="L80" s="495">
        <v>46094</v>
      </c>
      <c r="M80" s="496">
        <v>46106</v>
      </c>
      <c r="N80" s="508"/>
      <c r="O80" s="499" t="s">
        <v>1058</v>
      </c>
      <c r="P80" s="499" t="s">
        <v>1058</v>
      </c>
      <c r="Q80" s="499" t="s">
        <v>1058</v>
      </c>
      <c r="R80" s="499" t="s">
        <v>1058</v>
      </c>
      <c r="S80" s="499" t="s">
        <v>1058</v>
      </c>
      <c r="T80" s="499" t="s">
        <v>1058</v>
      </c>
      <c r="U80" s="499" t="s">
        <v>1058</v>
      </c>
      <c r="V80" s="499" t="s">
        <v>1058</v>
      </c>
      <c r="W80" s="511" t="s">
        <v>1058</v>
      </c>
      <c r="X80" s="512" t="s">
        <v>1058</v>
      </c>
      <c r="Y80" s="498"/>
      <c r="Z80" s="509" t="s">
        <v>1058</v>
      </c>
      <c r="AA80" s="503" t="s">
        <v>980</v>
      </c>
      <c r="AB80" s="503" t="s">
        <v>580</v>
      </c>
      <c r="AC80" s="503"/>
      <c r="AD80" s="503" t="s">
        <v>465</v>
      </c>
      <c r="AE80" s="503">
        <v>11</v>
      </c>
      <c r="AF80" s="504">
        <f t="shared" si="5"/>
        <v>46106</v>
      </c>
      <c r="AG80" s="503">
        <f t="shared" si="6"/>
        <v>1536</v>
      </c>
      <c r="AH80" s="503"/>
      <c r="AJ80" s="514"/>
    </row>
    <row r="81" spans="1:36" s="513" customFormat="1">
      <c r="A81" s="505">
        <v>1537</v>
      </c>
      <c r="B81" s="505">
        <v>891</v>
      </c>
      <c r="C81" s="490"/>
      <c r="D81" s="505">
        <v>944</v>
      </c>
      <c r="E81" s="490"/>
      <c r="F81" s="506" t="s">
        <v>465</v>
      </c>
      <c r="G81" s="517"/>
      <c r="H81" s="492">
        <v>46106</v>
      </c>
      <c r="I81" s="492"/>
      <c r="J81" s="515"/>
      <c r="K81" s="507">
        <v>46104</v>
      </c>
      <c r="L81" s="495">
        <v>46097</v>
      </c>
      <c r="M81" s="496">
        <v>46106</v>
      </c>
      <c r="N81" s="508"/>
      <c r="O81" s="499" t="s">
        <v>1058</v>
      </c>
      <c r="P81" s="499" t="s">
        <v>1058</v>
      </c>
      <c r="Q81" s="499" t="s">
        <v>1058</v>
      </c>
      <c r="R81" s="499" t="s">
        <v>1058</v>
      </c>
      <c r="S81" s="499" t="s">
        <v>1058</v>
      </c>
      <c r="T81" s="499" t="s">
        <v>1058</v>
      </c>
      <c r="U81" s="499" t="s">
        <v>1058</v>
      </c>
      <c r="V81" s="499" t="s">
        <v>1058</v>
      </c>
      <c r="W81" s="511" t="s">
        <v>1058</v>
      </c>
      <c r="X81" s="512" t="s">
        <v>1058</v>
      </c>
      <c r="Y81" s="498"/>
      <c r="Z81" s="509" t="s">
        <v>1058</v>
      </c>
      <c r="AA81" s="503" t="s">
        <v>981</v>
      </c>
      <c r="AB81" s="503" t="s">
        <v>580</v>
      </c>
      <c r="AC81" s="503"/>
      <c r="AD81" s="503" t="s">
        <v>465</v>
      </c>
      <c r="AE81" s="503">
        <v>11</v>
      </c>
      <c r="AF81" s="504">
        <f t="shared" si="5"/>
        <v>46106</v>
      </c>
      <c r="AG81" s="503">
        <f t="shared" si="6"/>
        <v>1537</v>
      </c>
      <c r="AH81" s="503"/>
      <c r="AJ81" s="514"/>
    </row>
    <row r="82" spans="1:36" s="513" customFormat="1">
      <c r="A82" s="505">
        <v>1538</v>
      </c>
      <c r="B82" s="505">
        <v>892</v>
      </c>
      <c r="C82" s="490"/>
      <c r="D82" s="505">
        <v>945</v>
      </c>
      <c r="E82" s="490"/>
      <c r="F82" s="506" t="s">
        <v>465</v>
      </c>
      <c r="G82" s="517"/>
      <c r="H82" s="492">
        <v>46107</v>
      </c>
      <c r="I82" s="492"/>
      <c r="J82" s="515"/>
      <c r="K82" s="507">
        <v>46105</v>
      </c>
      <c r="L82" s="495">
        <v>46098</v>
      </c>
      <c r="M82" s="496">
        <v>46107</v>
      </c>
      <c r="N82" s="508"/>
      <c r="O82" s="499" t="s">
        <v>1058</v>
      </c>
      <c r="P82" s="499" t="s">
        <v>1058</v>
      </c>
      <c r="Q82" s="499" t="s">
        <v>1058</v>
      </c>
      <c r="R82" s="499" t="s">
        <v>1058</v>
      </c>
      <c r="S82" s="499" t="s">
        <v>1058</v>
      </c>
      <c r="T82" s="499" t="s">
        <v>1058</v>
      </c>
      <c r="U82" s="499" t="s">
        <v>1058</v>
      </c>
      <c r="V82" s="499" t="s">
        <v>1058</v>
      </c>
      <c r="W82" s="511" t="s">
        <v>1058</v>
      </c>
      <c r="X82" s="512" t="s">
        <v>1058</v>
      </c>
      <c r="Y82" s="498"/>
      <c r="Z82" s="509" t="s">
        <v>1058</v>
      </c>
      <c r="AA82" s="503" t="s">
        <v>982</v>
      </c>
      <c r="AB82" s="503" t="s">
        <v>580</v>
      </c>
      <c r="AC82" s="503"/>
      <c r="AD82" s="503" t="s">
        <v>465</v>
      </c>
      <c r="AE82" s="503">
        <v>11</v>
      </c>
      <c r="AF82" s="504">
        <f t="shared" si="5"/>
        <v>46107</v>
      </c>
      <c r="AG82" s="503">
        <f t="shared" si="6"/>
        <v>1538</v>
      </c>
      <c r="AH82" s="503"/>
      <c r="AJ82" s="514"/>
    </row>
    <row r="83" spans="1:36" s="513" customFormat="1">
      <c r="A83" s="505">
        <v>1539</v>
      </c>
      <c r="B83" s="505">
        <v>893</v>
      </c>
      <c r="C83" s="490"/>
      <c r="D83" s="505">
        <v>946</v>
      </c>
      <c r="E83" s="490"/>
      <c r="F83" s="506" t="s">
        <v>465</v>
      </c>
      <c r="G83" s="517"/>
      <c r="H83" s="492">
        <v>46107</v>
      </c>
      <c r="I83" s="492"/>
      <c r="J83" s="515"/>
      <c r="K83" s="507">
        <v>46106</v>
      </c>
      <c r="L83" s="495">
        <v>46099</v>
      </c>
      <c r="M83" s="496">
        <v>46107</v>
      </c>
      <c r="N83" s="508"/>
      <c r="O83" s="499" t="s">
        <v>1058</v>
      </c>
      <c r="P83" s="499" t="s">
        <v>1058</v>
      </c>
      <c r="Q83" s="499" t="s">
        <v>1058</v>
      </c>
      <c r="R83" s="499" t="s">
        <v>1058</v>
      </c>
      <c r="S83" s="499" t="s">
        <v>1058</v>
      </c>
      <c r="T83" s="499" t="s">
        <v>1058</v>
      </c>
      <c r="U83" s="499" t="s">
        <v>1058</v>
      </c>
      <c r="V83" s="499" t="s">
        <v>1058</v>
      </c>
      <c r="W83" s="511" t="s">
        <v>1058</v>
      </c>
      <c r="X83" s="512" t="s">
        <v>1058</v>
      </c>
      <c r="Y83" s="498"/>
      <c r="Z83" s="509" t="s">
        <v>1058</v>
      </c>
      <c r="AA83" s="503" t="s">
        <v>1329</v>
      </c>
      <c r="AB83" s="503" t="s">
        <v>580</v>
      </c>
      <c r="AC83" s="503"/>
      <c r="AD83" s="503" t="s">
        <v>465</v>
      </c>
      <c r="AE83" s="503">
        <v>11</v>
      </c>
      <c r="AF83" s="504">
        <f t="shared" si="5"/>
        <v>46107</v>
      </c>
      <c r="AG83" s="503">
        <f t="shared" si="6"/>
        <v>1539</v>
      </c>
      <c r="AH83" s="503"/>
      <c r="AJ83" s="514"/>
    </row>
    <row r="84" spans="1:36" s="513" customFormat="1">
      <c r="A84" s="505">
        <v>1540</v>
      </c>
      <c r="B84" s="505">
        <v>894</v>
      </c>
      <c r="C84" s="490"/>
      <c r="D84" s="505">
        <v>947</v>
      </c>
      <c r="E84" s="490"/>
      <c r="F84" s="506" t="s">
        <v>465</v>
      </c>
      <c r="G84" s="517"/>
      <c r="H84" s="492">
        <v>46112</v>
      </c>
      <c r="I84" s="492"/>
      <c r="J84" s="515"/>
      <c r="K84" s="507">
        <v>46107</v>
      </c>
      <c r="L84" s="495">
        <v>46100</v>
      </c>
      <c r="M84" s="496">
        <v>46112</v>
      </c>
      <c r="N84" s="508"/>
      <c r="O84" s="499" t="s">
        <v>1058</v>
      </c>
      <c r="P84" s="499" t="s">
        <v>1058</v>
      </c>
      <c r="Q84" s="499" t="s">
        <v>1058</v>
      </c>
      <c r="R84" s="499" t="s">
        <v>1058</v>
      </c>
      <c r="S84" s="499" t="s">
        <v>1058</v>
      </c>
      <c r="T84" s="499" t="s">
        <v>1058</v>
      </c>
      <c r="U84" s="499" t="s">
        <v>1058</v>
      </c>
      <c r="V84" s="499" t="s">
        <v>1058</v>
      </c>
      <c r="W84" s="511" t="s">
        <v>1058</v>
      </c>
      <c r="X84" s="512" t="s">
        <v>1058</v>
      </c>
      <c r="Y84" s="498"/>
      <c r="Z84" s="509" t="s">
        <v>1058</v>
      </c>
      <c r="AA84" s="503" t="s">
        <v>1330</v>
      </c>
      <c r="AB84" s="503" t="s">
        <v>580</v>
      </c>
      <c r="AC84" s="503"/>
      <c r="AD84" s="503" t="s">
        <v>465</v>
      </c>
      <c r="AE84" s="503">
        <v>11</v>
      </c>
      <c r="AF84" s="504">
        <f t="shared" si="5"/>
        <v>46112</v>
      </c>
      <c r="AG84" s="503">
        <f t="shared" si="6"/>
        <v>1540</v>
      </c>
      <c r="AH84" s="503"/>
      <c r="AJ84" s="514"/>
    </row>
    <row r="85" spans="1:36" s="513" customFormat="1">
      <c r="A85" s="505">
        <v>1541</v>
      </c>
      <c r="B85" s="505">
        <v>895</v>
      </c>
      <c r="C85" s="490"/>
      <c r="D85" s="505">
        <v>948</v>
      </c>
      <c r="E85" s="490"/>
      <c r="F85" s="506" t="s">
        <v>465</v>
      </c>
      <c r="G85" s="517"/>
      <c r="H85" s="492">
        <v>46112</v>
      </c>
      <c r="I85" s="492"/>
      <c r="J85" s="515"/>
      <c r="K85" s="507">
        <v>46107</v>
      </c>
      <c r="L85" s="495">
        <v>46100</v>
      </c>
      <c r="M85" s="496">
        <v>46112</v>
      </c>
      <c r="N85" s="508"/>
      <c r="O85" s="499" t="s">
        <v>1058</v>
      </c>
      <c r="P85" s="499" t="s">
        <v>1058</v>
      </c>
      <c r="Q85" s="499" t="s">
        <v>1058</v>
      </c>
      <c r="R85" s="499" t="s">
        <v>1058</v>
      </c>
      <c r="S85" s="499" t="s">
        <v>1058</v>
      </c>
      <c r="T85" s="499" t="s">
        <v>1058</v>
      </c>
      <c r="U85" s="499" t="s">
        <v>1058</v>
      </c>
      <c r="V85" s="499" t="s">
        <v>1058</v>
      </c>
      <c r="W85" s="511" t="s">
        <v>1058</v>
      </c>
      <c r="X85" s="512" t="s">
        <v>1058</v>
      </c>
      <c r="Y85" s="498"/>
      <c r="Z85" s="509" t="s">
        <v>1058</v>
      </c>
      <c r="AA85" s="503" t="s">
        <v>1331</v>
      </c>
      <c r="AB85" s="503" t="s">
        <v>580</v>
      </c>
      <c r="AC85" s="503"/>
      <c r="AD85" s="503" t="s">
        <v>465</v>
      </c>
      <c r="AE85" s="503">
        <v>11</v>
      </c>
      <c r="AF85" s="504">
        <f t="shared" si="5"/>
        <v>46112</v>
      </c>
      <c r="AG85" s="503">
        <f t="shared" si="6"/>
        <v>1541</v>
      </c>
      <c r="AH85" s="503"/>
      <c r="AJ85" s="514"/>
    </row>
    <row r="86" spans="1:36" s="488" customFormat="1">
      <c r="A86" s="505">
        <v>1542</v>
      </c>
      <c r="B86" s="505">
        <v>896</v>
      </c>
      <c r="C86" s="490"/>
      <c r="D86" s="505">
        <v>949</v>
      </c>
      <c r="E86" s="490"/>
      <c r="F86" s="506" t="s">
        <v>465</v>
      </c>
      <c r="G86" s="517"/>
      <c r="H86" s="492">
        <v>46113</v>
      </c>
      <c r="I86" s="492"/>
      <c r="J86" s="515"/>
      <c r="K86" s="507">
        <v>46112</v>
      </c>
      <c r="L86" s="495">
        <v>46106</v>
      </c>
      <c r="M86" s="496">
        <v>46113</v>
      </c>
      <c r="N86" s="508"/>
      <c r="O86" s="499" t="s">
        <v>1058</v>
      </c>
      <c r="P86" s="499" t="s">
        <v>1058</v>
      </c>
      <c r="Q86" s="499" t="s">
        <v>1058</v>
      </c>
      <c r="R86" s="499" t="s">
        <v>1058</v>
      </c>
      <c r="S86" s="499" t="s">
        <v>1058</v>
      </c>
      <c r="T86" s="499" t="s">
        <v>1058</v>
      </c>
      <c r="U86" s="499" t="s">
        <v>1058</v>
      </c>
      <c r="V86" s="499" t="s">
        <v>1058</v>
      </c>
      <c r="W86" s="511" t="s">
        <v>1058</v>
      </c>
      <c r="X86" s="512" t="s">
        <v>1058</v>
      </c>
      <c r="Y86" s="498"/>
      <c r="Z86" s="509" t="s">
        <v>1058</v>
      </c>
      <c r="AA86" s="503" t="s">
        <v>983</v>
      </c>
      <c r="AB86" s="503" t="s">
        <v>580</v>
      </c>
      <c r="AC86" s="503"/>
      <c r="AD86" s="503" t="s">
        <v>465</v>
      </c>
      <c r="AE86" s="503">
        <v>11</v>
      </c>
      <c r="AF86" s="504">
        <f t="shared" si="5"/>
        <v>46113</v>
      </c>
      <c r="AG86" s="503">
        <f t="shared" si="6"/>
        <v>1542</v>
      </c>
      <c r="AH86" s="503"/>
      <c r="AJ86" s="489"/>
    </row>
    <row r="87" spans="1:36" s="488" customFormat="1">
      <c r="A87" s="505">
        <v>1543</v>
      </c>
      <c r="B87" s="505">
        <v>897</v>
      </c>
      <c r="C87" s="490"/>
      <c r="D87" s="505">
        <v>950</v>
      </c>
      <c r="E87" s="490"/>
      <c r="F87" s="506" t="s">
        <v>465</v>
      </c>
      <c r="G87" s="517"/>
      <c r="H87" s="492">
        <v>46113</v>
      </c>
      <c r="I87" s="492"/>
      <c r="J87" s="515"/>
      <c r="K87" s="507">
        <v>46112</v>
      </c>
      <c r="L87" s="495">
        <v>46106</v>
      </c>
      <c r="M87" s="496">
        <v>46113</v>
      </c>
      <c r="N87" s="508"/>
      <c r="O87" s="499" t="s">
        <v>1058</v>
      </c>
      <c r="P87" s="499" t="s">
        <v>1058</v>
      </c>
      <c r="Q87" s="499" t="s">
        <v>1058</v>
      </c>
      <c r="R87" s="499" t="s">
        <v>1058</v>
      </c>
      <c r="S87" s="499" t="s">
        <v>1058</v>
      </c>
      <c r="T87" s="499" t="s">
        <v>1058</v>
      </c>
      <c r="U87" s="499" t="s">
        <v>1058</v>
      </c>
      <c r="V87" s="499" t="s">
        <v>1058</v>
      </c>
      <c r="W87" s="511" t="s">
        <v>1058</v>
      </c>
      <c r="X87" s="512" t="s">
        <v>1058</v>
      </c>
      <c r="Y87" s="498"/>
      <c r="Z87" s="509" t="s">
        <v>1058</v>
      </c>
      <c r="AA87" s="503" t="s">
        <v>984</v>
      </c>
      <c r="AB87" s="503" t="s">
        <v>580</v>
      </c>
      <c r="AC87" s="503"/>
      <c r="AD87" s="503" t="s">
        <v>465</v>
      </c>
      <c r="AE87" s="503">
        <v>11</v>
      </c>
      <c r="AF87" s="504">
        <f t="shared" si="5"/>
        <v>46113</v>
      </c>
      <c r="AG87" s="503">
        <f t="shared" si="6"/>
        <v>1543</v>
      </c>
      <c r="AH87" s="503"/>
      <c r="AJ87" s="489"/>
    </row>
    <row r="88" spans="1:36" s="488" customFormat="1">
      <c r="A88" s="505">
        <v>1544</v>
      </c>
      <c r="B88" s="505">
        <v>898</v>
      </c>
      <c r="C88" s="490"/>
      <c r="D88" s="505">
        <v>951</v>
      </c>
      <c r="E88" s="490"/>
      <c r="F88" s="506" t="s">
        <v>465</v>
      </c>
      <c r="G88" s="517"/>
      <c r="H88" s="492">
        <v>46113</v>
      </c>
      <c r="I88" s="492"/>
      <c r="J88" s="515"/>
      <c r="K88" s="507">
        <v>46112</v>
      </c>
      <c r="L88" s="495">
        <v>46106</v>
      </c>
      <c r="M88" s="496">
        <v>46113</v>
      </c>
      <c r="N88" s="508"/>
      <c r="O88" s="499" t="s">
        <v>1058</v>
      </c>
      <c r="P88" s="499" t="s">
        <v>1058</v>
      </c>
      <c r="Q88" s="499" t="s">
        <v>1058</v>
      </c>
      <c r="R88" s="499" t="s">
        <v>1058</v>
      </c>
      <c r="S88" s="499" t="s">
        <v>1058</v>
      </c>
      <c r="T88" s="499" t="s">
        <v>1058</v>
      </c>
      <c r="U88" s="499" t="s">
        <v>1058</v>
      </c>
      <c r="V88" s="499" t="s">
        <v>1058</v>
      </c>
      <c r="W88" s="511" t="s">
        <v>1058</v>
      </c>
      <c r="X88" s="512" t="s">
        <v>1058</v>
      </c>
      <c r="Y88" s="498"/>
      <c r="Z88" s="509" t="s">
        <v>1058</v>
      </c>
      <c r="AA88" s="503" t="s">
        <v>985</v>
      </c>
      <c r="AB88" s="503" t="s">
        <v>580</v>
      </c>
      <c r="AC88" s="503"/>
      <c r="AD88" s="503" t="s">
        <v>465</v>
      </c>
      <c r="AE88" s="503">
        <v>11</v>
      </c>
      <c r="AF88" s="504">
        <f t="shared" si="5"/>
        <v>46113</v>
      </c>
      <c r="AG88" s="503">
        <f t="shared" si="6"/>
        <v>1544</v>
      </c>
      <c r="AH88" s="503"/>
      <c r="AJ88" s="489"/>
    </row>
    <row r="89" spans="1:36" s="488" customFormat="1">
      <c r="A89" s="505">
        <v>1545</v>
      </c>
      <c r="B89" s="505">
        <v>899</v>
      </c>
      <c r="C89" s="490"/>
      <c r="D89" s="505">
        <v>952</v>
      </c>
      <c r="E89" s="490"/>
      <c r="F89" s="506" t="s">
        <v>465</v>
      </c>
      <c r="G89" s="517"/>
      <c r="H89" s="492">
        <v>46114</v>
      </c>
      <c r="I89" s="492"/>
      <c r="J89" s="515"/>
      <c r="K89" s="507">
        <v>46113</v>
      </c>
      <c r="L89" s="495">
        <v>46107</v>
      </c>
      <c r="M89" s="496">
        <v>46114</v>
      </c>
      <c r="N89" s="508"/>
      <c r="O89" s="499" t="s">
        <v>1058</v>
      </c>
      <c r="P89" s="499" t="s">
        <v>1058</v>
      </c>
      <c r="Q89" s="499" t="s">
        <v>1058</v>
      </c>
      <c r="R89" s="499" t="s">
        <v>1058</v>
      </c>
      <c r="S89" s="499" t="s">
        <v>1058</v>
      </c>
      <c r="T89" s="499" t="s">
        <v>1058</v>
      </c>
      <c r="U89" s="499" t="s">
        <v>1058</v>
      </c>
      <c r="V89" s="499" t="s">
        <v>1058</v>
      </c>
      <c r="W89" s="511" t="s">
        <v>1058</v>
      </c>
      <c r="X89" s="512" t="s">
        <v>1058</v>
      </c>
      <c r="Y89" s="498"/>
      <c r="Z89" s="509" t="s">
        <v>1058</v>
      </c>
      <c r="AA89" s="503" t="s">
        <v>986</v>
      </c>
      <c r="AB89" s="503" t="s">
        <v>580</v>
      </c>
      <c r="AC89" s="503"/>
      <c r="AD89" s="503" t="s">
        <v>465</v>
      </c>
      <c r="AE89" s="503">
        <v>11</v>
      </c>
      <c r="AF89" s="504">
        <f t="shared" si="5"/>
        <v>46114</v>
      </c>
      <c r="AG89" s="503">
        <f t="shared" si="6"/>
        <v>1545</v>
      </c>
      <c r="AH89" s="503"/>
      <c r="AJ89" s="489"/>
    </row>
    <row r="90" spans="1:36" s="488" customFormat="1">
      <c r="A90" s="505">
        <v>1546</v>
      </c>
      <c r="B90" s="505">
        <v>900</v>
      </c>
      <c r="C90" s="490"/>
      <c r="D90" s="505">
        <v>953</v>
      </c>
      <c r="E90" s="490"/>
      <c r="F90" s="506" t="s">
        <v>465</v>
      </c>
      <c r="G90" s="517"/>
      <c r="H90" s="492">
        <v>46114</v>
      </c>
      <c r="I90" s="492"/>
      <c r="J90" s="515"/>
      <c r="K90" s="507">
        <v>46113</v>
      </c>
      <c r="L90" s="495">
        <v>46107</v>
      </c>
      <c r="M90" s="496">
        <v>46114</v>
      </c>
      <c r="N90" s="508"/>
      <c r="O90" s="499" t="s">
        <v>1058</v>
      </c>
      <c r="P90" s="499" t="s">
        <v>1058</v>
      </c>
      <c r="Q90" s="499" t="s">
        <v>1058</v>
      </c>
      <c r="R90" s="499" t="s">
        <v>1058</v>
      </c>
      <c r="S90" s="499" t="s">
        <v>1058</v>
      </c>
      <c r="T90" s="499" t="s">
        <v>1058</v>
      </c>
      <c r="U90" s="499" t="s">
        <v>1058</v>
      </c>
      <c r="V90" s="499" t="s">
        <v>1058</v>
      </c>
      <c r="W90" s="511" t="s">
        <v>1058</v>
      </c>
      <c r="X90" s="512" t="s">
        <v>1058</v>
      </c>
      <c r="Y90" s="498"/>
      <c r="Z90" s="509" t="s">
        <v>1058</v>
      </c>
      <c r="AA90" s="503" t="s">
        <v>987</v>
      </c>
      <c r="AB90" s="503" t="s">
        <v>580</v>
      </c>
      <c r="AC90" s="503"/>
      <c r="AD90" s="503" t="s">
        <v>465</v>
      </c>
      <c r="AE90" s="503">
        <v>11</v>
      </c>
      <c r="AF90" s="504">
        <f t="shared" si="5"/>
        <v>46114</v>
      </c>
      <c r="AG90" s="503">
        <f t="shared" si="6"/>
        <v>1546</v>
      </c>
      <c r="AH90" s="503"/>
      <c r="AJ90" s="489"/>
    </row>
    <row r="91" spans="1:36" s="488" customFormat="1">
      <c r="A91" s="505">
        <v>1547</v>
      </c>
      <c r="B91" s="505">
        <v>901</v>
      </c>
      <c r="C91" s="490"/>
      <c r="D91" s="505">
        <v>954</v>
      </c>
      <c r="E91" s="490"/>
      <c r="F91" s="506" t="s">
        <v>465</v>
      </c>
      <c r="G91" s="517"/>
      <c r="H91" s="492">
        <v>46114</v>
      </c>
      <c r="I91" s="492"/>
      <c r="J91" s="515"/>
      <c r="K91" s="507">
        <v>46113</v>
      </c>
      <c r="L91" s="495">
        <v>46107</v>
      </c>
      <c r="M91" s="496">
        <v>46114</v>
      </c>
      <c r="N91" s="508"/>
      <c r="O91" s="499" t="s">
        <v>1058</v>
      </c>
      <c r="P91" s="499" t="s">
        <v>1058</v>
      </c>
      <c r="Q91" s="499" t="s">
        <v>1058</v>
      </c>
      <c r="R91" s="499" t="s">
        <v>1058</v>
      </c>
      <c r="S91" s="499" t="s">
        <v>1058</v>
      </c>
      <c r="T91" s="499" t="s">
        <v>1058</v>
      </c>
      <c r="U91" s="499" t="s">
        <v>1058</v>
      </c>
      <c r="V91" s="499" t="s">
        <v>1058</v>
      </c>
      <c r="W91" s="511" t="s">
        <v>1058</v>
      </c>
      <c r="X91" s="512" t="s">
        <v>1058</v>
      </c>
      <c r="Y91" s="498"/>
      <c r="Z91" s="509" t="s">
        <v>1058</v>
      </c>
      <c r="AA91" s="503" t="s">
        <v>988</v>
      </c>
      <c r="AB91" s="503" t="s">
        <v>580</v>
      </c>
      <c r="AC91" s="503"/>
      <c r="AD91" s="503" t="s">
        <v>465</v>
      </c>
      <c r="AE91" s="503">
        <v>11</v>
      </c>
      <c r="AF91" s="504">
        <f t="shared" si="5"/>
        <v>46114</v>
      </c>
      <c r="AG91" s="503">
        <f t="shared" si="6"/>
        <v>1547</v>
      </c>
      <c r="AH91" s="503"/>
      <c r="AJ91" s="489"/>
    </row>
    <row r="92" spans="1:36" s="488" customFormat="1">
      <c r="A92" s="505">
        <v>1548</v>
      </c>
      <c r="B92" s="505">
        <v>902</v>
      </c>
      <c r="C92" s="490"/>
      <c r="D92" s="505">
        <v>955</v>
      </c>
      <c r="E92" s="490"/>
      <c r="F92" s="506" t="s">
        <v>465</v>
      </c>
      <c r="G92" s="517"/>
      <c r="H92" s="492">
        <v>46115</v>
      </c>
      <c r="I92" s="492"/>
      <c r="J92" s="515"/>
      <c r="K92" s="507">
        <v>46114</v>
      </c>
      <c r="L92" s="495">
        <v>46108</v>
      </c>
      <c r="M92" s="496">
        <v>46115</v>
      </c>
      <c r="N92" s="508"/>
      <c r="O92" s="499" t="s">
        <v>1058</v>
      </c>
      <c r="P92" s="499" t="s">
        <v>1058</v>
      </c>
      <c r="Q92" s="499" t="s">
        <v>1058</v>
      </c>
      <c r="R92" s="499" t="s">
        <v>1058</v>
      </c>
      <c r="S92" s="499" t="s">
        <v>1058</v>
      </c>
      <c r="T92" s="499" t="s">
        <v>1058</v>
      </c>
      <c r="U92" s="499" t="s">
        <v>1058</v>
      </c>
      <c r="V92" s="499" t="s">
        <v>1058</v>
      </c>
      <c r="W92" s="511" t="s">
        <v>1058</v>
      </c>
      <c r="X92" s="512" t="s">
        <v>1058</v>
      </c>
      <c r="Y92" s="498"/>
      <c r="Z92" s="509" t="s">
        <v>1058</v>
      </c>
      <c r="AA92" s="503" t="s">
        <v>989</v>
      </c>
      <c r="AB92" s="503" t="s">
        <v>580</v>
      </c>
      <c r="AC92" s="503"/>
      <c r="AD92" s="503" t="s">
        <v>465</v>
      </c>
      <c r="AE92" s="503">
        <v>11</v>
      </c>
      <c r="AF92" s="504">
        <f t="shared" si="5"/>
        <v>46115</v>
      </c>
      <c r="AG92" s="503">
        <f t="shared" si="6"/>
        <v>1548</v>
      </c>
      <c r="AH92" s="503"/>
      <c r="AJ92" s="489"/>
    </row>
    <row r="93" spans="1:36" s="488" customFormat="1">
      <c r="A93" s="505">
        <v>1549</v>
      </c>
      <c r="B93" s="505">
        <v>903</v>
      </c>
      <c r="C93" s="490"/>
      <c r="D93" s="505">
        <v>956</v>
      </c>
      <c r="E93" s="490"/>
      <c r="F93" s="506" t="s">
        <v>465</v>
      </c>
      <c r="G93" s="517"/>
      <c r="H93" s="492">
        <v>46115</v>
      </c>
      <c r="I93" s="492"/>
      <c r="J93" s="515"/>
      <c r="K93" s="507">
        <v>46114</v>
      </c>
      <c r="L93" s="495">
        <v>46108</v>
      </c>
      <c r="M93" s="496">
        <v>46115</v>
      </c>
      <c r="N93" s="508"/>
      <c r="O93" s="499" t="s">
        <v>1058</v>
      </c>
      <c r="P93" s="499" t="s">
        <v>1058</v>
      </c>
      <c r="Q93" s="499" t="s">
        <v>1058</v>
      </c>
      <c r="R93" s="499" t="s">
        <v>1058</v>
      </c>
      <c r="S93" s="499" t="s">
        <v>1058</v>
      </c>
      <c r="T93" s="499" t="s">
        <v>1058</v>
      </c>
      <c r="U93" s="499" t="s">
        <v>1058</v>
      </c>
      <c r="V93" s="499" t="s">
        <v>1058</v>
      </c>
      <c r="W93" s="511" t="s">
        <v>1058</v>
      </c>
      <c r="X93" s="512" t="s">
        <v>1058</v>
      </c>
      <c r="Y93" s="498"/>
      <c r="Z93" s="509" t="s">
        <v>1058</v>
      </c>
      <c r="AA93" s="503" t="s">
        <v>990</v>
      </c>
      <c r="AB93" s="503" t="s">
        <v>580</v>
      </c>
      <c r="AC93" s="503"/>
      <c r="AD93" s="503" t="s">
        <v>465</v>
      </c>
      <c r="AE93" s="503">
        <v>11</v>
      </c>
      <c r="AF93" s="504">
        <f t="shared" si="5"/>
        <v>46115</v>
      </c>
      <c r="AG93" s="503">
        <f t="shared" si="6"/>
        <v>1549</v>
      </c>
      <c r="AH93" s="503"/>
      <c r="AJ93" s="489"/>
    </row>
    <row r="94" spans="1:36" s="488" customFormat="1">
      <c r="A94" s="505">
        <v>1550</v>
      </c>
      <c r="B94" s="505">
        <v>904</v>
      </c>
      <c r="C94" s="490"/>
      <c r="D94" s="505">
        <v>957</v>
      </c>
      <c r="E94" s="490"/>
      <c r="F94" s="506" t="s">
        <v>465</v>
      </c>
      <c r="G94" s="517"/>
      <c r="H94" s="492">
        <v>46118</v>
      </c>
      <c r="I94" s="492"/>
      <c r="J94" s="515"/>
      <c r="K94" s="507">
        <v>46114</v>
      </c>
      <c r="L94" s="495">
        <v>46108</v>
      </c>
      <c r="M94" s="496">
        <v>46118</v>
      </c>
      <c r="N94" s="508"/>
      <c r="O94" s="499" t="s">
        <v>1058</v>
      </c>
      <c r="P94" s="499" t="s">
        <v>1058</v>
      </c>
      <c r="Q94" s="499" t="s">
        <v>1058</v>
      </c>
      <c r="R94" s="499" t="s">
        <v>1058</v>
      </c>
      <c r="S94" s="499" t="s">
        <v>1058</v>
      </c>
      <c r="T94" s="499" t="s">
        <v>1058</v>
      </c>
      <c r="U94" s="499" t="s">
        <v>1058</v>
      </c>
      <c r="V94" s="499" t="s">
        <v>1058</v>
      </c>
      <c r="W94" s="511" t="s">
        <v>1058</v>
      </c>
      <c r="X94" s="512" t="s">
        <v>1058</v>
      </c>
      <c r="Y94" s="498"/>
      <c r="Z94" s="509" t="s">
        <v>1058</v>
      </c>
      <c r="AA94" s="503" t="s">
        <v>991</v>
      </c>
      <c r="AB94" s="503" t="s">
        <v>580</v>
      </c>
      <c r="AC94" s="503"/>
      <c r="AD94" s="503" t="s">
        <v>465</v>
      </c>
      <c r="AE94" s="503">
        <v>11</v>
      </c>
      <c r="AF94" s="504">
        <f t="shared" si="5"/>
        <v>46118</v>
      </c>
      <c r="AG94" s="503">
        <f t="shared" si="6"/>
        <v>1550</v>
      </c>
      <c r="AH94" s="503"/>
      <c r="AJ94" s="489"/>
    </row>
    <row r="95" spans="1:36" s="488" customFormat="1">
      <c r="A95" s="505">
        <v>1551</v>
      </c>
      <c r="B95" s="505">
        <v>905</v>
      </c>
      <c r="C95" s="490"/>
      <c r="D95" s="505">
        <v>958</v>
      </c>
      <c r="E95" s="490"/>
      <c r="F95" s="506" t="s">
        <v>465</v>
      </c>
      <c r="G95" s="517"/>
      <c r="H95" s="492">
        <v>46118</v>
      </c>
      <c r="I95" s="492"/>
      <c r="J95" s="515"/>
      <c r="K95" s="507">
        <v>46115</v>
      </c>
      <c r="L95" s="495">
        <v>46111</v>
      </c>
      <c r="M95" s="496">
        <v>46118</v>
      </c>
      <c r="N95" s="508"/>
      <c r="O95" s="499" t="s">
        <v>1058</v>
      </c>
      <c r="P95" s="499" t="s">
        <v>1058</v>
      </c>
      <c r="Q95" s="499" t="s">
        <v>1058</v>
      </c>
      <c r="R95" s="499" t="s">
        <v>1058</v>
      </c>
      <c r="S95" s="499" t="s">
        <v>1058</v>
      </c>
      <c r="T95" s="499" t="s">
        <v>1058</v>
      </c>
      <c r="U95" s="499" t="s">
        <v>1058</v>
      </c>
      <c r="V95" s="499" t="s">
        <v>1058</v>
      </c>
      <c r="W95" s="511" t="s">
        <v>1058</v>
      </c>
      <c r="X95" s="512" t="s">
        <v>1058</v>
      </c>
      <c r="Y95" s="498"/>
      <c r="Z95" s="509" t="s">
        <v>1058</v>
      </c>
      <c r="AA95" s="503" t="s">
        <v>1332</v>
      </c>
      <c r="AB95" s="503" t="s">
        <v>580</v>
      </c>
      <c r="AC95" s="503"/>
      <c r="AD95" s="503" t="s">
        <v>465</v>
      </c>
      <c r="AE95" s="503">
        <v>11</v>
      </c>
      <c r="AF95" s="504">
        <f t="shared" si="5"/>
        <v>46118</v>
      </c>
      <c r="AG95" s="503">
        <f t="shared" si="6"/>
        <v>1551</v>
      </c>
      <c r="AH95" s="503"/>
      <c r="AJ95" s="489"/>
    </row>
    <row r="96" spans="1:36" s="488" customFormat="1">
      <c r="A96" s="505">
        <v>1552</v>
      </c>
      <c r="B96" s="505">
        <v>906</v>
      </c>
      <c r="C96" s="490"/>
      <c r="D96" s="505">
        <v>959</v>
      </c>
      <c r="E96" s="490"/>
      <c r="F96" s="506" t="s">
        <v>465</v>
      </c>
      <c r="G96" s="517"/>
      <c r="H96" s="492">
        <v>46119</v>
      </c>
      <c r="I96" s="492"/>
      <c r="J96" s="515"/>
      <c r="K96" s="507">
        <v>46115</v>
      </c>
      <c r="L96" s="495">
        <v>46111</v>
      </c>
      <c r="M96" s="496">
        <v>46119</v>
      </c>
      <c r="N96" s="508"/>
      <c r="O96" s="499" t="s">
        <v>1058</v>
      </c>
      <c r="P96" s="499" t="s">
        <v>1058</v>
      </c>
      <c r="Q96" s="499" t="s">
        <v>1058</v>
      </c>
      <c r="R96" s="499" t="s">
        <v>1058</v>
      </c>
      <c r="S96" s="499" t="s">
        <v>1058</v>
      </c>
      <c r="T96" s="499" t="s">
        <v>1058</v>
      </c>
      <c r="U96" s="499" t="s">
        <v>1058</v>
      </c>
      <c r="V96" s="499" t="s">
        <v>1058</v>
      </c>
      <c r="W96" s="511" t="s">
        <v>1058</v>
      </c>
      <c r="X96" s="512" t="s">
        <v>1058</v>
      </c>
      <c r="Y96" s="498"/>
      <c r="Z96" s="509" t="s">
        <v>1058</v>
      </c>
      <c r="AA96" s="503" t="s">
        <v>1333</v>
      </c>
      <c r="AB96" s="503" t="s">
        <v>580</v>
      </c>
      <c r="AC96" s="503"/>
      <c r="AD96" s="503" t="s">
        <v>465</v>
      </c>
      <c r="AE96" s="503">
        <v>11</v>
      </c>
      <c r="AF96" s="504">
        <f t="shared" si="5"/>
        <v>46119</v>
      </c>
      <c r="AG96" s="503">
        <f t="shared" si="6"/>
        <v>1552</v>
      </c>
      <c r="AH96" s="503"/>
      <c r="AJ96" s="489"/>
    </row>
    <row r="97" spans="1:36" s="488" customFormat="1">
      <c r="A97" s="505">
        <v>1553</v>
      </c>
      <c r="B97" s="505">
        <v>907</v>
      </c>
      <c r="C97" s="490"/>
      <c r="D97" s="505">
        <v>960</v>
      </c>
      <c r="E97" s="490"/>
      <c r="F97" s="506" t="s">
        <v>465</v>
      </c>
      <c r="G97" s="517"/>
      <c r="H97" s="492">
        <v>46119</v>
      </c>
      <c r="I97" s="492"/>
      <c r="J97" s="515"/>
      <c r="K97" s="507">
        <v>46115</v>
      </c>
      <c r="L97" s="495">
        <v>46111</v>
      </c>
      <c r="M97" s="496">
        <v>46119</v>
      </c>
      <c r="N97" s="508"/>
      <c r="O97" s="499" t="s">
        <v>1058</v>
      </c>
      <c r="P97" s="499" t="s">
        <v>1058</v>
      </c>
      <c r="Q97" s="499" t="s">
        <v>1058</v>
      </c>
      <c r="R97" s="499" t="s">
        <v>1058</v>
      </c>
      <c r="S97" s="499" t="s">
        <v>1058</v>
      </c>
      <c r="T97" s="499" t="s">
        <v>1058</v>
      </c>
      <c r="U97" s="499" t="s">
        <v>1058</v>
      </c>
      <c r="V97" s="499" t="s">
        <v>1058</v>
      </c>
      <c r="W97" s="511" t="s">
        <v>1058</v>
      </c>
      <c r="X97" s="512" t="s">
        <v>1058</v>
      </c>
      <c r="Y97" s="498"/>
      <c r="Z97" s="509" t="s">
        <v>1058</v>
      </c>
      <c r="AA97" s="503" t="s">
        <v>1334</v>
      </c>
      <c r="AB97" s="503" t="s">
        <v>580</v>
      </c>
      <c r="AC97" s="503"/>
      <c r="AD97" s="503" t="s">
        <v>465</v>
      </c>
      <c r="AE97" s="503">
        <v>11</v>
      </c>
      <c r="AF97" s="504">
        <f t="shared" si="5"/>
        <v>46119</v>
      </c>
      <c r="AG97" s="503">
        <f t="shared" si="6"/>
        <v>1553</v>
      </c>
      <c r="AH97" s="503"/>
      <c r="AJ97" s="489"/>
    </row>
    <row r="98" spans="1:36" s="488" customFormat="1">
      <c r="A98" s="505">
        <v>1554</v>
      </c>
      <c r="B98" s="505">
        <v>908</v>
      </c>
      <c r="C98" s="490"/>
      <c r="D98" s="505">
        <v>961</v>
      </c>
      <c r="E98" s="490"/>
      <c r="F98" s="506" t="s">
        <v>465</v>
      </c>
      <c r="G98" s="517"/>
      <c r="H98" s="492">
        <v>46120</v>
      </c>
      <c r="I98" s="492"/>
      <c r="J98" s="515"/>
      <c r="K98" s="507">
        <v>46118</v>
      </c>
      <c r="L98" s="495">
        <v>46112</v>
      </c>
      <c r="M98" s="496">
        <v>46120</v>
      </c>
      <c r="N98" s="508"/>
      <c r="O98" s="499" t="s">
        <v>1058</v>
      </c>
      <c r="P98" s="499" t="s">
        <v>1058</v>
      </c>
      <c r="Q98" s="499" t="s">
        <v>1058</v>
      </c>
      <c r="R98" s="499" t="s">
        <v>1058</v>
      </c>
      <c r="S98" s="499" t="s">
        <v>1058</v>
      </c>
      <c r="T98" s="499" t="s">
        <v>1058</v>
      </c>
      <c r="U98" s="499" t="s">
        <v>1058</v>
      </c>
      <c r="V98" s="499" t="s">
        <v>1058</v>
      </c>
      <c r="W98" s="511" t="s">
        <v>1058</v>
      </c>
      <c r="X98" s="512" t="s">
        <v>1058</v>
      </c>
      <c r="Y98" s="498"/>
      <c r="Z98" s="509" t="s">
        <v>1058</v>
      </c>
      <c r="AA98" s="503" t="s">
        <v>992</v>
      </c>
      <c r="AB98" s="503" t="s">
        <v>580</v>
      </c>
      <c r="AC98" s="503"/>
      <c r="AD98" s="503" t="s">
        <v>465</v>
      </c>
      <c r="AE98" s="503">
        <v>11</v>
      </c>
      <c r="AF98" s="504">
        <f t="shared" ref="AF98:AF129" si="7">H98</f>
        <v>46120</v>
      </c>
      <c r="AG98" s="503">
        <f t="shared" ref="AG98:AG129" si="8">A98</f>
        <v>1554</v>
      </c>
      <c r="AH98" s="503"/>
      <c r="AJ98" s="489"/>
    </row>
    <row r="99" spans="1:36" s="488" customFormat="1">
      <c r="A99" s="505">
        <v>1555</v>
      </c>
      <c r="B99" s="505">
        <v>909</v>
      </c>
      <c r="C99" s="490"/>
      <c r="D99" s="505">
        <v>962</v>
      </c>
      <c r="E99" s="490"/>
      <c r="F99" s="506" t="s">
        <v>465</v>
      </c>
      <c r="G99" s="517"/>
      <c r="H99" s="492">
        <v>46120</v>
      </c>
      <c r="I99" s="492"/>
      <c r="J99" s="515"/>
      <c r="K99" s="507">
        <v>46118</v>
      </c>
      <c r="L99" s="495">
        <v>46112</v>
      </c>
      <c r="M99" s="496">
        <v>46120</v>
      </c>
      <c r="N99" s="508"/>
      <c r="O99" s="499" t="s">
        <v>1058</v>
      </c>
      <c r="P99" s="499" t="s">
        <v>1058</v>
      </c>
      <c r="Q99" s="499" t="s">
        <v>1058</v>
      </c>
      <c r="R99" s="499" t="s">
        <v>1058</v>
      </c>
      <c r="S99" s="499" t="s">
        <v>1058</v>
      </c>
      <c r="T99" s="499" t="s">
        <v>1058</v>
      </c>
      <c r="U99" s="499" t="s">
        <v>1058</v>
      </c>
      <c r="V99" s="499" t="s">
        <v>1058</v>
      </c>
      <c r="W99" s="511" t="s">
        <v>1058</v>
      </c>
      <c r="X99" s="512" t="s">
        <v>1058</v>
      </c>
      <c r="Y99" s="498"/>
      <c r="Z99" s="509" t="s">
        <v>1058</v>
      </c>
      <c r="AA99" s="503" t="s">
        <v>993</v>
      </c>
      <c r="AB99" s="503" t="s">
        <v>580</v>
      </c>
      <c r="AC99" s="503"/>
      <c r="AD99" s="503" t="s">
        <v>465</v>
      </c>
      <c r="AE99" s="503">
        <v>11</v>
      </c>
      <c r="AF99" s="504">
        <f t="shared" si="7"/>
        <v>46120</v>
      </c>
      <c r="AG99" s="503">
        <f t="shared" si="8"/>
        <v>1555</v>
      </c>
      <c r="AH99" s="503"/>
      <c r="AJ99" s="489"/>
    </row>
    <row r="100" spans="1:36" s="488" customFormat="1">
      <c r="A100" s="505">
        <v>1556</v>
      </c>
      <c r="B100" s="505">
        <v>910</v>
      </c>
      <c r="C100" s="490"/>
      <c r="D100" s="505">
        <v>963</v>
      </c>
      <c r="E100" s="490"/>
      <c r="F100" s="506" t="s">
        <v>465</v>
      </c>
      <c r="G100" s="517"/>
      <c r="H100" s="492">
        <v>46120</v>
      </c>
      <c r="I100" s="492"/>
      <c r="J100" s="515"/>
      <c r="K100" s="507">
        <v>46118</v>
      </c>
      <c r="L100" s="495">
        <v>46112</v>
      </c>
      <c r="M100" s="496">
        <v>46120</v>
      </c>
      <c r="N100" s="508"/>
      <c r="O100" s="499" t="s">
        <v>1058</v>
      </c>
      <c r="P100" s="499" t="s">
        <v>1058</v>
      </c>
      <c r="Q100" s="499" t="s">
        <v>1058</v>
      </c>
      <c r="R100" s="499" t="s">
        <v>1058</v>
      </c>
      <c r="S100" s="499" t="s">
        <v>1058</v>
      </c>
      <c r="T100" s="499" t="s">
        <v>1058</v>
      </c>
      <c r="U100" s="499" t="s">
        <v>1058</v>
      </c>
      <c r="V100" s="499" t="s">
        <v>1058</v>
      </c>
      <c r="W100" s="511" t="s">
        <v>1058</v>
      </c>
      <c r="X100" s="512" t="s">
        <v>1058</v>
      </c>
      <c r="Y100" s="498"/>
      <c r="Z100" s="509" t="s">
        <v>1058</v>
      </c>
      <c r="AA100" s="503" t="s">
        <v>994</v>
      </c>
      <c r="AB100" s="503" t="s">
        <v>580</v>
      </c>
      <c r="AC100" s="503"/>
      <c r="AD100" s="503" t="s">
        <v>465</v>
      </c>
      <c r="AE100" s="503">
        <v>11</v>
      </c>
      <c r="AF100" s="504">
        <f t="shared" si="7"/>
        <v>46120</v>
      </c>
      <c r="AG100" s="503">
        <f t="shared" si="8"/>
        <v>1556</v>
      </c>
      <c r="AH100" s="503"/>
      <c r="AJ100" s="489"/>
    </row>
    <row r="101" spans="1:36" s="488" customFormat="1">
      <c r="A101" s="505">
        <v>1557</v>
      </c>
      <c r="B101" s="505">
        <v>911</v>
      </c>
      <c r="C101" s="490"/>
      <c r="D101" s="505">
        <v>964</v>
      </c>
      <c r="E101" s="490"/>
      <c r="F101" s="506" t="s">
        <v>465</v>
      </c>
      <c r="G101" s="517"/>
      <c r="H101" s="492">
        <v>46121</v>
      </c>
      <c r="I101" s="492"/>
      <c r="J101" s="515"/>
      <c r="K101" s="507">
        <v>46119</v>
      </c>
      <c r="L101" s="495">
        <v>46113</v>
      </c>
      <c r="M101" s="496">
        <v>46121</v>
      </c>
      <c r="N101" s="508"/>
      <c r="O101" s="499" t="s">
        <v>1058</v>
      </c>
      <c r="P101" s="499" t="s">
        <v>1058</v>
      </c>
      <c r="Q101" s="499" t="s">
        <v>1058</v>
      </c>
      <c r="R101" s="499" t="s">
        <v>1058</v>
      </c>
      <c r="S101" s="499" t="s">
        <v>1058</v>
      </c>
      <c r="T101" s="499" t="s">
        <v>1058</v>
      </c>
      <c r="U101" s="499" t="s">
        <v>1058</v>
      </c>
      <c r="V101" s="499" t="s">
        <v>1058</v>
      </c>
      <c r="W101" s="511" t="s">
        <v>1058</v>
      </c>
      <c r="X101" s="512" t="s">
        <v>1058</v>
      </c>
      <c r="Y101" s="498"/>
      <c r="Z101" s="509" t="s">
        <v>1058</v>
      </c>
      <c r="AA101" s="503" t="s">
        <v>995</v>
      </c>
      <c r="AB101" s="503" t="s">
        <v>580</v>
      </c>
      <c r="AC101" s="503"/>
      <c r="AD101" s="503" t="s">
        <v>465</v>
      </c>
      <c r="AE101" s="503">
        <v>11</v>
      </c>
      <c r="AF101" s="504">
        <f t="shared" si="7"/>
        <v>46121</v>
      </c>
      <c r="AG101" s="503">
        <f t="shared" si="8"/>
        <v>1557</v>
      </c>
      <c r="AH101" s="503"/>
      <c r="AJ101" s="489"/>
    </row>
    <row r="102" spans="1:36" s="488" customFormat="1">
      <c r="A102" s="505">
        <v>1558</v>
      </c>
      <c r="B102" s="505">
        <v>912</v>
      </c>
      <c r="C102" s="490"/>
      <c r="D102" s="505">
        <v>965</v>
      </c>
      <c r="E102" s="490"/>
      <c r="F102" s="506" t="s">
        <v>465</v>
      </c>
      <c r="G102" s="517"/>
      <c r="H102" s="492">
        <v>46121</v>
      </c>
      <c r="I102" s="492"/>
      <c r="J102" s="515"/>
      <c r="K102" s="507">
        <v>46119</v>
      </c>
      <c r="L102" s="495">
        <v>46113</v>
      </c>
      <c r="M102" s="496">
        <v>46121</v>
      </c>
      <c r="N102" s="508"/>
      <c r="O102" s="499" t="s">
        <v>1058</v>
      </c>
      <c r="P102" s="499" t="s">
        <v>1058</v>
      </c>
      <c r="Q102" s="499" t="s">
        <v>1058</v>
      </c>
      <c r="R102" s="499" t="s">
        <v>1058</v>
      </c>
      <c r="S102" s="499" t="s">
        <v>1058</v>
      </c>
      <c r="T102" s="499" t="s">
        <v>1058</v>
      </c>
      <c r="U102" s="499" t="s">
        <v>1058</v>
      </c>
      <c r="V102" s="499" t="s">
        <v>1058</v>
      </c>
      <c r="W102" s="511" t="s">
        <v>1058</v>
      </c>
      <c r="X102" s="512" t="s">
        <v>1058</v>
      </c>
      <c r="Y102" s="498"/>
      <c r="Z102" s="509" t="s">
        <v>1058</v>
      </c>
      <c r="AA102" s="503" t="s">
        <v>996</v>
      </c>
      <c r="AB102" s="503" t="s">
        <v>580</v>
      </c>
      <c r="AC102" s="503"/>
      <c r="AD102" s="503" t="s">
        <v>465</v>
      </c>
      <c r="AE102" s="503">
        <v>11</v>
      </c>
      <c r="AF102" s="504">
        <f t="shared" si="7"/>
        <v>46121</v>
      </c>
      <c r="AG102" s="503">
        <f t="shared" si="8"/>
        <v>1558</v>
      </c>
      <c r="AH102" s="503"/>
      <c r="AJ102" s="489"/>
    </row>
    <row r="103" spans="1:36" s="488" customFormat="1">
      <c r="A103" s="505">
        <v>1559</v>
      </c>
      <c r="B103" s="505">
        <v>913</v>
      </c>
      <c r="C103" s="490"/>
      <c r="D103" s="505">
        <v>966</v>
      </c>
      <c r="E103" s="490"/>
      <c r="F103" s="506" t="s">
        <v>465</v>
      </c>
      <c r="G103" s="517"/>
      <c r="H103" s="492">
        <v>46122</v>
      </c>
      <c r="I103" s="492"/>
      <c r="J103" s="515"/>
      <c r="K103" s="507">
        <v>46119</v>
      </c>
      <c r="L103" s="495">
        <v>46113</v>
      </c>
      <c r="M103" s="496">
        <v>46122</v>
      </c>
      <c r="N103" s="508"/>
      <c r="O103" s="499" t="s">
        <v>1058</v>
      </c>
      <c r="P103" s="499" t="s">
        <v>1058</v>
      </c>
      <c r="Q103" s="499" t="s">
        <v>1058</v>
      </c>
      <c r="R103" s="499" t="s">
        <v>1058</v>
      </c>
      <c r="S103" s="499" t="s">
        <v>1058</v>
      </c>
      <c r="T103" s="499" t="s">
        <v>1058</v>
      </c>
      <c r="U103" s="499" t="s">
        <v>1058</v>
      </c>
      <c r="V103" s="499" t="s">
        <v>1058</v>
      </c>
      <c r="W103" s="511" t="s">
        <v>1058</v>
      </c>
      <c r="X103" s="512" t="s">
        <v>1058</v>
      </c>
      <c r="Y103" s="498"/>
      <c r="Z103" s="509" t="s">
        <v>1058</v>
      </c>
      <c r="AA103" s="503" t="s">
        <v>997</v>
      </c>
      <c r="AB103" s="503" t="s">
        <v>580</v>
      </c>
      <c r="AC103" s="503"/>
      <c r="AD103" s="503" t="s">
        <v>465</v>
      </c>
      <c r="AE103" s="503">
        <v>11</v>
      </c>
      <c r="AF103" s="504">
        <f t="shared" si="7"/>
        <v>46122</v>
      </c>
      <c r="AG103" s="503">
        <f t="shared" si="8"/>
        <v>1559</v>
      </c>
      <c r="AH103" s="503"/>
      <c r="AJ103" s="489"/>
    </row>
    <row r="104" spans="1:36" s="488" customFormat="1">
      <c r="A104" s="505">
        <v>1560</v>
      </c>
      <c r="B104" s="505">
        <v>914</v>
      </c>
      <c r="C104" s="490"/>
      <c r="D104" s="505">
        <v>967</v>
      </c>
      <c r="E104" s="490"/>
      <c r="F104" s="506" t="s">
        <v>465</v>
      </c>
      <c r="G104" s="517"/>
      <c r="H104" s="492">
        <v>46122</v>
      </c>
      <c r="I104" s="492"/>
      <c r="J104" s="515"/>
      <c r="K104" s="507">
        <v>46120</v>
      </c>
      <c r="L104" s="495">
        <v>46114</v>
      </c>
      <c r="M104" s="496">
        <v>46122</v>
      </c>
      <c r="N104" s="508"/>
      <c r="O104" s="499" t="s">
        <v>1058</v>
      </c>
      <c r="P104" s="499" t="s">
        <v>1058</v>
      </c>
      <c r="Q104" s="499" t="s">
        <v>1058</v>
      </c>
      <c r="R104" s="499" t="s">
        <v>1058</v>
      </c>
      <c r="S104" s="499" t="s">
        <v>1058</v>
      </c>
      <c r="T104" s="499" t="s">
        <v>1058</v>
      </c>
      <c r="U104" s="499" t="s">
        <v>1058</v>
      </c>
      <c r="V104" s="499" t="s">
        <v>1058</v>
      </c>
      <c r="W104" s="511" t="s">
        <v>1058</v>
      </c>
      <c r="X104" s="512" t="s">
        <v>1058</v>
      </c>
      <c r="Y104" s="498"/>
      <c r="Z104" s="509" t="s">
        <v>1058</v>
      </c>
      <c r="AA104" s="503" t="s">
        <v>998</v>
      </c>
      <c r="AB104" s="503" t="s">
        <v>580</v>
      </c>
      <c r="AC104" s="503"/>
      <c r="AD104" s="503" t="s">
        <v>465</v>
      </c>
      <c r="AE104" s="503">
        <v>11</v>
      </c>
      <c r="AF104" s="504">
        <f t="shared" si="7"/>
        <v>46122</v>
      </c>
      <c r="AG104" s="503">
        <f t="shared" si="8"/>
        <v>1560</v>
      </c>
      <c r="AH104" s="503"/>
      <c r="AJ104" s="489"/>
    </row>
    <row r="105" spans="1:36" s="488" customFormat="1">
      <c r="A105" s="505">
        <v>1561</v>
      </c>
      <c r="B105" s="505">
        <v>915</v>
      </c>
      <c r="C105" s="490"/>
      <c r="D105" s="505">
        <v>968</v>
      </c>
      <c r="E105" s="490"/>
      <c r="F105" s="506" t="s">
        <v>465</v>
      </c>
      <c r="G105" s="517"/>
      <c r="H105" s="492">
        <v>46125</v>
      </c>
      <c r="I105" s="492"/>
      <c r="J105" s="515"/>
      <c r="K105" s="507">
        <v>46120</v>
      </c>
      <c r="L105" s="495">
        <v>46114</v>
      </c>
      <c r="M105" s="496">
        <v>46125</v>
      </c>
      <c r="N105" s="508"/>
      <c r="O105" s="499" t="s">
        <v>1058</v>
      </c>
      <c r="P105" s="499" t="s">
        <v>1058</v>
      </c>
      <c r="Q105" s="499" t="s">
        <v>1058</v>
      </c>
      <c r="R105" s="499" t="s">
        <v>1058</v>
      </c>
      <c r="S105" s="499" t="s">
        <v>1058</v>
      </c>
      <c r="T105" s="499" t="s">
        <v>1058</v>
      </c>
      <c r="U105" s="499" t="s">
        <v>1058</v>
      </c>
      <c r="V105" s="499" t="s">
        <v>1058</v>
      </c>
      <c r="W105" s="511" t="s">
        <v>1058</v>
      </c>
      <c r="X105" s="512" t="s">
        <v>1058</v>
      </c>
      <c r="Y105" s="498"/>
      <c r="Z105" s="509" t="s">
        <v>1058</v>
      </c>
      <c r="AA105" s="503" t="s">
        <v>999</v>
      </c>
      <c r="AB105" s="503" t="s">
        <v>580</v>
      </c>
      <c r="AC105" s="503"/>
      <c r="AD105" s="503" t="s">
        <v>465</v>
      </c>
      <c r="AE105" s="503">
        <v>11</v>
      </c>
      <c r="AF105" s="504">
        <f t="shared" si="7"/>
        <v>46125</v>
      </c>
      <c r="AG105" s="503">
        <f t="shared" si="8"/>
        <v>1561</v>
      </c>
      <c r="AH105" s="503"/>
      <c r="AJ105" s="489"/>
    </row>
    <row r="106" spans="1:36" s="488" customFormat="1">
      <c r="A106" s="505">
        <v>1562</v>
      </c>
      <c r="B106" s="505">
        <v>916</v>
      </c>
      <c r="C106" s="490"/>
      <c r="D106" s="505">
        <v>969</v>
      </c>
      <c r="E106" s="490"/>
      <c r="F106" s="506" t="s">
        <v>465</v>
      </c>
      <c r="G106" s="517"/>
      <c r="H106" s="492">
        <v>46125</v>
      </c>
      <c r="I106" s="492"/>
      <c r="J106" s="515"/>
      <c r="K106" s="507">
        <v>46120</v>
      </c>
      <c r="L106" s="495">
        <v>46114</v>
      </c>
      <c r="M106" s="496">
        <v>46125</v>
      </c>
      <c r="N106" s="508"/>
      <c r="O106" s="499" t="s">
        <v>1058</v>
      </c>
      <c r="P106" s="499" t="s">
        <v>1058</v>
      </c>
      <c r="Q106" s="499" t="s">
        <v>1058</v>
      </c>
      <c r="R106" s="499" t="s">
        <v>1058</v>
      </c>
      <c r="S106" s="499" t="s">
        <v>1058</v>
      </c>
      <c r="T106" s="499" t="s">
        <v>1058</v>
      </c>
      <c r="U106" s="499" t="s">
        <v>1058</v>
      </c>
      <c r="V106" s="499" t="s">
        <v>1058</v>
      </c>
      <c r="W106" s="511" t="s">
        <v>1058</v>
      </c>
      <c r="X106" s="512" t="s">
        <v>1058</v>
      </c>
      <c r="Y106" s="498"/>
      <c r="Z106" s="509" t="s">
        <v>1058</v>
      </c>
      <c r="AA106" s="503" t="s">
        <v>1000</v>
      </c>
      <c r="AB106" s="503" t="s">
        <v>580</v>
      </c>
      <c r="AC106" s="503"/>
      <c r="AD106" s="503" t="s">
        <v>465</v>
      </c>
      <c r="AE106" s="503">
        <v>11</v>
      </c>
      <c r="AF106" s="504">
        <f t="shared" si="7"/>
        <v>46125</v>
      </c>
      <c r="AG106" s="503">
        <f t="shared" si="8"/>
        <v>1562</v>
      </c>
      <c r="AH106" s="503"/>
      <c r="AJ106" s="489"/>
    </row>
    <row r="107" spans="1:36" s="488" customFormat="1">
      <c r="A107" s="505">
        <v>1563</v>
      </c>
      <c r="B107" s="505">
        <v>917</v>
      </c>
      <c r="C107" s="490"/>
      <c r="D107" s="505">
        <v>970</v>
      </c>
      <c r="E107" s="490"/>
      <c r="F107" s="506" t="s">
        <v>465</v>
      </c>
      <c r="G107" s="517"/>
      <c r="H107" s="492">
        <v>46126</v>
      </c>
      <c r="I107" s="492"/>
      <c r="J107" s="515"/>
      <c r="K107" s="507">
        <v>46121</v>
      </c>
      <c r="L107" s="495">
        <v>46115</v>
      </c>
      <c r="M107" s="496">
        <v>46126</v>
      </c>
      <c r="N107" s="508"/>
      <c r="O107" s="499" t="s">
        <v>1058</v>
      </c>
      <c r="P107" s="499" t="s">
        <v>1058</v>
      </c>
      <c r="Q107" s="499" t="s">
        <v>1058</v>
      </c>
      <c r="R107" s="499" t="s">
        <v>1058</v>
      </c>
      <c r="S107" s="499" t="s">
        <v>1058</v>
      </c>
      <c r="T107" s="499" t="s">
        <v>1058</v>
      </c>
      <c r="U107" s="499" t="s">
        <v>1058</v>
      </c>
      <c r="V107" s="499" t="s">
        <v>1058</v>
      </c>
      <c r="W107" s="511" t="s">
        <v>1058</v>
      </c>
      <c r="X107" s="512" t="s">
        <v>1058</v>
      </c>
      <c r="Y107" s="498"/>
      <c r="Z107" s="509" t="s">
        <v>1058</v>
      </c>
      <c r="AA107" s="503" t="s">
        <v>1335</v>
      </c>
      <c r="AB107" s="503" t="s">
        <v>580</v>
      </c>
      <c r="AC107" s="503"/>
      <c r="AD107" s="503" t="s">
        <v>465</v>
      </c>
      <c r="AE107" s="503">
        <v>11</v>
      </c>
      <c r="AF107" s="504">
        <f t="shared" si="7"/>
        <v>46126</v>
      </c>
      <c r="AG107" s="503">
        <f t="shared" si="8"/>
        <v>1563</v>
      </c>
      <c r="AH107" s="503"/>
      <c r="AJ107" s="489"/>
    </row>
    <row r="108" spans="1:36" s="488" customFormat="1">
      <c r="A108" s="505">
        <v>1564</v>
      </c>
      <c r="B108" s="505">
        <v>918</v>
      </c>
      <c r="C108" s="490"/>
      <c r="D108" s="505">
        <v>971</v>
      </c>
      <c r="E108" s="490"/>
      <c r="F108" s="506" t="s">
        <v>465</v>
      </c>
      <c r="G108" s="517"/>
      <c r="H108" s="492">
        <v>46126</v>
      </c>
      <c r="I108" s="492"/>
      <c r="J108" s="515"/>
      <c r="K108" s="507">
        <v>46121</v>
      </c>
      <c r="L108" s="495">
        <v>46115</v>
      </c>
      <c r="M108" s="496">
        <v>46126</v>
      </c>
      <c r="N108" s="508"/>
      <c r="O108" s="499" t="s">
        <v>1058</v>
      </c>
      <c r="P108" s="499" t="s">
        <v>1058</v>
      </c>
      <c r="Q108" s="499" t="s">
        <v>1058</v>
      </c>
      <c r="R108" s="499" t="s">
        <v>1058</v>
      </c>
      <c r="S108" s="499" t="s">
        <v>1058</v>
      </c>
      <c r="T108" s="499" t="s">
        <v>1058</v>
      </c>
      <c r="U108" s="499" t="s">
        <v>1058</v>
      </c>
      <c r="V108" s="499" t="s">
        <v>1058</v>
      </c>
      <c r="W108" s="511" t="s">
        <v>1058</v>
      </c>
      <c r="X108" s="512" t="s">
        <v>1058</v>
      </c>
      <c r="Y108" s="498"/>
      <c r="Z108" s="509" t="s">
        <v>1058</v>
      </c>
      <c r="AA108" s="503" t="s">
        <v>1336</v>
      </c>
      <c r="AB108" s="503" t="s">
        <v>580</v>
      </c>
      <c r="AC108" s="503"/>
      <c r="AD108" s="503" t="s">
        <v>465</v>
      </c>
      <c r="AE108" s="503">
        <v>11</v>
      </c>
      <c r="AF108" s="504">
        <f t="shared" si="7"/>
        <v>46126</v>
      </c>
      <c r="AG108" s="503">
        <f t="shared" si="8"/>
        <v>1564</v>
      </c>
      <c r="AH108" s="503"/>
      <c r="AJ108" s="489"/>
    </row>
    <row r="109" spans="1:36" s="488" customFormat="1">
      <c r="A109" s="505">
        <v>1565</v>
      </c>
      <c r="B109" s="505">
        <v>919</v>
      </c>
      <c r="C109" s="490"/>
      <c r="D109" s="505">
        <v>972</v>
      </c>
      <c r="E109" s="490"/>
      <c r="F109" s="506" t="s">
        <v>465</v>
      </c>
      <c r="G109" s="517"/>
      <c r="H109" s="492">
        <v>46127</v>
      </c>
      <c r="I109" s="492"/>
      <c r="J109" s="515"/>
      <c r="K109" s="507">
        <v>46121</v>
      </c>
      <c r="L109" s="495">
        <v>46115</v>
      </c>
      <c r="M109" s="496">
        <v>46127</v>
      </c>
      <c r="N109" s="508"/>
      <c r="O109" s="499" t="s">
        <v>1058</v>
      </c>
      <c r="P109" s="499" t="s">
        <v>1058</v>
      </c>
      <c r="Q109" s="499" t="s">
        <v>1058</v>
      </c>
      <c r="R109" s="499" t="s">
        <v>1058</v>
      </c>
      <c r="S109" s="499" t="s">
        <v>1058</v>
      </c>
      <c r="T109" s="499" t="s">
        <v>1058</v>
      </c>
      <c r="U109" s="499" t="s">
        <v>1058</v>
      </c>
      <c r="V109" s="499" t="s">
        <v>1058</v>
      </c>
      <c r="W109" s="511" t="s">
        <v>1058</v>
      </c>
      <c r="X109" s="512" t="s">
        <v>1058</v>
      </c>
      <c r="Y109" s="498"/>
      <c r="Z109" s="509" t="s">
        <v>1058</v>
      </c>
      <c r="AA109" s="503" t="s">
        <v>1001</v>
      </c>
      <c r="AB109" s="503" t="s">
        <v>580</v>
      </c>
      <c r="AC109" s="503"/>
      <c r="AD109" s="503" t="s">
        <v>465</v>
      </c>
      <c r="AE109" s="503">
        <v>11</v>
      </c>
      <c r="AF109" s="504">
        <f t="shared" si="7"/>
        <v>46127</v>
      </c>
      <c r="AG109" s="503">
        <f t="shared" si="8"/>
        <v>1565</v>
      </c>
      <c r="AH109" s="503"/>
      <c r="AJ109" s="489"/>
    </row>
    <row r="110" spans="1:36" s="488" customFormat="1">
      <c r="A110" s="505">
        <v>1566</v>
      </c>
      <c r="B110" s="505">
        <v>920</v>
      </c>
      <c r="C110" s="490"/>
      <c r="D110" s="505">
        <v>973</v>
      </c>
      <c r="E110" s="490"/>
      <c r="F110" s="506" t="s">
        <v>465</v>
      </c>
      <c r="G110" s="517"/>
      <c r="H110" s="492">
        <v>46127</v>
      </c>
      <c r="I110" s="492"/>
      <c r="J110" s="515"/>
      <c r="K110" s="507">
        <v>46122</v>
      </c>
      <c r="L110" s="495">
        <v>46118</v>
      </c>
      <c r="M110" s="496">
        <v>46127</v>
      </c>
      <c r="N110" s="508"/>
      <c r="O110" s="499" t="s">
        <v>1058</v>
      </c>
      <c r="P110" s="499" t="s">
        <v>1058</v>
      </c>
      <c r="Q110" s="499" t="s">
        <v>1058</v>
      </c>
      <c r="R110" s="499" t="s">
        <v>1058</v>
      </c>
      <c r="S110" s="499" t="s">
        <v>1058</v>
      </c>
      <c r="T110" s="499" t="s">
        <v>1058</v>
      </c>
      <c r="U110" s="499" t="s">
        <v>1058</v>
      </c>
      <c r="V110" s="499" t="s">
        <v>1058</v>
      </c>
      <c r="W110" s="511" t="s">
        <v>1058</v>
      </c>
      <c r="X110" s="512" t="s">
        <v>1058</v>
      </c>
      <c r="Y110" s="498"/>
      <c r="Z110" s="509" t="s">
        <v>1058</v>
      </c>
      <c r="AA110" s="503" t="s">
        <v>1002</v>
      </c>
      <c r="AB110" s="503" t="s">
        <v>580</v>
      </c>
      <c r="AC110" s="503"/>
      <c r="AD110" s="503" t="s">
        <v>465</v>
      </c>
      <c r="AE110" s="503">
        <v>11</v>
      </c>
      <c r="AF110" s="504">
        <f t="shared" si="7"/>
        <v>46127</v>
      </c>
      <c r="AG110" s="503">
        <f t="shared" si="8"/>
        <v>1566</v>
      </c>
      <c r="AH110" s="503"/>
      <c r="AJ110" s="489"/>
    </row>
    <row r="111" spans="1:36" s="488" customFormat="1">
      <c r="A111" s="505">
        <v>1567</v>
      </c>
      <c r="B111" s="505">
        <v>921</v>
      </c>
      <c r="C111" s="490"/>
      <c r="D111" s="505">
        <v>974</v>
      </c>
      <c r="E111" s="490"/>
      <c r="F111" s="506" t="s">
        <v>465</v>
      </c>
      <c r="G111" s="517"/>
      <c r="H111" s="492">
        <v>46127</v>
      </c>
      <c r="I111" s="492"/>
      <c r="J111" s="515"/>
      <c r="K111" s="507">
        <v>46122</v>
      </c>
      <c r="L111" s="495">
        <v>46118</v>
      </c>
      <c r="M111" s="496">
        <v>46127</v>
      </c>
      <c r="N111" s="508"/>
      <c r="O111" s="499" t="s">
        <v>1058</v>
      </c>
      <c r="P111" s="499" t="s">
        <v>1058</v>
      </c>
      <c r="Q111" s="499" t="s">
        <v>1058</v>
      </c>
      <c r="R111" s="499" t="s">
        <v>1058</v>
      </c>
      <c r="S111" s="499" t="s">
        <v>1058</v>
      </c>
      <c r="T111" s="499" t="s">
        <v>1058</v>
      </c>
      <c r="U111" s="499" t="s">
        <v>1058</v>
      </c>
      <c r="V111" s="499" t="s">
        <v>1058</v>
      </c>
      <c r="W111" s="511" t="s">
        <v>1058</v>
      </c>
      <c r="X111" s="512" t="s">
        <v>1058</v>
      </c>
      <c r="Y111" s="498"/>
      <c r="Z111" s="509" t="s">
        <v>1058</v>
      </c>
      <c r="AA111" s="503" t="s">
        <v>1003</v>
      </c>
      <c r="AB111" s="503" t="s">
        <v>580</v>
      </c>
      <c r="AC111" s="503"/>
      <c r="AD111" s="503" t="s">
        <v>465</v>
      </c>
      <c r="AE111" s="503">
        <v>11</v>
      </c>
      <c r="AF111" s="504">
        <f t="shared" si="7"/>
        <v>46127</v>
      </c>
      <c r="AG111" s="503">
        <f t="shared" si="8"/>
        <v>1567</v>
      </c>
      <c r="AH111" s="503"/>
      <c r="AJ111" s="489"/>
    </row>
    <row r="112" spans="1:36" s="488" customFormat="1">
      <c r="A112" s="505">
        <v>1568</v>
      </c>
      <c r="B112" s="505">
        <v>922</v>
      </c>
      <c r="C112" s="490"/>
      <c r="D112" s="505">
        <v>975</v>
      </c>
      <c r="E112" s="490"/>
      <c r="F112" s="506" t="s">
        <v>465</v>
      </c>
      <c r="G112" s="517"/>
      <c r="H112" s="492">
        <v>46128</v>
      </c>
      <c r="I112" s="492"/>
      <c r="J112" s="515"/>
      <c r="K112" s="507">
        <v>46122</v>
      </c>
      <c r="L112" s="495">
        <v>46118</v>
      </c>
      <c r="M112" s="496">
        <v>46128</v>
      </c>
      <c r="N112" s="508"/>
      <c r="O112" s="499" t="s">
        <v>1058</v>
      </c>
      <c r="P112" s="499" t="s">
        <v>1058</v>
      </c>
      <c r="Q112" s="499" t="s">
        <v>1058</v>
      </c>
      <c r="R112" s="499" t="s">
        <v>1058</v>
      </c>
      <c r="S112" s="499" t="s">
        <v>1058</v>
      </c>
      <c r="T112" s="499" t="s">
        <v>1058</v>
      </c>
      <c r="U112" s="499" t="s">
        <v>1058</v>
      </c>
      <c r="V112" s="499" t="s">
        <v>1058</v>
      </c>
      <c r="W112" s="511" t="s">
        <v>1058</v>
      </c>
      <c r="X112" s="512" t="s">
        <v>1058</v>
      </c>
      <c r="Y112" s="498"/>
      <c r="Z112" s="509" t="s">
        <v>1058</v>
      </c>
      <c r="AA112" s="503" t="s">
        <v>1004</v>
      </c>
      <c r="AB112" s="503" t="s">
        <v>580</v>
      </c>
      <c r="AC112" s="503"/>
      <c r="AD112" s="503" t="s">
        <v>465</v>
      </c>
      <c r="AE112" s="503">
        <v>11</v>
      </c>
      <c r="AF112" s="504">
        <f t="shared" si="7"/>
        <v>46128</v>
      </c>
      <c r="AG112" s="503">
        <f t="shared" si="8"/>
        <v>1568</v>
      </c>
      <c r="AH112" s="503"/>
      <c r="AJ112" s="489"/>
    </row>
    <row r="113" spans="1:36" s="488" customFormat="1">
      <c r="A113" s="505">
        <v>1569</v>
      </c>
      <c r="B113" s="505">
        <v>923</v>
      </c>
      <c r="C113" s="490"/>
      <c r="D113" s="505">
        <v>976</v>
      </c>
      <c r="E113" s="490"/>
      <c r="F113" s="506" t="s">
        <v>465</v>
      </c>
      <c r="G113" s="517"/>
      <c r="H113" s="492">
        <v>46128</v>
      </c>
      <c r="I113" s="492"/>
      <c r="J113" s="515"/>
      <c r="K113" s="507">
        <v>46125</v>
      </c>
      <c r="L113" s="495">
        <v>46119</v>
      </c>
      <c r="M113" s="496">
        <v>46128</v>
      </c>
      <c r="N113" s="508"/>
      <c r="O113" s="499" t="s">
        <v>1058</v>
      </c>
      <c r="P113" s="499" t="s">
        <v>1058</v>
      </c>
      <c r="Q113" s="499" t="s">
        <v>1058</v>
      </c>
      <c r="R113" s="499" t="s">
        <v>1058</v>
      </c>
      <c r="S113" s="499" t="s">
        <v>1058</v>
      </c>
      <c r="T113" s="499" t="s">
        <v>1058</v>
      </c>
      <c r="U113" s="499" t="s">
        <v>1058</v>
      </c>
      <c r="V113" s="499" t="s">
        <v>1058</v>
      </c>
      <c r="W113" s="511" t="s">
        <v>1058</v>
      </c>
      <c r="X113" s="512" t="s">
        <v>1058</v>
      </c>
      <c r="Y113" s="498"/>
      <c r="Z113" s="509" t="s">
        <v>1058</v>
      </c>
      <c r="AA113" s="503" t="s">
        <v>1005</v>
      </c>
      <c r="AB113" s="503" t="s">
        <v>580</v>
      </c>
      <c r="AC113" s="503"/>
      <c r="AD113" s="503" t="s">
        <v>465</v>
      </c>
      <c r="AE113" s="503">
        <v>11</v>
      </c>
      <c r="AF113" s="504">
        <f t="shared" si="7"/>
        <v>46128</v>
      </c>
      <c r="AG113" s="503">
        <f t="shared" si="8"/>
        <v>1569</v>
      </c>
      <c r="AH113" s="503"/>
      <c r="AJ113" s="489"/>
    </row>
    <row r="114" spans="1:36" s="488" customFormat="1">
      <c r="A114" s="505">
        <v>1570</v>
      </c>
      <c r="B114" s="505">
        <v>924</v>
      </c>
      <c r="C114" s="490"/>
      <c r="D114" s="505">
        <v>977</v>
      </c>
      <c r="E114" s="490"/>
      <c r="F114" s="506" t="s">
        <v>465</v>
      </c>
      <c r="G114" s="517"/>
      <c r="H114" s="492">
        <v>46128</v>
      </c>
      <c r="I114" s="492"/>
      <c r="J114" s="515"/>
      <c r="K114" s="507">
        <v>46125</v>
      </c>
      <c r="L114" s="495">
        <v>46119</v>
      </c>
      <c r="M114" s="496">
        <v>46128</v>
      </c>
      <c r="N114" s="508"/>
      <c r="O114" s="499" t="s">
        <v>1058</v>
      </c>
      <c r="P114" s="499" t="s">
        <v>1058</v>
      </c>
      <c r="Q114" s="499" t="s">
        <v>1058</v>
      </c>
      <c r="R114" s="499" t="s">
        <v>1058</v>
      </c>
      <c r="S114" s="499" t="s">
        <v>1058</v>
      </c>
      <c r="T114" s="499" t="s">
        <v>1058</v>
      </c>
      <c r="U114" s="499" t="s">
        <v>1058</v>
      </c>
      <c r="V114" s="499" t="s">
        <v>1058</v>
      </c>
      <c r="W114" s="511" t="s">
        <v>1058</v>
      </c>
      <c r="X114" s="512" t="s">
        <v>1058</v>
      </c>
      <c r="Y114" s="498"/>
      <c r="Z114" s="509" t="s">
        <v>1058</v>
      </c>
      <c r="AA114" s="503" t="s">
        <v>1006</v>
      </c>
      <c r="AB114" s="503" t="s">
        <v>580</v>
      </c>
      <c r="AC114" s="503"/>
      <c r="AD114" s="503" t="s">
        <v>465</v>
      </c>
      <c r="AE114" s="503">
        <v>11</v>
      </c>
      <c r="AF114" s="504">
        <f t="shared" si="7"/>
        <v>46128</v>
      </c>
      <c r="AG114" s="503">
        <f t="shared" si="8"/>
        <v>1570</v>
      </c>
      <c r="AH114" s="503"/>
      <c r="AJ114" s="489"/>
    </row>
    <row r="115" spans="1:36" s="488" customFormat="1">
      <c r="A115" s="505">
        <v>1571</v>
      </c>
      <c r="B115" s="505">
        <v>925</v>
      </c>
      <c r="C115" s="490"/>
      <c r="D115" s="505">
        <v>978</v>
      </c>
      <c r="E115" s="490"/>
      <c r="F115" s="506" t="s">
        <v>465</v>
      </c>
      <c r="G115" s="517"/>
      <c r="H115" s="492">
        <v>46129</v>
      </c>
      <c r="I115" s="492"/>
      <c r="J115" s="515"/>
      <c r="K115" s="507">
        <v>46125</v>
      </c>
      <c r="L115" s="495">
        <v>46119</v>
      </c>
      <c r="M115" s="496">
        <v>46129</v>
      </c>
      <c r="N115" s="508"/>
      <c r="O115" s="499" t="s">
        <v>1058</v>
      </c>
      <c r="P115" s="499" t="s">
        <v>1058</v>
      </c>
      <c r="Q115" s="499" t="s">
        <v>1058</v>
      </c>
      <c r="R115" s="499" t="s">
        <v>1058</v>
      </c>
      <c r="S115" s="499" t="s">
        <v>1058</v>
      </c>
      <c r="T115" s="499" t="s">
        <v>1058</v>
      </c>
      <c r="U115" s="499" t="s">
        <v>1058</v>
      </c>
      <c r="V115" s="499" t="s">
        <v>1058</v>
      </c>
      <c r="W115" s="511" t="s">
        <v>1058</v>
      </c>
      <c r="X115" s="512" t="s">
        <v>1058</v>
      </c>
      <c r="Y115" s="498"/>
      <c r="Z115" s="509" t="s">
        <v>1058</v>
      </c>
      <c r="AA115" s="503" t="s">
        <v>1007</v>
      </c>
      <c r="AB115" s="503" t="s">
        <v>580</v>
      </c>
      <c r="AC115" s="503"/>
      <c r="AD115" s="503" t="s">
        <v>465</v>
      </c>
      <c r="AE115" s="503">
        <v>11</v>
      </c>
      <c r="AF115" s="504">
        <f t="shared" si="7"/>
        <v>46129</v>
      </c>
      <c r="AG115" s="503">
        <f t="shared" si="8"/>
        <v>1571</v>
      </c>
      <c r="AH115" s="503"/>
      <c r="AJ115" s="489"/>
    </row>
    <row r="116" spans="1:36" s="488" customFormat="1">
      <c r="A116" s="505">
        <v>1572</v>
      </c>
      <c r="B116" s="505">
        <v>926</v>
      </c>
      <c r="C116" s="490"/>
      <c r="D116" s="505">
        <v>979</v>
      </c>
      <c r="E116" s="490"/>
      <c r="F116" s="506" t="s">
        <v>465</v>
      </c>
      <c r="G116" s="517"/>
      <c r="H116" s="492">
        <v>46129</v>
      </c>
      <c r="I116" s="492"/>
      <c r="J116" s="515"/>
      <c r="K116" s="507">
        <v>46126</v>
      </c>
      <c r="L116" s="495">
        <v>46120</v>
      </c>
      <c r="M116" s="496">
        <v>46129</v>
      </c>
      <c r="N116" s="508"/>
      <c r="O116" s="499" t="s">
        <v>1058</v>
      </c>
      <c r="P116" s="499" t="s">
        <v>1058</v>
      </c>
      <c r="Q116" s="499" t="s">
        <v>1058</v>
      </c>
      <c r="R116" s="499" t="s">
        <v>1058</v>
      </c>
      <c r="S116" s="499" t="s">
        <v>1058</v>
      </c>
      <c r="T116" s="499" t="s">
        <v>1058</v>
      </c>
      <c r="U116" s="499" t="s">
        <v>1058</v>
      </c>
      <c r="V116" s="499" t="s">
        <v>1058</v>
      </c>
      <c r="W116" s="511" t="s">
        <v>1058</v>
      </c>
      <c r="X116" s="512" t="s">
        <v>1058</v>
      </c>
      <c r="Y116" s="498"/>
      <c r="Z116" s="509" t="s">
        <v>1058</v>
      </c>
      <c r="AA116" s="503" t="s">
        <v>1008</v>
      </c>
      <c r="AB116" s="503" t="s">
        <v>580</v>
      </c>
      <c r="AC116" s="503"/>
      <c r="AD116" s="503" t="s">
        <v>465</v>
      </c>
      <c r="AE116" s="503">
        <v>11</v>
      </c>
      <c r="AF116" s="504">
        <f t="shared" si="7"/>
        <v>46129</v>
      </c>
      <c r="AG116" s="503">
        <f t="shared" si="8"/>
        <v>1572</v>
      </c>
      <c r="AH116" s="503"/>
      <c r="AJ116" s="489"/>
    </row>
    <row r="117" spans="1:36" s="488" customFormat="1">
      <c r="A117" s="505">
        <v>1573</v>
      </c>
      <c r="B117" s="505">
        <v>927</v>
      </c>
      <c r="C117" s="490"/>
      <c r="D117" s="505">
        <v>980</v>
      </c>
      <c r="E117" s="490"/>
      <c r="F117" s="506" t="s">
        <v>465</v>
      </c>
      <c r="G117" s="517"/>
      <c r="H117" s="492">
        <v>46129</v>
      </c>
      <c r="I117" s="492"/>
      <c r="J117" s="515"/>
      <c r="K117" s="507">
        <v>46126</v>
      </c>
      <c r="L117" s="495">
        <v>46120</v>
      </c>
      <c r="M117" s="496">
        <v>46129</v>
      </c>
      <c r="N117" s="508"/>
      <c r="O117" s="499" t="s">
        <v>1058</v>
      </c>
      <c r="P117" s="499" t="s">
        <v>1058</v>
      </c>
      <c r="Q117" s="499" t="s">
        <v>1058</v>
      </c>
      <c r="R117" s="499" t="s">
        <v>1058</v>
      </c>
      <c r="S117" s="499" t="s">
        <v>1058</v>
      </c>
      <c r="T117" s="499" t="s">
        <v>1058</v>
      </c>
      <c r="U117" s="499" t="s">
        <v>1058</v>
      </c>
      <c r="V117" s="499" t="s">
        <v>1058</v>
      </c>
      <c r="W117" s="511" t="s">
        <v>1058</v>
      </c>
      <c r="X117" s="512" t="s">
        <v>1058</v>
      </c>
      <c r="Y117" s="498"/>
      <c r="Z117" s="509" t="s">
        <v>1058</v>
      </c>
      <c r="AA117" s="503" t="s">
        <v>1009</v>
      </c>
      <c r="AB117" s="503" t="s">
        <v>580</v>
      </c>
      <c r="AC117" s="503"/>
      <c r="AD117" s="503" t="s">
        <v>465</v>
      </c>
      <c r="AE117" s="503">
        <v>11</v>
      </c>
      <c r="AF117" s="504">
        <f t="shared" si="7"/>
        <v>46129</v>
      </c>
      <c r="AG117" s="503">
        <f t="shared" si="8"/>
        <v>1573</v>
      </c>
      <c r="AH117" s="503"/>
      <c r="AJ117" s="489"/>
    </row>
    <row r="118" spans="1:36" s="488" customFormat="1">
      <c r="A118" s="505">
        <v>1574</v>
      </c>
      <c r="B118" s="505">
        <v>928</v>
      </c>
      <c r="C118" s="490"/>
      <c r="D118" s="505">
        <v>981</v>
      </c>
      <c r="E118" s="490"/>
      <c r="F118" s="506" t="s">
        <v>465</v>
      </c>
      <c r="G118" s="517"/>
      <c r="H118" s="492">
        <v>46132</v>
      </c>
      <c r="I118" s="492"/>
      <c r="J118" s="515"/>
      <c r="K118" s="507">
        <v>46126</v>
      </c>
      <c r="L118" s="495">
        <v>46120</v>
      </c>
      <c r="M118" s="496">
        <v>46132</v>
      </c>
      <c r="N118" s="508"/>
      <c r="O118" s="499" t="s">
        <v>1058</v>
      </c>
      <c r="P118" s="499" t="s">
        <v>1058</v>
      </c>
      <c r="Q118" s="499" t="s">
        <v>1058</v>
      </c>
      <c r="R118" s="499" t="s">
        <v>1058</v>
      </c>
      <c r="S118" s="499" t="s">
        <v>1058</v>
      </c>
      <c r="T118" s="499" t="s">
        <v>1058</v>
      </c>
      <c r="U118" s="499" t="s">
        <v>1058</v>
      </c>
      <c r="V118" s="499" t="s">
        <v>1058</v>
      </c>
      <c r="W118" s="511" t="s">
        <v>1058</v>
      </c>
      <c r="X118" s="512" t="s">
        <v>1058</v>
      </c>
      <c r="Y118" s="498"/>
      <c r="Z118" s="509" t="s">
        <v>1058</v>
      </c>
      <c r="AA118" s="503" t="s">
        <v>1337</v>
      </c>
      <c r="AB118" s="503" t="s">
        <v>580</v>
      </c>
      <c r="AC118" s="503"/>
      <c r="AD118" s="503" t="s">
        <v>465</v>
      </c>
      <c r="AE118" s="503">
        <v>11</v>
      </c>
      <c r="AF118" s="504">
        <f t="shared" si="7"/>
        <v>46132</v>
      </c>
      <c r="AG118" s="503">
        <f t="shared" si="8"/>
        <v>1574</v>
      </c>
      <c r="AH118" s="503"/>
      <c r="AJ118" s="489"/>
    </row>
    <row r="119" spans="1:36" s="488" customFormat="1">
      <c r="A119" s="505">
        <v>1575</v>
      </c>
      <c r="B119" s="505">
        <v>929</v>
      </c>
      <c r="C119" s="490"/>
      <c r="D119" s="505">
        <v>982</v>
      </c>
      <c r="E119" s="490"/>
      <c r="F119" s="506" t="s">
        <v>465</v>
      </c>
      <c r="G119" s="517"/>
      <c r="H119" s="492">
        <v>46132</v>
      </c>
      <c r="I119" s="492"/>
      <c r="J119" s="515"/>
      <c r="K119" s="507">
        <v>46127</v>
      </c>
      <c r="L119" s="495">
        <v>46121</v>
      </c>
      <c r="M119" s="496">
        <v>46132</v>
      </c>
      <c r="N119" s="508"/>
      <c r="O119" s="499" t="s">
        <v>1058</v>
      </c>
      <c r="P119" s="499" t="s">
        <v>1058</v>
      </c>
      <c r="Q119" s="499" t="s">
        <v>1058</v>
      </c>
      <c r="R119" s="499" t="s">
        <v>1058</v>
      </c>
      <c r="S119" s="499" t="s">
        <v>1058</v>
      </c>
      <c r="T119" s="499" t="s">
        <v>1058</v>
      </c>
      <c r="U119" s="499" t="s">
        <v>1058</v>
      </c>
      <c r="V119" s="499" t="s">
        <v>1058</v>
      </c>
      <c r="W119" s="511" t="s">
        <v>1058</v>
      </c>
      <c r="X119" s="512" t="s">
        <v>1058</v>
      </c>
      <c r="Y119" s="498"/>
      <c r="Z119" s="509" t="s">
        <v>1058</v>
      </c>
      <c r="AA119" s="503" t="s">
        <v>1338</v>
      </c>
      <c r="AB119" s="503" t="s">
        <v>580</v>
      </c>
      <c r="AC119" s="503"/>
      <c r="AD119" s="503" t="s">
        <v>465</v>
      </c>
      <c r="AE119" s="503">
        <v>11</v>
      </c>
      <c r="AF119" s="504">
        <f t="shared" si="7"/>
        <v>46132</v>
      </c>
      <c r="AG119" s="503">
        <f t="shared" si="8"/>
        <v>1575</v>
      </c>
      <c r="AH119" s="503"/>
      <c r="AJ119" s="489"/>
    </row>
    <row r="120" spans="1:36" s="488" customFormat="1">
      <c r="A120" s="505">
        <v>1576</v>
      </c>
      <c r="B120" s="505">
        <v>930</v>
      </c>
      <c r="C120" s="490"/>
      <c r="D120" s="505">
        <v>983</v>
      </c>
      <c r="E120" s="490"/>
      <c r="F120" s="506" t="s">
        <v>465</v>
      </c>
      <c r="G120" s="517"/>
      <c r="H120" s="492">
        <v>46133</v>
      </c>
      <c r="I120" s="492"/>
      <c r="J120" s="515"/>
      <c r="K120" s="507">
        <v>46127</v>
      </c>
      <c r="L120" s="495">
        <v>46121</v>
      </c>
      <c r="M120" s="496">
        <v>46133</v>
      </c>
      <c r="N120" s="508"/>
      <c r="O120" s="499" t="s">
        <v>1058</v>
      </c>
      <c r="P120" s="499" t="s">
        <v>1058</v>
      </c>
      <c r="Q120" s="499" t="s">
        <v>1058</v>
      </c>
      <c r="R120" s="499" t="s">
        <v>1058</v>
      </c>
      <c r="S120" s="499" t="s">
        <v>1058</v>
      </c>
      <c r="T120" s="499" t="s">
        <v>1058</v>
      </c>
      <c r="U120" s="499" t="s">
        <v>1058</v>
      </c>
      <c r="V120" s="499" t="s">
        <v>1058</v>
      </c>
      <c r="W120" s="511" t="s">
        <v>1058</v>
      </c>
      <c r="X120" s="512" t="s">
        <v>1058</v>
      </c>
      <c r="Y120" s="498"/>
      <c r="Z120" s="509" t="s">
        <v>1058</v>
      </c>
      <c r="AA120" s="503" t="s">
        <v>1010</v>
      </c>
      <c r="AB120" s="503" t="s">
        <v>580</v>
      </c>
      <c r="AC120" s="503"/>
      <c r="AD120" s="503" t="s">
        <v>465</v>
      </c>
      <c r="AE120" s="503">
        <v>11</v>
      </c>
      <c r="AF120" s="504">
        <f t="shared" si="7"/>
        <v>46133</v>
      </c>
      <c r="AG120" s="503">
        <f t="shared" si="8"/>
        <v>1576</v>
      </c>
      <c r="AH120" s="503"/>
      <c r="AJ120" s="489"/>
    </row>
    <row r="121" spans="1:36" s="488" customFormat="1">
      <c r="A121" s="505">
        <v>1577</v>
      </c>
      <c r="B121" s="505">
        <v>931</v>
      </c>
      <c r="C121" s="490"/>
      <c r="D121" s="505">
        <v>984</v>
      </c>
      <c r="E121" s="490"/>
      <c r="F121" s="506" t="s">
        <v>465</v>
      </c>
      <c r="G121" s="517"/>
      <c r="H121" s="492">
        <v>46133</v>
      </c>
      <c r="I121" s="492"/>
      <c r="J121" s="515"/>
      <c r="K121" s="507">
        <v>46127</v>
      </c>
      <c r="L121" s="495">
        <v>46121</v>
      </c>
      <c r="M121" s="496">
        <v>46133</v>
      </c>
      <c r="N121" s="508"/>
      <c r="O121" s="499" t="s">
        <v>1058</v>
      </c>
      <c r="P121" s="499" t="s">
        <v>1058</v>
      </c>
      <c r="Q121" s="499" t="s">
        <v>1058</v>
      </c>
      <c r="R121" s="499" t="s">
        <v>1058</v>
      </c>
      <c r="S121" s="499" t="s">
        <v>1058</v>
      </c>
      <c r="T121" s="499" t="s">
        <v>1058</v>
      </c>
      <c r="U121" s="499" t="s">
        <v>1058</v>
      </c>
      <c r="V121" s="499" t="s">
        <v>1058</v>
      </c>
      <c r="W121" s="511" t="s">
        <v>1058</v>
      </c>
      <c r="X121" s="512" t="s">
        <v>1058</v>
      </c>
      <c r="Y121" s="498"/>
      <c r="Z121" s="509" t="s">
        <v>1058</v>
      </c>
      <c r="AA121" s="503" t="s">
        <v>1011</v>
      </c>
      <c r="AB121" s="503" t="s">
        <v>580</v>
      </c>
      <c r="AC121" s="503"/>
      <c r="AD121" s="503" t="s">
        <v>465</v>
      </c>
      <c r="AE121" s="503">
        <v>11</v>
      </c>
      <c r="AF121" s="504">
        <f t="shared" si="7"/>
        <v>46133</v>
      </c>
      <c r="AG121" s="503">
        <f t="shared" si="8"/>
        <v>1577</v>
      </c>
      <c r="AH121" s="503"/>
      <c r="AJ121" s="489"/>
    </row>
    <row r="122" spans="1:36" s="488" customFormat="1">
      <c r="A122" s="505">
        <v>1578</v>
      </c>
      <c r="B122" s="505">
        <v>932</v>
      </c>
      <c r="C122" s="490"/>
      <c r="D122" s="505">
        <v>985</v>
      </c>
      <c r="E122" s="490"/>
      <c r="F122" s="506" t="s">
        <v>465</v>
      </c>
      <c r="G122" s="517"/>
      <c r="H122" s="492">
        <v>46133</v>
      </c>
      <c r="I122" s="492"/>
      <c r="J122" s="515"/>
      <c r="K122" s="507">
        <v>46128</v>
      </c>
      <c r="L122" s="495">
        <v>46122</v>
      </c>
      <c r="M122" s="496">
        <v>46133</v>
      </c>
      <c r="N122" s="508"/>
      <c r="O122" s="499" t="s">
        <v>1058</v>
      </c>
      <c r="P122" s="499" t="s">
        <v>1058</v>
      </c>
      <c r="Q122" s="499" t="s">
        <v>1058</v>
      </c>
      <c r="R122" s="499" t="s">
        <v>1058</v>
      </c>
      <c r="S122" s="499" t="s">
        <v>1058</v>
      </c>
      <c r="T122" s="499" t="s">
        <v>1058</v>
      </c>
      <c r="U122" s="499" t="s">
        <v>1058</v>
      </c>
      <c r="V122" s="499" t="s">
        <v>1058</v>
      </c>
      <c r="W122" s="511" t="s">
        <v>1058</v>
      </c>
      <c r="X122" s="512" t="s">
        <v>1058</v>
      </c>
      <c r="Y122" s="498"/>
      <c r="Z122" s="509" t="s">
        <v>1058</v>
      </c>
      <c r="AA122" s="503" t="s">
        <v>1012</v>
      </c>
      <c r="AB122" s="503" t="s">
        <v>580</v>
      </c>
      <c r="AC122" s="503"/>
      <c r="AD122" s="503" t="s">
        <v>465</v>
      </c>
      <c r="AE122" s="503">
        <v>11</v>
      </c>
      <c r="AF122" s="504">
        <f t="shared" si="7"/>
        <v>46133</v>
      </c>
      <c r="AG122" s="503">
        <f t="shared" si="8"/>
        <v>1578</v>
      </c>
      <c r="AH122" s="503"/>
      <c r="AJ122" s="489"/>
    </row>
    <row r="123" spans="1:36" s="488" customFormat="1">
      <c r="A123" s="505">
        <v>1579</v>
      </c>
      <c r="B123" s="505">
        <v>933</v>
      </c>
      <c r="C123" s="490"/>
      <c r="D123" s="505">
        <v>986</v>
      </c>
      <c r="E123" s="490"/>
      <c r="F123" s="506" t="s">
        <v>465</v>
      </c>
      <c r="G123" s="517"/>
      <c r="H123" s="492">
        <v>46133</v>
      </c>
      <c r="I123" s="492"/>
      <c r="J123" s="515"/>
      <c r="K123" s="507">
        <v>46128</v>
      </c>
      <c r="L123" s="495">
        <v>46122</v>
      </c>
      <c r="M123" s="496">
        <v>46133</v>
      </c>
      <c r="N123" s="508"/>
      <c r="O123" s="499" t="s">
        <v>1058</v>
      </c>
      <c r="P123" s="499" t="s">
        <v>1058</v>
      </c>
      <c r="Q123" s="499" t="s">
        <v>1058</v>
      </c>
      <c r="R123" s="499" t="s">
        <v>1058</v>
      </c>
      <c r="S123" s="499" t="s">
        <v>1058</v>
      </c>
      <c r="T123" s="499" t="s">
        <v>1058</v>
      </c>
      <c r="U123" s="499" t="s">
        <v>1058</v>
      </c>
      <c r="V123" s="499" t="s">
        <v>1058</v>
      </c>
      <c r="W123" s="511" t="s">
        <v>1058</v>
      </c>
      <c r="X123" s="512" t="s">
        <v>1058</v>
      </c>
      <c r="Y123" s="498"/>
      <c r="Z123" s="509" t="s">
        <v>1058</v>
      </c>
      <c r="AA123" s="503" t="s">
        <v>1013</v>
      </c>
      <c r="AB123" s="503" t="s">
        <v>580</v>
      </c>
      <c r="AC123" s="503"/>
      <c r="AD123" s="503" t="s">
        <v>465</v>
      </c>
      <c r="AE123" s="503">
        <v>11</v>
      </c>
      <c r="AF123" s="504">
        <f t="shared" si="7"/>
        <v>46133</v>
      </c>
      <c r="AG123" s="503">
        <f t="shared" si="8"/>
        <v>1579</v>
      </c>
      <c r="AH123" s="503"/>
      <c r="AJ123" s="489"/>
    </row>
    <row r="124" spans="1:36" s="488" customFormat="1">
      <c r="A124" s="505">
        <v>1580</v>
      </c>
      <c r="B124" s="505">
        <v>934</v>
      </c>
      <c r="C124" s="490"/>
      <c r="D124" s="505">
        <v>987</v>
      </c>
      <c r="E124" s="490"/>
      <c r="F124" s="506" t="s">
        <v>465</v>
      </c>
      <c r="G124" s="517"/>
      <c r="H124" s="492">
        <v>46133</v>
      </c>
      <c r="I124" s="492"/>
      <c r="J124" s="515"/>
      <c r="K124" s="507">
        <v>46128</v>
      </c>
      <c r="L124" s="495">
        <v>46122</v>
      </c>
      <c r="M124" s="496">
        <v>46133</v>
      </c>
      <c r="N124" s="508"/>
      <c r="O124" s="499" t="s">
        <v>1058</v>
      </c>
      <c r="P124" s="499" t="s">
        <v>1058</v>
      </c>
      <c r="Q124" s="499" t="s">
        <v>1058</v>
      </c>
      <c r="R124" s="499" t="s">
        <v>1058</v>
      </c>
      <c r="S124" s="499" t="s">
        <v>1058</v>
      </c>
      <c r="T124" s="499" t="s">
        <v>1058</v>
      </c>
      <c r="U124" s="499" t="s">
        <v>1058</v>
      </c>
      <c r="V124" s="499" t="s">
        <v>1058</v>
      </c>
      <c r="W124" s="511" t="s">
        <v>1058</v>
      </c>
      <c r="X124" s="512" t="s">
        <v>1058</v>
      </c>
      <c r="Y124" s="498"/>
      <c r="Z124" s="509" t="s">
        <v>1058</v>
      </c>
      <c r="AA124" s="503" t="s">
        <v>1014</v>
      </c>
      <c r="AB124" s="503" t="s">
        <v>580</v>
      </c>
      <c r="AC124" s="503"/>
      <c r="AD124" s="503" t="s">
        <v>465</v>
      </c>
      <c r="AE124" s="503">
        <v>11</v>
      </c>
      <c r="AF124" s="504">
        <f t="shared" si="7"/>
        <v>46133</v>
      </c>
      <c r="AG124" s="503">
        <f t="shared" si="8"/>
        <v>1580</v>
      </c>
      <c r="AH124" s="503"/>
      <c r="AJ124" s="489"/>
    </row>
    <row r="125" spans="1:36" s="488" customFormat="1">
      <c r="A125" s="505">
        <v>1581</v>
      </c>
      <c r="B125" s="505">
        <v>935</v>
      </c>
      <c r="C125" s="490"/>
      <c r="D125" s="505">
        <v>988</v>
      </c>
      <c r="E125" s="490"/>
      <c r="F125" s="506" t="s">
        <v>465</v>
      </c>
      <c r="G125" s="517"/>
      <c r="H125" s="492">
        <v>46133</v>
      </c>
      <c r="I125" s="492"/>
      <c r="J125" s="515"/>
      <c r="K125" s="507">
        <v>46129</v>
      </c>
      <c r="L125" s="495">
        <v>46125</v>
      </c>
      <c r="M125" s="496">
        <v>46133</v>
      </c>
      <c r="N125" s="508"/>
      <c r="O125" s="499" t="s">
        <v>1058</v>
      </c>
      <c r="P125" s="499" t="s">
        <v>1058</v>
      </c>
      <c r="Q125" s="499" t="s">
        <v>1058</v>
      </c>
      <c r="R125" s="499" t="s">
        <v>1058</v>
      </c>
      <c r="S125" s="499" t="s">
        <v>1058</v>
      </c>
      <c r="T125" s="499" t="s">
        <v>1058</v>
      </c>
      <c r="U125" s="499" t="s">
        <v>1058</v>
      </c>
      <c r="V125" s="499" t="s">
        <v>1058</v>
      </c>
      <c r="W125" s="511" t="s">
        <v>1058</v>
      </c>
      <c r="X125" s="512" t="s">
        <v>1058</v>
      </c>
      <c r="Y125" s="498"/>
      <c r="Z125" s="509" t="s">
        <v>1058</v>
      </c>
      <c r="AA125" s="503" t="s">
        <v>1015</v>
      </c>
      <c r="AB125" s="503" t="s">
        <v>580</v>
      </c>
      <c r="AC125" s="503"/>
      <c r="AD125" s="503" t="s">
        <v>465</v>
      </c>
      <c r="AE125" s="503">
        <v>11</v>
      </c>
      <c r="AF125" s="504">
        <f t="shared" si="7"/>
        <v>46133</v>
      </c>
      <c r="AG125" s="503">
        <f t="shared" si="8"/>
        <v>1581</v>
      </c>
      <c r="AH125" s="503"/>
      <c r="AJ125" s="489"/>
    </row>
    <row r="126" spans="1:36" s="488" customFormat="1">
      <c r="A126" s="505">
        <v>1582</v>
      </c>
      <c r="B126" s="505">
        <v>936</v>
      </c>
      <c r="C126" s="490"/>
      <c r="D126" s="505">
        <v>989</v>
      </c>
      <c r="E126" s="490"/>
      <c r="F126" s="506" t="s">
        <v>465</v>
      </c>
      <c r="G126" s="517"/>
      <c r="H126" s="492">
        <v>46134</v>
      </c>
      <c r="I126" s="492"/>
      <c r="J126" s="515"/>
      <c r="K126" s="507">
        <v>46129</v>
      </c>
      <c r="L126" s="495">
        <v>46125</v>
      </c>
      <c r="M126" s="496">
        <v>46134</v>
      </c>
      <c r="N126" s="508"/>
      <c r="O126" s="499" t="s">
        <v>1058</v>
      </c>
      <c r="P126" s="499" t="s">
        <v>1058</v>
      </c>
      <c r="Q126" s="499" t="s">
        <v>1058</v>
      </c>
      <c r="R126" s="499" t="s">
        <v>1058</v>
      </c>
      <c r="S126" s="499" t="s">
        <v>1058</v>
      </c>
      <c r="T126" s="499" t="s">
        <v>1058</v>
      </c>
      <c r="U126" s="499" t="s">
        <v>1058</v>
      </c>
      <c r="V126" s="499" t="s">
        <v>1058</v>
      </c>
      <c r="W126" s="511" t="s">
        <v>1058</v>
      </c>
      <c r="X126" s="512" t="s">
        <v>1058</v>
      </c>
      <c r="Y126" s="498"/>
      <c r="Z126" s="509" t="s">
        <v>1058</v>
      </c>
      <c r="AA126" s="503" t="s">
        <v>1016</v>
      </c>
      <c r="AB126" s="503" t="s">
        <v>580</v>
      </c>
      <c r="AC126" s="503"/>
      <c r="AD126" s="503" t="s">
        <v>465</v>
      </c>
      <c r="AE126" s="503">
        <v>11</v>
      </c>
      <c r="AF126" s="504">
        <f t="shared" si="7"/>
        <v>46134</v>
      </c>
      <c r="AG126" s="503">
        <f t="shared" si="8"/>
        <v>1582</v>
      </c>
      <c r="AH126" s="503"/>
      <c r="AJ126" s="489"/>
    </row>
    <row r="127" spans="1:36" s="488" customFormat="1">
      <c r="A127" s="505">
        <v>1583</v>
      </c>
      <c r="B127" s="505">
        <v>937</v>
      </c>
      <c r="C127" s="490"/>
      <c r="D127" s="505">
        <v>990</v>
      </c>
      <c r="E127" s="490"/>
      <c r="F127" s="506" t="s">
        <v>465</v>
      </c>
      <c r="G127" s="517"/>
      <c r="H127" s="492">
        <v>46134</v>
      </c>
      <c r="I127" s="492"/>
      <c r="J127" s="515"/>
      <c r="K127" s="507">
        <v>46129</v>
      </c>
      <c r="L127" s="495">
        <v>46125</v>
      </c>
      <c r="M127" s="496">
        <v>46134</v>
      </c>
      <c r="N127" s="508"/>
      <c r="O127" s="499" t="s">
        <v>1058</v>
      </c>
      <c r="P127" s="499" t="s">
        <v>1058</v>
      </c>
      <c r="Q127" s="499" t="s">
        <v>1058</v>
      </c>
      <c r="R127" s="499" t="s">
        <v>1058</v>
      </c>
      <c r="S127" s="499" t="s">
        <v>1058</v>
      </c>
      <c r="T127" s="499" t="s">
        <v>1058</v>
      </c>
      <c r="U127" s="499" t="s">
        <v>1058</v>
      </c>
      <c r="V127" s="499" t="s">
        <v>1058</v>
      </c>
      <c r="W127" s="511" t="s">
        <v>1058</v>
      </c>
      <c r="X127" s="512" t="s">
        <v>1058</v>
      </c>
      <c r="Y127" s="498"/>
      <c r="Z127" s="509" t="s">
        <v>1058</v>
      </c>
      <c r="AA127" s="503" t="s">
        <v>1017</v>
      </c>
      <c r="AB127" s="503" t="s">
        <v>580</v>
      </c>
      <c r="AC127" s="503"/>
      <c r="AD127" s="503" t="s">
        <v>465</v>
      </c>
      <c r="AE127" s="503">
        <v>11</v>
      </c>
      <c r="AF127" s="504">
        <f t="shared" si="7"/>
        <v>46134</v>
      </c>
      <c r="AG127" s="503">
        <f t="shared" si="8"/>
        <v>1583</v>
      </c>
      <c r="AH127" s="503"/>
      <c r="AJ127" s="489"/>
    </row>
    <row r="128" spans="1:36" s="488" customFormat="1">
      <c r="A128" s="505">
        <v>1584</v>
      </c>
      <c r="B128" s="505">
        <v>938</v>
      </c>
      <c r="C128" s="490"/>
      <c r="D128" s="505">
        <v>991</v>
      </c>
      <c r="E128" s="490"/>
      <c r="F128" s="506" t="s">
        <v>465</v>
      </c>
      <c r="G128" s="517"/>
      <c r="H128" s="492">
        <v>46134</v>
      </c>
      <c r="I128" s="492"/>
      <c r="J128" s="515"/>
      <c r="K128" s="507">
        <v>46132</v>
      </c>
      <c r="L128" s="495">
        <v>46126</v>
      </c>
      <c r="M128" s="496">
        <v>46134</v>
      </c>
      <c r="N128" s="508"/>
      <c r="O128" s="499" t="s">
        <v>1058</v>
      </c>
      <c r="P128" s="499" t="s">
        <v>1058</v>
      </c>
      <c r="Q128" s="499" t="s">
        <v>1058</v>
      </c>
      <c r="R128" s="499" t="s">
        <v>1058</v>
      </c>
      <c r="S128" s="499" t="s">
        <v>1058</v>
      </c>
      <c r="T128" s="499" t="s">
        <v>1058</v>
      </c>
      <c r="U128" s="499" t="s">
        <v>1058</v>
      </c>
      <c r="V128" s="499" t="s">
        <v>1058</v>
      </c>
      <c r="W128" s="511" t="s">
        <v>1058</v>
      </c>
      <c r="X128" s="512" t="s">
        <v>1058</v>
      </c>
      <c r="Y128" s="498"/>
      <c r="Z128" s="509" t="s">
        <v>1058</v>
      </c>
      <c r="AA128" s="503" t="s">
        <v>1018</v>
      </c>
      <c r="AB128" s="503" t="s">
        <v>580</v>
      </c>
      <c r="AC128" s="503"/>
      <c r="AD128" s="503" t="s">
        <v>465</v>
      </c>
      <c r="AE128" s="503">
        <v>11</v>
      </c>
      <c r="AF128" s="504">
        <f t="shared" si="7"/>
        <v>46134</v>
      </c>
      <c r="AG128" s="503">
        <f t="shared" si="8"/>
        <v>1584</v>
      </c>
      <c r="AH128" s="503"/>
      <c r="AJ128" s="489"/>
    </row>
    <row r="129" spans="1:36" s="488" customFormat="1">
      <c r="A129" s="505">
        <v>1585</v>
      </c>
      <c r="B129" s="505">
        <v>939</v>
      </c>
      <c r="C129" s="490"/>
      <c r="D129" s="505">
        <v>992</v>
      </c>
      <c r="E129" s="490"/>
      <c r="F129" s="506" t="s">
        <v>465</v>
      </c>
      <c r="G129" s="517"/>
      <c r="H129" s="492">
        <v>46134</v>
      </c>
      <c r="I129" s="492"/>
      <c r="J129" s="515"/>
      <c r="K129" s="507">
        <v>46132</v>
      </c>
      <c r="L129" s="495">
        <v>46126</v>
      </c>
      <c r="M129" s="496">
        <v>46134</v>
      </c>
      <c r="N129" s="508"/>
      <c r="O129" s="499" t="s">
        <v>1058</v>
      </c>
      <c r="P129" s="499" t="s">
        <v>1058</v>
      </c>
      <c r="Q129" s="499" t="s">
        <v>1058</v>
      </c>
      <c r="R129" s="499" t="s">
        <v>1058</v>
      </c>
      <c r="S129" s="499" t="s">
        <v>1058</v>
      </c>
      <c r="T129" s="499" t="s">
        <v>1058</v>
      </c>
      <c r="U129" s="499" t="s">
        <v>1058</v>
      </c>
      <c r="V129" s="499" t="s">
        <v>1058</v>
      </c>
      <c r="W129" s="511" t="s">
        <v>1058</v>
      </c>
      <c r="X129" s="512" t="s">
        <v>1058</v>
      </c>
      <c r="Y129" s="498"/>
      <c r="Z129" s="509" t="s">
        <v>1058</v>
      </c>
      <c r="AA129" s="503" t="s">
        <v>1339</v>
      </c>
      <c r="AB129" s="503" t="s">
        <v>580</v>
      </c>
      <c r="AC129" s="503"/>
      <c r="AD129" s="503" t="s">
        <v>465</v>
      </c>
      <c r="AE129" s="503">
        <v>11</v>
      </c>
      <c r="AF129" s="504">
        <f t="shared" si="7"/>
        <v>46134</v>
      </c>
      <c r="AG129" s="503">
        <f t="shared" si="8"/>
        <v>1585</v>
      </c>
      <c r="AH129" s="503"/>
      <c r="AJ129" s="489"/>
    </row>
    <row r="130" spans="1:36" s="488" customFormat="1">
      <c r="A130" s="505">
        <v>1586</v>
      </c>
      <c r="B130" s="505">
        <v>940</v>
      </c>
      <c r="C130" s="490"/>
      <c r="D130" s="505">
        <v>993</v>
      </c>
      <c r="E130" s="490"/>
      <c r="F130" s="506" t="s">
        <v>465</v>
      </c>
      <c r="G130" s="517"/>
      <c r="H130" s="492">
        <v>46134</v>
      </c>
      <c r="I130" s="492"/>
      <c r="J130" s="515"/>
      <c r="K130" s="507">
        <v>46132</v>
      </c>
      <c r="L130" s="495">
        <v>46126</v>
      </c>
      <c r="M130" s="496">
        <v>46134</v>
      </c>
      <c r="N130" s="508"/>
      <c r="O130" s="499" t="s">
        <v>1058</v>
      </c>
      <c r="P130" s="499" t="s">
        <v>1058</v>
      </c>
      <c r="Q130" s="499" t="s">
        <v>1058</v>
      </c>
      <c r="R130" s="499" t="s">
        <v>1058</v>
      </c>
      <c r="S130" s="499" t="s">
        <v>1058</v>
      </c>
      <c r="T130" s="499" t="s">
        <v>1058</v>
      </c>
      <c r="U130" s="499" t="s">
        <v>1058</v>
      </c>
      <c r="V130" s="499" t="s">
        <v>1058</v>
      </c>
      <c r="W130" s="511" t="s">
        <v>1058</v>
      </c>
      <c r="X130" s="512" t="s">
        <v>1058</v>
      </c>
      <c r="Y130" s="498"/>
      <c r="Z130" s="509" t="s">
        <v>1058</v>
      </c>
      <c r="AA130" s="503" t="s">
        <v>1340</v>
      </c>
      <c r="AB130" s="503" t="s">
        <v>580</v>
      </c>
      <c r="AC130" s="503"/>
      <c r="AD130" s="503" t="s">
        <v>465</v>
      </c>
      <c r="AE130" s="503">
        <v>11</v>
      </c>
      <c r="AF130" s="504">
        <f t="shared" ref="AF130:AF153" si="9">H130</f>
        <v>46134</v>
      </c>
      <c r="AG130" s="503">
        <f t="shared" ref="AG130:AG153" si="10">A130</f>
        <v>1586</v>
      </c>
      <c r="AH130" s="503"/>
      <c r="AJ130" s="489"/>
    </row>
    <row r="131" spans="1:36" s="488" customFormat="1">
      <c r="A131" s="505">
        <v>1587</v>
      </c>
      <c r="B131" s="505">
        <v>941</v>
      </c>
      <c r="C131" s="490"/>
      <c r="D131" s="505">
        <v>994</v>
      </c>
      <c r="E131" s="490"/>
      <c r="F131" s="506" t="s">
        <v>465</v>
      </c>
      <c r="G131" s="517"/>
      <c r="H131" s="492">
        <v>46134</v>
      </c>
      <c r="I131" s="492"/>
      <c r="J131" s="515"/>
      <c r="K131" s="507">
        <v>46132</v>
      </c>
      <c r="L131" s="495">
        <v>46126</v>
      </c>
      <c r="M131" s="496">
        <v>46134</v>
      </c>
      <c r="N131" s="508"/>
      <c r="O131" s="499" t="s">
        <v>1058</v>
      </c>
      <c r="P131" s="499" t="s">
        <v>1058</v>
      </c>
      <c r="Q131" s="499" t="s">
        <v>1058</v>
      </c>
      <c r="R131" s="499" t="s">
        <v>1058</v>
      </c>
      <c r="S131" s="499" t="s">
        <v>1058</v>
      </c>
      <c r="T131" s="499" t="s">
        <v>1058</v>
      </c>
      <c r="U131" s="499" t="s">
        <v>1058</v>
      </c>
      <c r="V131" s="499" t="s">
        <v>1058</v>
      </c>
      <c r="W131" s="511" t="s">
        <v>1058</v>
      </c>
      <c r="X131" s="512" t="s">
        <v>1058</v>
      </c>
      <c r="Y131" s="498"/>
      <c r="Z131" s="509" t="s">
        <v>1058</v>
      </c>
      <c r="AA131" s="503" t="s">
        <v>1341</v>
      </c>
      <c r="AB131" s="503" t="s">
        <v>580</v>
      </c>
      <c r="AC131" s="503"/>
      <c r="AD131" s="503" t="s">
        <v>465</v>
      </c>
      <c r="AE131" s="503">
        <v>11</v>
      </c>
      <c r="AF131" s="504">
        <f t="shared" si="9"/>
        <v>46134</v>
      </c>
      <c r="AG131" s="503">
        <f t="shared" si="10"/>
        <v>1587</v>
      </c>
      <c r="AH131" s="503"/>
      <c r="AJ131" s="489"/>
    </row>
    <row r="132" spans="1:36" s="488" customFormat="1">
      <c r="A132" s="505">
        <v>1588</v>
      </c>
      <c r="B132" s="505">
        <v>942</v>
      </c>
      <c r="C132" s="490"/>
      <c r="D132" s="505">
        <v>995</v>
      </c>
      <c r="E132" s="490"/>
      <c r="F132" s="506" t="s">
        <v>465</v>
      </c>
      <c r="G132" s="517"/>
      <c r="H132" s="492">
        <v>46135</v>
      </c>
      <c r="I132" s="492"/>
      <c r="J132" s="515"/>
      <c r="K132" s="507">
        <v>46133</v>
      </c>
      <c r="L132" s="495">
        <v>46127</v>
      </c>
      <c r="M132" s="496">
        <v>46135</v>
      </c>
      <c r="N132" s="508"/>
      <c r="O132" s="499" t="s">
        <v>1058</v>
      </c>
      <c r="P132" s="499" t="s">
        <v>1058</v>
      </c>
      <c r="Q132" s="499" t="s">
        <v>1058</v>
      </c>
      <c r="R132" s="499" t="s">
        <v>1058</v>
      </c>
      <c r="S132" s="499" t="s">
        <v>1058</v>
      </c>
      <c r="T132" s="499" t="s">
        <v>1058</v>
      </c>
      <c r="U132" s="499" t="s">
        <v>1058</v>
      </c>
      <c r="V132" s="499" t="s">
        <v>1058</v>
      </c>
      <c r="W132" s="511" t="s">
        <v>1058</v>
      </c>
      <c r="X132" s="512" t="s">
        <v>1058</v>
      </c>
      <c r="Y132" s="498"/>
      <c r="Z132" s="509" t="s">
        <v>1058</v>
      </c>
      <c r="AA132" s="503" t="s">
        <v>1342</v>
      </c>
      <c r="AB132" s="503" t="s">
        <v>580</v>
      </c>
      <c r="AC132" s="503"/>
      <c r="AD132" s="503" t="s">
        <v>465</v>
      </c>
      <c r="AE132" s="503">
        <v>11</v>
      </c>
      <c r="AF132" s="504">
        <f t="shared" si="9"/>
        <v>46135</v>
      </c>
      <c r="AG132" s="503">
        <f t="shared" si="10"/>
        <v>1588</v>
      </c>
      <c r="AH132" s="503"/>
      <c r="AJ132" s="489"/>
    </row>
    <row r="133" spans="1:36" s="488" customFormat="1">
      <c r="A133" s="505">
        <v>1589</v>
      </c>
      <c r="B133" s="505">
        <v>943</v>
      </c>
      <c r="C133" s="490"/>
      <c r="D133" s="505">
        <v>996</v>
      </c>
      <c r="E133" s="490"/>
      <c r="F133" s="506" t="s">
        <v>465</v>
      </c>
      <c r="G133" s="517"/>
      <c r="H133" s="492">
        <v>46135</v>
      </c>
      <c r="I133" s="492"/>
      <c r="J133" s="515"/>
      <c r="K133" s="507">
        <v>46133</v>
      </c>
      <c r="L133" s="495">
        <v>46127</v>
      </c>
      <c r="M133" s="496">
        <v>46135</v>
      </c>
      <c r="N133" s="508"/>
      <c r="O133" s="499" t="s">
        <v>1058</v>
      </c>
      <c r="P133" s="499" t="s">
        <v>1058</v>
      </c>
      <c r="Q133" s="499" t="s">
        <v>1058</v>
      </c>
      <c r="R133" s="499" t="s">
        <v>1058</v>
      </c>
      <c r="S133" s="499" t="s">
        <v>1058</v>
      </c>
      <c r="T133" s="499" t="s">
        <v>1058</v>
      </c>
      <c r="U133" s="499" t="s">
        <v>1058</v>
      </c>
      <c r="V133" s="499" t="s">
        <v>1058</v>
      </c>
      <c r="W133" s="511" t="s">
        <v>1058</v>
      </c>
      <c r="X133" s="512" t="s">
        <v>1058</v>
      </c>
      <c r="Y133" s="498"/>
      <c r="Z133" s="509" t="s">
        <v>1058</v>
      </c>
      <c r="AA133" s="503" t="s">
        <v>1343</v>
      </c>
      <c r="AB133" s="503" t="s">
        <v>580</v>
      </c>
      <c r="AC133" s="503"/>
      <c r="AD133" s="503" t="s">
        <v>465</v>
      </c>
      <c r="AE133" s="503">
        <v>11</v>
      </c>
      <c r="AF133" s="504">
        <f t="shared" si="9"/>
        <v>46135</v>
      </c>
      <c r="AG133" s="503">
        <f t="shared" si="10"/>
        <v>1589</v>
      </c>
      <c r="AH133" s="503"/>
      <c r="AJ133" s="489"/>
    </row>
    <row r="134" spans="1:36" s="488" customFormat="1">
      <c r="A134" s="505">
        <v>1590</v>
      </c>
      <c r="B134" s="505">
        <v>944</v>
      </c>
      <c r="C134" s="490"/>
      <c r="D134" s="505">
        <v>997</v>
      </c>
      <c r="E134" s="490"/>
      <c r="F134" s="506" t="s">
        <v>465</v>
      </c>
      <c r="G134" s="517"/>
      <c r="H134" s="492">
        <v>46135</v>
      </c>
      <c r="I134" s="492"/>
      <c r="J134" s="515"/>
      <c r="K134" s="507">
        <v>46133</v>
      </c>
      <c r="L134" s="495">
        <v>46127</v>
      </c>
      <c r="M134" s="496">
        <v>46135</v>
      </c>
      <c r="N134" s="508"/>
      <c r="O134" s="499" t="s">
        <v>1058</v>
      </c>
      <c r="P134" s="499" t="s">
        <v>1058</v>
      </c>
      <c r="Q134" s="499" t="s">
        <v>1058</v>
      </c>
      <c r="R134" s="499" t="s">
        <v>1058</v>
      </c>
      <c r="S134" s="499" t="s">
        <v>1058</v>
      </c>
      <c r="T134" s="499" t="s">
        <v>1058</v>
      </c>
      <c r="U134" s="499" t="s">
        <v>1058</v>
      </c>
      <c r="V134" s="499" t="s">
        <v>1058</v>
      </c>
      <c r="W134" s="511" t="s">
        <v>1058</v>
      </c>
      <c r="X134" s="512" t="s">
        <v>1058</v>
      </c>
      <c r="Y134" s="498"/>
      <c r="Z134" s="509" t="s">
        <v>1058</v>
      </c>
      <c r="AA134" s="503" t="s">
        <v>1344</v>
      </c>
      <c r="AB134" s="503" t="s">
        <v>580</v>
      </c>
      <c r="AC134" s="503"/>
      <c r="AD134" s="503" t="s">
        <v>465</v>
      </c>
      <c r="AE134" s="503">
        <v>11</v>
      </c>
      <c r="AF134" s="504">
        <f t="shared" si="9"/>
        <v>46135</v>
      </c>
      <c r="AG134" s="503">
        <f t="shared" si="10"/>
        <v>1590</v>
      </c>
      <c r="AH134" s="503"/>
      <c r="AJ134" s="489"/>
    </row>
    <row r="135" spans="1:36" s="488" customFormat="1">
      <c r="A135" s="505">
        <v>1591</v>
      </c>
      <c r="B135" s="505">
        <v>945</v>
      </c>
      <c r="C135" s="490"/>
      <c r="D135" s="505">
        <v>998</v>
      </c>
      <c r="E135" s="490"/>
      <c r="F135" s="506" t="s">
        <v>465</v>
      </c>
      <c r="G135" s="517"/>
      <c r="H135" s="492">
        <v>46135</v>
      </c>
      <c r="I135" s="492"/>
      <c r="J135" s="515"/>
      <c r="K135" s="507">
        <v>46133</v>
      </c>
      <c r="L135" s="495">
        <v>46127</v>
      </c>
      <c r="M135" s="496">
        <v>46135</v>
      </c>
      <c r="N135" s="508"/>
      <c r="O135" s="499" t="s">
        <v>1058</v>
      </c>
      <c r="P135" s="499" t="s">
        <v>1058</v>
      </c>
      <c r="Q135" s="499" t="s">
        <v>1058</v>
      </c>
      <c r="R135" s="499" t="s">
        <v>1058</v>
      </c>
      <c r="S135" s="499" t="s">
        <v>1058</v>
      </c>
      <c r="T135" s="499" t="s">
        <v>1058</v>
      </c>
      <c r="U135" s="499" t="s">
        <v>1058</v>
      </c>
      <c r="V135" s="499" t="s">
        <v>1058</v>
      </c>
      <c r="W135" s="511" t="s">
        <v>1058</v>
      </c>
      <c r="X135" s="512" t="s">
        <v>1058</v>
      </c>
      <c r="Y135" s="498"/>
      <c r="Z135" s="509" t="s">
        <v>1058</v>
      </c>
      <c r="AA135" s="503" t="s">
        <v>1345</v>
      </c>
      <c r="AB135" s="503" t="s">
        <v>580</v>
      </c>
      <c r="AC135" s="503"/>
      <c r="AD135" s="503" t="s">
        <v>465</v>
      </c>
      <c r="AE135" s="503">
        <v>11</v>
      </c>
      <c r="AF135" s="504">
        <f t="shared" si="9"/>
        <v>46135</v>
      </c>
      <c r="AG135" s="503">
        <f t="shared" si="10"/>
        <v>1591</v>
      </c>
      <c r="AH135" s="503"/>
      <c r="AJ135" s="489"/>
    </row>
    <row r="136" spans="1:36" s="488" customFormat="1">
      <c r="A136" s="505">
        <v>1592</v>
      </c>
      <c r="B136" s="505">
        <v>946</v>
      </c>
      <c r="C136" s="490"/>
      <c r="D136" s="505">
        <v>999</v>
      </c>
      <c r="E136" s="490"/>
      <c r="F136" s="506" t="s">
        <v>465</v>
      </c>
      <c r="G136" s="517"/>
      <c r="H136" s="492">
        <v>46135</v>
      </c>
      <c r="I136" s="492"/>
      <c r="J136" s="515"/>
      <c r="K136" s="507">
        <v>46134</v>
      </c>
      <c r="L136" s="495">
        <v>46128</v>
      </c>
      <c r="M136" s="496">
        <v>46135</v>
      </c>
      <c r="N136" s="508"/>
      <c r="O136" s="499" t="s">
        <v>1058</v>
      </c>
      <c r="P136" s="499" t="s">
        <v>1058</v>
      </c>
      <c r="Q136" s="499" t="s">
        <v>1058</v>
      </c>
      <c r="R136" s="499" t="s">
        <v>1058</v>
      </c>
      <c r="S136" s="499" t="s">
        <v>1058</v>
      </c>
      <c r="T136" s="499" t="s">
        <v>1058</v>
      </c>
      <c r="U136" s="499" t="s">
        <v>1058</v>
      </c>
      <c r="V136" s="499" t="s">
        <v>1058</v>
      </c>
      <c r="W136" s="511" t="s">
        <v>1058</v>
      </c>
      <c r="X136" s="512" t="s">
        <v>1058</v>
      </c>
      <c r="Y136" s="498"/>
      <c r="Z136" s="509" t="s">
        <v>1058</v>
      </c>
      <c r="AA136" s="503" t="s">
        <v>1346</v>
      </c>
      <c r="AB136" s="503" t="s">
        <v>580</v>
      </c>
      <c r="AC136" s="503"/>
      <c r="AD136" s="503" t="s">
        <v>465</v>
      </c>
      <c r="AE136" s="503">
        <v>11</v>
      </c>
      <c r="AF136" s="504">
        <f t="shared" si="9"/>
        <v>46135</v>
      </c>
      <c r="AG136" s="503">
        <f t="shared" si="10"/>
        <v>1592</v>
      </c>
      <c r="AH136" s="503"/>
      <c r="AJ136" s="489"/>
    </row>
    <row r="137" spans="1:36" s="488" customFormat="1">
      <c r="A137" s="505">
        <v>1593</v>
      </c>
      <c r="B137" s="505">
        <v>947</v>
      </c>
      <c r="C137" s="490"/>
      <c r="D137" s="505">
        <v>1000</v>
      </c>
      <c r="E137" s="490"/>
      <c r="F137" s="506" t="s">
        <v>465</v>
      </c>
      <c r="G137" s="517"/>
      <c r="H137" s="492">
        <v>46135</v>
      </c>
      <c r="I137" s="492"/>
      <c r="J137" s="515"/>
      <c r="K137" s="507">
        <v>46134</v>
      </c>
      <c r="L137" s="495">
        <v>46128</v>
      </c>
      <c r="M137" s="496">
        <v>46135</v>
      </c>
      <c r="N137" s="508"/>
      <c r="O137" s="499" t="s">
        <v>1058</v>
      </c>
      <c r="P137" s="499" t="s">
        <v>1058</v>
      </c>
      <c r="Q137" s="499" t="s">
        <v>1058</v>
      </c>
      <c r="R137" s="499" t="s">
        <v>1058</v>
      </c>
      <c r="S137" s="499" t="s">
        <v>1058</v>
      </c>
      <c r="T137" s="499" t="s">
        <v>1058</v>
      </c>
      <c r="U137" s="499" t="s">
        <v>1058</v>
      </c>
      <c r="V137" s="499" t="s">
        <v>1058</v>
      </c>
      <c r="W137" s="511" t="s">
        <v>1058</v>
      </c>
      <c r="X137" s="512" t="s">
        <v>1058</v>
      </c>
      <c r="Y137" s="498"/>
      <c r="Z137" s="509" t="s">
        <v>1058</v>
      </c>
      <c r="AA137" s="503" t="s">
        <v>1347</v>
      </c>
      <c r="AB137" s="503" t="s">
        <v>580</v>
      </c>
      <c r="AC137" s="503"/>
      <c r="AD137" s="503" t="s">
        <v>465</v>
      </c>
      <c r="AE137" s="503">
        <v>11</v>
      </c>
      <c r="AF137" s="504">
        <f t="shared" si="9"/>
        <v>46135</v>
      </c>
      <c r="AG137" s="503">
        <f t="shared" si="10"/>
        <v>1593</v>
      </c>
      <c r="AH137" s="503"/>
      <c r="AJ137" s="489"/>
    </row>
    <row r="138" spans="1:36" s="488" customFormat="1">
      <c r="A138" s="505">
        <v>1594</v>
      </c>
      <c r="B138" s="505">
        <v>948</v>
      </c>
      <c r="C138" s="490"/>
      <c r="D138" s="505">
        <v>1001</v>
      </c>
      <c r="E138" s="490"/>
      <c r="F138" s="506" t="s">
        <v>465</v>
      </c>
      <c r="G138" s="517"/>
      <c r="H138" s="492">
        <v>46136</v>
      </c>
      <c r="I138" s="492"/>
      <c r="J138" s="515"/>
      <c r="K138" s="507">
        <v>46134</v>
      </c>
      <c r="L138" s="495">
        <v>46128</v>
      </c>
      <c r="M138" s="496">
        <v>46136</v>
      </c>
      <c r="N138" s="508"/>
      <c r="O138" s="499" t="s">
        <v>1058</v>
      </c>
      <c r="P138" s="499" t="s">
        <v>1058</v>
      </c>
      <c r="Q138" s="499" t="s">
        <v>1058</v>
      </c>
      <c r="R138" s="499" t="s">
        <v>1058</v>
      </c>
      <c r="S138" s="499" t="s">
        <v>1058</v>
      </c>
      <c r="T138" s="499" t="s">
        <v>1058</v>
      </c>
      <c r="U138" s="499" t="s">
        <v>1058</v>
      </c>
      <c r="V138" s="499" t="s">
        <v>1058</v>
      </c>
      <c r="W138" s="511" t="s">
        <v>1058</v>
      </c>
      <c r="X138" s="512" t="s">
        <v>1058</v>
      </c>
      <c r="Y138" s="498"/>
      <c r="Z138" s="509" t="s">
        <v>1058</v>
      </c>
      <c r="AA138" s="503" t="s">
        <v>1348</v>
      </c>
      <c r="AB138" s="503" t="s">
        <v>580</v>
      </c>
      <c r="AC138" s="503"/>
      <c r="AD138" s="503" t="s">
        <v>465</v>
      </c>
      <c r="AE138" s="503">
        <v>11</v>
      </c>
      <c r="AF138" s="504">
        <f t="shared" si="9"/>
        <v>46136</v>
      </c>
      <c r="AG138" s="503">
        <f t="shared" si="10"/>
        <v>1594</v>
      </c>
      <c r="AH138" s="503"/>
      <c r="AJ138" s="489"/>
    </row>
    <row r="139" spans="1:36" s="488" customFormat="1">
      <c r="A139" s="505">
        <v>1595</v>
      </c>
      <c r="B139" s="505">
        <v>949</v>
      </c>
      <c r="C139" s="490"/>
      <c r="D139" s="505">
        <v>1002</v>
      </c>
      <c r="E139" s="490"/>
      <c r="F139" s="506" t="s">
        <v>465</v>
      </c>
      <c r="G139" s="517"/>
      <c r="H139" s="492">
        <v>46136</v>
      </c>
      <c r="I139" s="492"/>
      <c r="J139" s="515"/>
      <c r="K139" s="507">
        <v>46134</v>
      </c>
      <c r="L139" s="495">
        <v>46128</v>
      </c>
      <c r="M139" s="496">
        <v>46136</v>
      </c>
      <c r="N139" s="508"/>
      <c r="O139" s="499" t="s">
        <v>1058</v>
      </c>
      <c r="P139" s="499" t="s">
        <v>1058</v>
      </c>
      <c r="Q139" s="499" t="s">
        <v>1058</v>
      </c>
      <c r="R139" s="499" t="s">
        <v>1058</v>
      </c>
      <c r="S139" s="499" t="s">
        <v>1058</v>
      </c>
      <c r="T139" s="499" t="s">
        <v>1058</v>
      </c>
      <c r="U139" s="499" t="s">
        <v>1058</v>
      </c>
      <c r="V139" s="499" t="s">
        <v>1058</v>
      </c>
      <c r="W139" s="511" t="s">
        <v>1058</v>
      </c>
      <c r="X139" s="512" t="s">
        <v>1058</v>
      </c>
      <c r="Y139" s="498"/>
      <c r="Z139" s="509" t="s">
        <v>1058</v>
      </c>
      <c r="AA139" s="503" t="s">
        <v>1349</v>
      </c>
      <c r="AB139" s="503" t="s">
        <v>580</v>
      </c>
      <c r="AC139" s="503"/>
      <c r="AD139" s="503" t="s">
        <v>465</v>
      </c>
      <c r="AE139" s="503">
        <v>11</v>
      </c>
      <c r="AF139" s="504">
        <f t="shared" si="9"/>
        <v>46136</v>
      </c>
      <c r="AG139" s="503">
        <f t="shared" si="10"/>
        <v>1595</v>
      </c>
      <c r="AH139" s="503"/>
      <c r="AJ139" s="489"/>
    </row>
    <row r="140" spans="1:36" s="488" customFormat="1">
      <c r="A140" s="505">
        <v>1596</v>
      </c>
      <c r="B140" s="505">
        <v>950</v>
      </c>
      <c r="C140" s="490"/>
      <c r="D140" s="505">
        <v>1003</v>
      </c>
      <c r="E140" s="490"/>
      <c r="F140" s="506" t="s">
        <v>465</v>
      </c>
      <c r="G140" s="517"/>
      <c r="H140" s="492">
        <v>46136</v>
      </c>
      <c r="I140" s="492"/>
      <c r="J140" s="515"/>
      <c r="K140" s="507">
        <v>46135</v>
      </c>
      <c r="L140" s="495">
        <v>46129</v>
      </c>
      <c r="M140" s="496">
        <v>46136</v>
      </c>
      <c r="N140" s="508"/>
      <c r="O140" s="499" t="s">
        <v>1058</v>
      </c>
      <c r="P140" s="499" t="s">
        <v>1058</v>
      </c>
      <c r="Q140" s="499" t="s">
        <v>1058</v>
      </c>
      <c r="R140" s="499" t="s">
        <v>1058</v>
      </c>
      <c r="S140" s="499" t="s">
        <v>1058</v>
      </c>
      <c r="T140" s="499" t="s">
        <v>1058</v>
      </c>
      <c r="U140" s="499" t="s">
        <v>1058</v>
      </c>
      <c r="V140" s="499" t="s">
        <v>1058</v>
      </c>
      <c r="W140" s="511" t="s">
        <v>1058</v>
      </c>
      <c r="X140" s="512" t="s">
        <v>1058</v>
      </c>
      <c r="Y140" s="498"/>
      <c r="Z140" s="509" t="s">
        <v>1058</v>
      </c>
      <c r="AA140" s="503" t="s">
        <v>1350</v>
      </c>
      <c r="AB140" s="503" t="s">
        <v>580</v>
      </c>
      <c r="AC140" s="503"/>
      <c r="AD140" s="503" t="s">
        <v>465</v>
      </c>
      <c r="AE140" s="503">
        <v>11</v>
      </c>
      <c r="AF140" s="504">
        <f t="shared" si="9"/>
        <v>46136</v>
      </c>
      <c r="AG140" s="503">
        <f t="shared" si="10"/>
        <v>1596</v>
      </c>
      <c r="AH140" s="503"/>
      <c r="AJ140" s="489"/>
    </row>
    <row r="141" spans="1:36" s="488" customFormat="1">
      <c r="A141" s="505">
        <v>1597</v>
      </c>
      <c r="B141" s="505">
        <v>951</v>
      </c>
      <c r="C141" s="490"/>
      <c r="D141" s="505">
        <v>1004</v>
      </c>
      <c r="E141" s="490"/>
      <c r="F141" s="506" t="s">
        <v>465</v>
      </c>
      <c r="G141" s="517"/>
      <c r="H141" s="492">
        <v>46136</v>
      </c>
      <c r="I141" s="492"/>
      <c r="J141" s="515"/>
      <c r="K141" s="507">
        <v>46135</v>
      </c>
      <c r="L141" s="495">
        <v>46129</v>
      </c>
      <c r="M141" s="496">
        <v>46136</v>
      </c>
      <c r="N141" s="508"/>
      <c r="O141" s="499" t="s">
        <v>1058</v>
      </c>
      <c r="P141" s="499" t="s">
        <v>1058</v>
      </c>
      <c r="Q141" s="499" t="s">
        <v>1058</v>
      </c>
      <c r="R141" s="499" t="s">
        <v>1058</v>
      </c>
      <c r="S141" s="499" t="s">
        <v>1058</v>
      </c>
      <c r="T141" s="499" t="s">
        <v>1058</v>
      </c>
      <c r="U141" s="499" t="s">
        <v>1058</v>
      </c>
      <c r="V141" s="499" t="s">
        <v>1058</v>
      </c>
      <c r="W141" s="511" t="s">
        <v>1058</v>
      </c>
      <c r="X141" s="512" t="s">
        <v>1058</v>
      </c>
      <c r="Y141" s="498"/>
      <c r="Z141" s="509" t="s">
        <v>1058</v>
      </c>
      <c r="AA141" s="503" t="s">
        <v>1351</v>
      </c>
      <c r="AB141" s="503" t="s">
        <v>580</v>
      </c>
      <c r="AC141" s="503"/>
      <c r="AD141" s="503" t="s">
        <v>465</v>
      </c>
      <c r="AE141" s="503">
        <v>11</v>
      </c>
      <c r="AF141" s="504">
        <f t="shared" si="9"/>
        <v>46136</v>
      </c>
      <c r="AG141" s="503">
        <f t="shared" si="10"/>
        <v>1597</v>
      </c>
      <c r="AH141" s="503"/>
      <c r="AJ141" s="489"/>
    </row>
    <row r="142" spans="1:36" s="488" customFormat="1">
      <c r="A142" s="505">
        <v>1598</v>
      </c>
      <c r="B142" s="505">
        <v>952</v>
      </c>
      <c r="C142" s="490"/>
      <c r="D142" s="505">
        <v>1005</v>
      </c>
      <c r="E142" s="490"/>
      <c r="F142" s="506" t="s">
        <v>465</v>
      </c>
      <c r="G142" s="517"/>
      <c r="H142" s="492">
        <v>46136</v>
      </c>
      <c r="I142" s="492"/>
      <c r="J142" s="515"/>
      <c r="K142" s="507">
        <v>46135</v>
      </c>
      <c r="L142" s="495">
        <v>46129</v>
      </c>
      <c r="M142" s="496">
        <v>46136</v>
      </c>
      <c r="N142" s="508"/>
      <c r="O142" s="499" t="s">
        <v>1058</v>
      </c>
      <c r="P142" s="499" t="s">
        <v>1058</v>
      </c>
      <c r="Q142" s="499" t="s">
        <v>1058</v>
      </c>
      <c r="R142" s="499" t="s">
        <v>1058</v>
      </c>
      <c r="S142" s="499" t="s">
        <v>1058</v>
      </c>
      <c r="T142" s="499" t="s">
        <v>1058</v>
      </c>
      <c r="U142" s="499" t="s">
        <v>1058</v>
      </c>
      <c r="V142" s="499" t="s">
        <v>1058</v>
      </c>
      <c r="W142" s="511" t="s">
        <v>1058</v>
      </c>
      <c r="X142" s="512" t="s">
        <v>1058</v>
      </c>
      <c r="Y142" s="498"/>
      <c r="Z142" s="509" t="s">
        <v>1058</v>
      </c>
      <c r="AA142" s="503" t="s">
        <v>1352</v>
      </c>
      <c r="AB142" s="503" t="s">
        <v>580</v>
      </c>
      <c r="AC142" s="503"/>
      <c r="AD142" s="503" t="s">
        <v>465</v>
      </c>
      <c r="AE142" s="503">
        <v>11</v>
      </c>
      <c r="AF142" s="504">
        <f t="shared" si="9"/>
        <v>46136</v>
      </c>
      <c r="AG142" s="503">
        <f t="shared" si="10"/>
        <v>1598</v>
      </c>
      <c r="AH142" s="503"/>
      <c r="AJ142" s="489"/>
    </row>
    <row r="143" spans="1:36" s="488" customFormat="1">
      <c r="A143" s="505">
        <v>1599</v>
      </c>
      <c r="B143" s="505">
        <v>953</v>
      </c>
      <c r="C143" s="490"/>
      <c r="D143" s="505">
        <v>1006</v>
      </c>
      <c r="E143" s="490"/>
      <c r="F143" s="506" t="s">
        <v>465</v>
      </c>
      <c r="G143" s="517"/>
      <c r="H143" s="492">
        <v>46139</v>
      </c>
      <c r="I143" s="492"/>
      <c r="J143" s="515"/>
      <c r="K143" s="507">
        <v>46135</v>
      </c>
      <c r="L143" s="495">
        <v>46129</v>
      </c>
      <c r="M143" s="496">
        <v>46139</v>
      </c>
      <c r="N143" s="508"/>
      <c r="O143" s="499" t="s">
        <v>1058</v>
      </c>
      <c r="P143" s="499" t="s">
        <v>1058</v>
      </c>
      <c r="Q143" s="499" t="s">
        <v>1058</v>
      </c>
      <c r="R143" s="499" t="s">
        <v>1058</v>
      </c>
      <c r="S143" s="499" t="s">
        <v>1058</v>
      </c>
      <c r="T143" s="499" t="s">
        <v>1058</v>
      </c>
      <c r="U143" s="499" t="s">
        <v>1058</v>
      </c>
      <c r="V143" s="499" t="s">
        <v>1058</v>
      </c>
      <c r="W143" s="511" t="s">
        <v>1058</v>
      </c>
      <c r="X143" s="512" t="s">
        <v>1058</v>
      </c>
      <c r="Y143" s="498"/>
      <c r="Z143" s="509" t="s">
        <v>1058</v>
      </c>
      <c r="AA143" s="503" t="s">
        <v>1353</v>
      </c>
      <c r="AB143" s="503" t="s">
        <v>580</v>
      </c>
      <c r="AC143" s="503"/>
      <c r="AD143" s="503" t="s">
        <v>465</v>
      </c>
      <c r="AE143" s="503">
        <v>11</v>
      </c>
      <c r="AF143" s="504">
        <f t="shared" si="9"/>
        <v>46139</v>
      </c>
      <c r="AG143" s="503">
        <f t="shared" si="10"/>
        <v>1599</v>
      </c>
      <c r="AH143" s="503"/>
      <c r="AJ143" s="489"/>
    </row>
    <row r="144" spans="1:36" s="488" customFormat="1">
      <c r="A144" s="505">
        <v>1600</v>
      </c>
      <c r="B144" s="505">
        <v>954</v>
      </c>
      <c r="C144" s="490"/>
      <c r="D144" s="505">
        <v>1007</v>
      </c>
      <c r="E144" s="490"/>
      <c r="F144" s="506" t="s">
        <v>465</v>
      </c>
      <c r="G144" s="517"/>
      <c r="H144" s="492">
        <v>46139</v>
      </c>
      <c r="I144" s="492"/>
      <c r="J144" s="515"/>
      <c r="K144" s="507">
        <v>46136</v>
      </c>
      <c r="L144" s="495">
        <v>46132</v>
      </c>
      <c r="M144" s="496">
        <v>46139</v>
      </c>
      <c r="N144" s="508"/>
      <c r="O144" s="499" t="s">
        <v>1058</v>
      </c>
      <c r="P144" s="499" t="s">
        <v>1058</v>
      </c>
      <c r="Q144" s="499" t="s">
        <v>1058</v>
      </c>
      <c r="R144" s="499" t="s">
        <v>1058</v>
      </c>
      <c r="S144" s="499" t="s">
        <v>1058</v>
      </c>
      <c r="T144" s="499" t="s">
        <v>1058</v>
      </c>
      <c r="U144" s="499" t="s">
        <v>1058</v>
      </c>
      <c r="V144" s="499" t="s">
        <v>1058</v>
      </c>
      <c r="W144" s="511" t="s">
        <v>1058</v>
      </c>
      <c r="X144" s="512" t="s">
        <v>1058</v>
      </c>
      <c r="Y144" s="498"/>
      <c r="Z144" s="509" t="s">
        <v>1058</v>
      </c>
      <c r="AA144" s="503" t="s">
        <v>1354</v>
      </c>
      <c r="AB144" s="503" t="s">
        <v>580</v>
      </c>
      <c r="AC144" s="503"/>
      <c r="AD144" s="503" t="s">
        <v>465</v>
      </c>
      <c r="AE144" s="503">
        <v>11</v>
      </c>
      <c r="AF144" s="504">
        <f t="shared" si="9"/>
        <v>46139</v>
      </c>
      <c r="AG144" s="503">
        <f t="shared" si="10"/>
        <v>1600</v>
      </c>
      <c r="AH144" s="503"/>
      <c r="AJ144" s="489"/>
    </row>
    <row r="145" spans="1:36" s="488" customFormat="1">
      <c r="A145" s="505">
        <v>1601</v>
      </c>
      <c r="B145" s="505">
        <v>955</v>
      </c>
      <c r="C145" s="490"/>
      <c r="D145" s="505">
        <v>1008</v>
      </c>
      <c r="E145" s="490"/>
      <c r="F145" s="506" t="s">
        <v>465</v>
      </c>
      <c r="G145" s="517"/>
      <c r="H145" s="492">
        <v>46139</v>
      </c>
      <c r="I145" s="492"/>
      <c r="J145" s="515"/>
      <c r="K145" s="507">
        <v>46136</v>
      </c>
      <c r="L145" s="495">
        <v>46132</v>
      </c>
      <c r="M145" s="496">
        <v>46139</v>
      </c>
      <c r="N145" s="508"/>
      <c r="O145" s="499" t="s">
        <v>1058</v>
      </c>
      <c r="P145" s="499" t="s">
        <v>1058</v>
      </c>
      <c r="Q145" s="499" t="s">
        <v>1058</v>
      </c>
      <c r="R145" s="499" t="s">
        <v>1058</v>
      </c>
      <c r="S145" s="499" t="s">
        <v>1058</v>
      </c>
      <c r="T145" s="499" t="s">
        <v>1058</v>
      </c>
      <c r="U145" s="499" t="s">
        <v>1058</v>
      </c>
      <c r="V145" s="499" t="s">
        <v>1058</v>
      </c>
      <c r="W145" s="511" t="s">
        <v>1058</v>
      </c>
      <c r="X145" s="512" t="s">
        <v>1058</v>
      </c>
      <c r="Y145" s="498"/>
      <c r="Z145" s="509" t="s">
        <v>1058</v>
      </c>
      <c r="AA145" s="503" t="s">
        <v>1355</v>
      </c>
      <c r="AB145" s="503" t="s">
        <v>580</v>
      </c>
      <c r="AC145" s="503"/>
      <c r="AD145" s="503" t="s">
        <v>465</v>
      </c>
      <c r="AE145" s="503">
        <v>11</v>
      </c>
      <c r="AF145" s="504">
        <f t="shared" si="9"/>
        <v>46139</v>
      </c>
      <c r="AG145" s="503">
        <f t="shared" si="10"/>
        <v>1601</v>
      </c>
      <c r="AH145" s="503"/>
      <c r="AJ145" s="489"/>
    </row>
    <row r="146" spans="1:36" s="488" customFormat="1">
      <c r="A146" s="505">
        <v>1602</v>
      </c>
      <c r="B146" s="505">
        <v>956</v>
      </c>
      <c r="C146" s="490"/>
      <c r="D146" s="505">
        <v>1009</v>
      </c>
      <c r="E146" s="490"/>
      <c r="F146" s="506" t="s">
        <v>465</v>
      </c>
      <c r="G146" s="517"/>
      <c r="H146" s="492">
        <v>46139</v>
      </c>
      <c r="I146" s="492"/>
      <c r="J146" s="515"/>
      <c r="K146" s="507">
        <v>46136</v>
      </c>
      <c r="L146" s="495">
        <v>46132</v>
      </c>
      <c r="M146" s="496">
        <v>46139</v>
      </c>
      <c r="N146" s="508"/>
      <c r="O146" s="499" t="s">
        <v>1058</v>
      </c>
      <c r="P146" s="499" t="s">
        <v>1058</v>
      </c>
      <c r="Q146" s="499" t="s">
        <v>1058</v>
      </c>
      <c r="R146" s="499" t="s">
        <v>1058</v>
      </c>
      <c r="S146" s="499" t="s">
        <v>1058</v>
      </c>
      <c r="T146" s="499" t="s">
        <v>1058</v>
      </c>
      <c r="U146" s="499" t="s">
        <v>1058</v>
      </c>
      <c r="V146" s="499" t="s">
        <v>1058</v>
      </c>
      <c r="W146" s="511" t="s">
        <v>1058</v>
      </c>
      <c r="X146" s="512" t="s">
        <v>1058</v>
      </c>
      <c r="Y146" s="498"/>
      <c r="Z146" s="509" t="s">
        <v>1058</v>
      </c>
      <c r="AA146" s="503" t="s">
        <v>1356</v>
      </c>
      <c r="AB146" s="503" t="s">
        <v>580</v>
      </c>
      <c r="AC146" s="503"/>
      <c r="AD146" s="503" t="s">
        <v>465</v>
      </c>
      <c r="AE146" s="503">
        <v>11</v>
      </c>
      <c r="AF146" s="504">
        <f t="shared" si="9"/>
        <v>46139</v>
      </c>
      <c r="AG146" s="503">
        <f t="shared" si="10"/>
        <v>1602</v>
      </c>
      <c r="AH146" s="503"/>
      <c r="AJ146" s="489"/>
    </row>
    <row r="147" spans="1:36" s="488" customFormat="1">
      <c r="A147" s="505">
        <v>1603</v>
      </c>
      <c r="B147" s="505">
        <v>957</v>
      </c>
      <c r="C147" s="490"/>
      <c r="D147" s="505">
        <v>1010</v>
      </c>
      <c r="E147" s="490"/>
      <c r="F147" s="506" t="s">
        <v>465</v>
      </c>
      <c r="G147" s="517"/>
      <c r="H147" s="492">
        <v>46139</v>
      </c>
      <c r="I147" s="492"/>
      <c r="J147" s="515"/>
      <c r="K147" s="507">
        <v>46136</v>
      </c>
      <c r="L147" s="495">
        <v>46132</v>
      </c>
      <c r="M147" s="496">
        <v>46139</v>
      </c>
      <c r="N147" s="508"/>
      <c r="O147" s="499" t="s">
        <v>1058</v>
      </c>
      <c r="P147" s="499" t="s">
        <v>1058</v>
      </c>
      <c r="Q147" s="499" t="s">
        <v>1058</v>
      </c>
      <c r="R147" s="499" t="s">
        <v>1058</v>
      </c>
      <c r="S147" s="499" t="s">
        <v>1058</v>
      </c>
      <c r="T147" s="499" t="s">
        <v>1058</v>
      </c>
      <c r="U147" s="499" t="s">
        <v>1058</v>
      </c>
      <c r="V147" s="499" t="s">
        <v>1058</v>
      </c>
      <c r="W147" s="511" t="s">
        <v>1058</v>
      </c>
      <c r="X147" s="512" t="s">
        <v>1058</v>
      </c>
      <c r="Y147" s="498"/>
      <c r="Z147" s="509" t="s">
        <v>1058</v>
      </c>
      <c r="AA147" s="503" t="s">
        <v>1357</v>
      </c>
      <c r="AB147" s="503" t="s">
        <v>580</v>
      </c>
      <c r="AC147" s="503"/>
      <c r="AD147" s="503" t="s">
        <v>465</v>
      </c>
      <c r="AE147" s="503">
        <v>11</v>
      </c>
      <c r="AF147" s="504">
        <f t="shared" si="9"/>
        <v>46139</v>
      </c>
      <c r="AG147" s="503">
        <f t="shared" si="10"/>
        <v>1603</v>
      </c>
      <c r="AH147" s="503"/>
      <c r="AJ147" s="489"/>
    </row>
    <row r="148" spans="1:36" s="488" customFormat="1">
      <c r="A148" s="505">
        <v>1604</v>
      </c>
      <c r="B148" s="505">
        <v>958</v>
      </c>
      <c r="C148" s="490"/>
      <c r="D148" s="505">
        <v>1011</v>
      </c>
      <c r="E148" s="490"/>
      <c r="F148" s="506" t="s">
        <v>465</v>
      </c>
      <c r="G148" s="517"/>
      <c r="H148" s="492">
        <v>46140</v>
      </c>
      <c r="I148" s="492"/>
      <c r="J148" s="515"/>
      <c r="K148" s="507">
        <v>46136</v>
      </c>
      <c r="L148" s="495">
        <v>46132</v>
      </c>
      <c r="M148" s="496">
        <v>46140</v>
      </c>
      <c r="N148" s="508"/>
      <c r="O148" s="499" t="s">
        <v>1058</v>
      </c>
      <c r="P148" s="499" t="s">
        <v>1058</v>
      </c>
      <c r="Q148" s="499" t="s">
        <v>1058</v>
      </c>
      <c r="R148" s="499" t="s">
        <v>1058</v>
      </c>
      <c r="S148" s="499" t="s">
        <v>1058</v>
      </c>
      <c r="T148" s="499" t="s">
        <v>1058</v>
      </c>
      <c r="U148" s="499" t="s">
        <v>1058</v>
      </c>
      <c r="V148" s="499" t="s">
        <v>1058</v>
      </c>
      <c r="W148" s="511" t="s">
        <v>1058</v>
      </c>
      <c r="X148" s="512" t="s">
        <v>1058</v>
      </c>
      <c r="Y148" s="498"/>
      <c r="Z148" s="509" t="s">
        <v>1058</v>
      </c>
      <c r="AA148" s="503" t="s">
        <v>1019</v>
      </c>
      <c r="AB148" s="503" t="s">
        <v>580</v>
      </c>
      <c r="AC148" s="503"/>
      <c r="AD148" s="503" t="s">
        <v>465</v>
      </c>
      <c r="AE148" s="503">
        <v>11</v>
      </c>
      <c r="AF148" s="504">
        <f t="shared" si="9"/>
        <v>46140</v>
      </c>
      <c r="AG148" s="503">
        <f t="shared" si="10"/>
        <v>1604</v>
      </c>
      <c r="AH148" s="503"/>
      <c r="AJ148" s="489"/>
    </row>
    <row r="149" spans="1:36" s="488" customFormat="1">
      <c r="A149" s="505">
        <v>1605</v>
      </c>
      <c r="B149" s="505">
        <v>959</v>
      </c>
      <c r="C149" s="490"/>
      <c r="D149" s="505">
        <v>1012</v>
      </c>
      <c r="E149" s="490"/>
      <c r="F149" s="506" t="s">
        <v>465</v>
      </c>
      <c r="G149" s="517"/>
      <c r="H149" s="492">
        <v>46140</v>
      </c>
      <c r="I149" s="492"/>
      <c r="J149" s="515"/>
      <c r="K149" s="507">
        <v>46139</v>
      </c>
      <c r="L149" s="495">
        <v>46133</v>
      </c>
      <c r="M149" s="496">
        <v>46140</v>
      </c>
      <c r="N149" s="508"/>
      <c r="O149" s="499" t="s">
        <v>1058</v>
      </c>
      <c r="P149" s="499" t="s">
        <v>1058</v>
      </c>
      <c r="Q149" s="499" t="s">
        <v>1058</v>
      </c>
      <c r="R149" s="499" t="s">
        <v>1058</v>
      </c>
      <c r="S149" s="499" t="s">
        <v>1058</v>
      </c>
      <c r="T149" s="499" t="s">
        <v>1058</v>
      </c>
      <c r="U149" s="499" t="s">
        <v>1058</v>
      </c>
      <c r="V149" s="499" t="s">
        <v>1058</v>
      </c>
      <c r="W149" s="511" t="s">
        <v>1058</v>
      </c>
      <c r="X149" s="512" t="s">
        <v>1058</v>
      </c>
      <c r="Y149" s="498"/>
      <c r="Z149" s="509" t="s">
        <v>1058</v>
      </c>
      <c r="AA149" s="503" t="s">
        <v>1020</v>
      </c>
      <c r="AB149" s="503" t="s">
        <v>580</v>
      </c>
      <c r="AC149" s="503"/>
      <c r="AD149" s="503" t="s">
        <v>465</v>
      </c>
      <c r="AE149" s="503">
        <v>11</v>
      </c>
      <c r="AF149" s="504">
        <f t="shared" si="9"/>
        <v>46140</v>
      </c>
      <c r="AG149" s="503">
        <f t="shared" si="10"/>
        <v>1605</v>
      </c>
      <c r="AH149" s="503"/>
      <c r="AJ149" s="489"/>
    </row>
    <row r="150" spans="1:36" s="488" customFormat="1">
      <c r="A150" s="505">
        <v>1606</v>
      </c>
      <c r="B150" s="505">
        <v>960</v>
      </c>
      <c r="C150" s="490"/>
      <c r="D150" s="505">
        <v>1013</v>
      </c>
      <c r="E150" s="490"/>
      <c r="F150" s="506" t="s">
        <v>465</v>
      </c>
      <c r="G150" s="517"/>
      <c r="H150" s="492">
        <v>46140</v>
      </c>
      <c r="I150" s="492"/>
      <c r="J150" s="515"/>
      <c r="K150" s="507">
        <v>46139</v>
      </c>
      <c r="L150" s="495">
        <v>46133</v>
      </c>
      <c r="M150" s="496">
        <v>46140</v>
      </c>
      <c r="N150" s="508"/>
      <c r="O150" s="499" t="s">
        <v>1058</v>
      </c>
      <c r="P150" s="499" t="s">
        <v>1058</v>
      </c>
      <c r="Q150" s="499" t="s">
        <v>1058</v>
      </c>
      <c r="R150" s="499" t="s">
        <v>1058</v>
      </c>
      <c r="S150" s="499" t="s">
        <v>1058</v>
      </c>
      <c r="T150" s="499" t="s">
        <v>1058</v>
      </c>
      <c r="U150" s="499" t="s">
        <v>1058</v>
      </c>
      <c r="V150" s="499" t="s">
        <v>1058</v>
      </c>
      <c r="W150" s="511" t="s">
        <v>1058</v>
      </c>
      <c r="X150" s="512" t="s">
        <v>1058</v>
      </c>
      <c r="Y150" s="498"/>
      <c r="Z150" s="509" t="s">
        <v>1058</v>
      </c>
      <c r="AA150" s="503" t="s">
        <v>1021</v>
      </c>
      <c r="AB150" s="503" t="s">
        <v>580</v>
      </c>
      <c r="AC150" s="503"/>
      <c r="AD150" s="503" t="s">
        <v>465</v>
      </c>
      <c r="AE150" s="503">
        <v>11</v>
      </c>
      <c r="AF150" s="504">
        <f t="shared" si="9"/>
        <v>46140</v>
      </c>
      <c r="AG150" s="503">
        <f t="shared" si="10"/>
        <v>1606</v>
      </c>
      <c r="AH150" s="503"/>
      <c r="AJ150" s="489"/>
    </row>
    <row r="151" spans="1:36" s="488" customFormat="1">
      <c r="A151" s="505">
        <v>1607</v>
      </c>
      <c r="B151" s="505">
        <v>961</v>
      </c>
      <c r="C151" s="490"/>
      <c r="D151" s="505">
        <v>1014</v>
      </c>
      <c r="E151" s="490"/>
      <c r="F151" s="506" t="s">
        <v>465</v>
      </c>
      <c r="G151" s="517"/>
      <c r="H151" s="492">
        <v>46140</v>
      </c>
      <c r="I151" s="492"/>
      <c r="J151" s="515"/>
      <c r="K151" s="507">
        <v>46139</v>
      </c>
      <c r="L151" s="495">
        <v>46133</v>
      </c>
      <c r="M151" s="496">
        <v>46140</v>
      </c>
      <c r="N151" s="508"/>
      <c r="O151" s="499" t="s">
        <v>1058</v>
      </c>
      <c r="P151" s="499" t="s">
        <v>1058</v>
      </c>
      <c r="Q151" s="499" t="s">
        <v>1058</v>
      </c>
      <c r="R151" s="499" t="s">
        <v>1058</v>
      </c>
      <c r="S151" s="499" t="s">
        <v>1058</v>
      </c>
      <c r="T151" s="499" t="s">
        <v>1058</v>
      </c>
      <c r="U151" s="499" t="s">
        <v>1058</v>
      </c>
      <c r="V151" s="499" t="s">
        <v>1058</v>
      </c>
      <c r="W151" s="511" t="s">
        <v>1058</v>
      </c>
      <c r="X151" s="512" t="s">
        <v>1058</v>
      </c>
      <c r="Y151" s="498"/>
      <c r="Z151" s="509" t="s">
        <v>1058</v>
      </c>
      <c r="AA151" s="503" t="s">
        <v>1022</v>
      </c>
      <c r="AB151" s="503" t="s">
        <v>580</v>
      </c>
      <c r="AC151" s="503"/>
      <c r="AD151" s="503" t="s">
        <v>465</v>
      </c>
      <c r="AE151" s="503">
        <v>11</v>
      </c>
      <c r="AF151" s="504">
        <f t="shared" si="9"/>
        <v>46140</v>
      </c>
      <c r="AG151" s="503">
        <f t="shared" si="10"/>
        <v>1607</v>
      </c>
      <c r="AH151" s="503"/>
      <c r="AJ151" s="489"/>
    </row>
    <row r="152" spans="1:36" s="488" customFormat="1">
      <c r="A152" s="505">
        <v>1608</v>
      </c>
      <c r="B152" s="505">
        <v>962</v>
      </c>
      <c r="C152" s="490"/>
      <c r="D152" s="505">
        <v>1015</v>
      </c>
      <c r="E152" s="490"/>
      <c r="F152" s="506" t="s">
        <v>465</v>
      </c>
      <c r="G152" s="517"/>
      <c r="H152" s="492">
        <v>46140</v>
      </c>
      <c r="I152" s="492"/>
      <c r="J152" s="515"/>
      <c r="K152" s="507">
        <v>46139</v>
      </c>
      <c r="L152" s="495">
        <v>46133</v>
      </c>
      <c r="M152" s="496">
        <v>46140</v>
      </c>
      <c r="N152" s="508"/>
      <c r="O152" s="499" t="s">
        <v>1058</v>
      </c>
      <c r="P152" s="499" t="s">
        <v>1058</v>
      </c>
      <c r="Q152" s="499" t="s">
        <v>1058</v>
      </c>
      <c r="R152" s="499" t="s">
        <v>1058</v>
      </c>
      <c r="S152" s="499" t="s">
        <v>1058</v>
      </c>
      <c r="T152" s="499" t="s">
        <v>1058</v>
      </c>
      <c r="U152" s="499" t="s">
        <v>1058</v>
      </c>
      <c r="V152" s="499" t="s">
        <v>1058</v>
      </c>
      <c r="W152" s="511" t="s">
        <v>1058</v>
      </c>
      <c r="X152" s="512" t="s">
        <v>1058</v>
      </c>
      <c r="Y152" s="498"/>
      <c r="Z152" s="509" t="s">
        <v>1058</v>
      </c>
      <c r="AA152" s="503" t="s">
        <v>1023</v>
      </c>
      <c r="AB152" s="503" t="s">
        <v>580</v>
      </c>
      <c r="AC152" s="503"/>
      <c r="AD152" s="503" t="s">
        <v>465</v>
      </c>
      <c r="AE152" s="503">
        <v>11</v>
      </c>
      <c r="AF152" s="504">
        <f t="shared" si="9"/>
        <v>46140</v>
      </c>
      <c r="AG152" s="503">
        <f t="shared" si="10"/>
        <v>1608</v>
      </c>
      <c r="AH152" s="503"/>
      <c r="AJ152" s="489"/>
    </row>
    <row r="153" spans="1:36" s="488" customFormat="1">
      <c r="A153" s="505">
        <v>1609</v>
      </c>
      <c r="B153" s="505">
        <v>963</v>
      </c>
      <c r="C153" s="490"/>
      <c r="D153" s="505">
        <v>1016</v>
      </c>
      <c r="E153" s="490"/>
      <c r="F153" s="506" t="s">
        <v>465</v>
      </c>
      <c r="G153" s="517"/>
      <c r="H153" s="492">
        <v>46140</v>
      </c>
      <c r="I153" s="492"/>
      <c r="J153" s="515"/>
      <c r="K153" s="507">
        <v>46139</v>
      </c>
      <c r="L153" s="495">
        <v>46133</v>
      </c>
      <c r="M153" s="496">
        <v>46140</v>
      </c>
      <c r="N153" s="508"/>
      <c r="O153" s="499" t="s">
        <v>1058</v>
      </c>
      <c r="P153" s="499" t="s">
        <v>1058</v>
      </c>
      <c r="Q153" s="499" t="s">
        <v>1058</v>
      </c>
      <c r="R153" s="499" t="s">
        <v>1058</v>
      </c>
      <c r="S153" s="499" t="s">
        <v>1058</v>
      </c>
      <c r="T153" s="499" t="s">
        <v>1058</v>
      </c>
      <c r="U153" s="499" t="s">
        <v>1058</v>
      </c>
      <c r="V153" s="499" t="s">
        <v>1058</v>
      </c>
      <c r="W153" s="511" t="s">
        <v>1058</v>
      </c>
      <c r="X153" s="512" t="s">
        <v>1058</v>
      </c>
      <c r="Y153" s="498"/>
      <c r="Z153" s="509" t="s">
        <v>1058</v>
      </c>
      <c r="AA153" s="503" t="s">
        <v>1024</v>
      </c>
      <c r="AB153" s="503" t="s">
        <v>580</v>
      </c>
      <c r="AC153" s="503"/>
      <c r="AD153" s="503" t="s">
        <v>465</v>
      </c>
      <c r="AE153" s="503">
        <v>11</v>
      </c>
      <c r="AF153" s="504">
        <f t="shared" si="9"/>
        <v>46140</v>
      </c>
      <c r="AG153" s="503">
        <f t="shared" si="10"/>
        <v>1609</v>
      </c>
      <c r="AH153" s="503"/>
      <c r="AJ153" s="489"/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Sheet1</vt:lpstr>
      <vt:lpstr>Sheet2</vt:lpstr>
      <vt:lpstr>日程表</vt:lpstr>
      <vt:lpstr>V8集計</vt:lpstr>
      <vt:lpstr>V8</vt:lpstr>
      <vt:lpstr>V9集計</vt:lpstr>
      <vt:lpstr>V9</vt:lpstr>
      <vt:lpstr>日程表!Print_Titles</vt:lpstr>
    </vt:vector>
  </TitlesOfParts>
  <Manager/>
  <Company>パシフィックシステム株式会社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CNCT_WAKEBE</dc:creator>
  <cp:keywords/>
  <dc:description/>
  <cp:lastModifiedBy>大槻 隆雄</cp:lastModifiedBy>
  <dcterms:created xsi:type="dcterms:W3CDTF">2006-07-06T06:13:26Z</dcterms:created>
  <dcterms:modified xsi:type="dcterms:W3CDTF">2026-01-19T11:44:42Z</dcterms:modified>
  <cp:category/>
</cp:coreProperties>
</file>